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art\Documents\GitHub\ca-sepp-n1-background-calc\"/>
    </mc:Choice>
  </mc:AlternateContent>
  <xr:revisionPtr revIDLastSave="0" documentId="13_ncr:1_{6E19E8D2-621E-4324-AF77-7BF23F12D1F3}" xr6:coauthVersionLast="47" xr6:coauthVersionMax="47" xr10:uidLastSave="{00000000-0000-0000-0000-000000000000}"/>
  <bookViews>
    <workbookView xWindow="-120" yWindow="-120" windowWidth="29040" windowHeight="15840" activeTab="2" xr2:uid="{35E05031-0707-43F5-95F1-0FF4AA2ECB3B}"/>
  </bookViews>
  <sheets>
    <sheet name="From SvanPC++" sheetId="1" r:id="rId1"/>
    <sheet name="Data Manipulation" sheetId="2" r:id="rId2"/>
    <sheet name="Operation Results" sheetId="3" r:id="rId3"/>
    <sheet name="Example 1" sheetId="5" r:id="rId4"/>
    <sheet name="Example 2" sheetId="6" r:id="rId5"/>
    <sheet name="Example 3" sheetId="7" r:id="rId6"/>
    <sheet name="Hist" sheetId="4" r:id="rId7"/>
  </sheets>
  <definedNames>
    <definedName name="_xlnm._FilterDatabase" localSheetId="4" hidden="1">'Example 2'!$B$22:$I$1510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7" i="3" l="1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H1032" i="3"/>
  <c r="H1033" i="3"/>
  <c r="H1034" i="3"/>
  <c r="H1035" i="3"/>
  <c r="H1036" i="3"/>
  <c r="H1037" i="3"/>
  <c r="H1038" i="3"/>
  <c r="H1039" i="3"/>
  <c r="H1040" i="3"/>
  <c r="H1041" i="3"/>
  <c r="H1042" i="3"/>
  <c r="H1043" i="3"/>
  <c r="H1044" i="3"/>
  <c r="H1045" i="3"/>
  <c r="H1046" i="3"/>
  <c r="H1047" i="3"/>
  <c r="H1048" i="3"/>
  <c r="H1049" i="3"/>
  <c r="H1050" i="3"/>
  <c r="H1051" i="3"/>
  <c r="H1052" i="3"/>
  <c r="H1053" i="3"/>
  <c r="H1054" i="3"/>
  <c r="H1055" i="3"/>
  <c r="H1056" i="3"/>
  <c r="H1057" i="3"/>
  <c r="H1058" i="3"/>
  <c r="H1059" i="3"/>
  <c r="H1060" i="3"/>
  <c r="H1061" i="3"/>
  <c r="H1062" i="3"/>
  <c r="H1063" i="3"/>
  <c r="H1064" i="3"/>
  <c r="H1065" i="3"/>
  <c r="H1066" i="3"/>
  <c r="H1067" i="3"/>
  <c r="H1068" i="3"/>
  <c r="H1069" i="3"/>
  <c r="H1070" i="3"/>
  <c r="H1071" i="3"/>
  <c r="H1072" i="3"/>
  <c r="H1073" i="3"/>
  <c r="H1074" i="3"/>
  <c r="H1075" i="3"/>
  <c r="H1076" i="3"/>
  <c r="H1077" i="3"/>
  <c r="H1078" i="3"/>
  <c r="H1079" i="3"/>
  <c r="H1080" i="3"/>
  <c r="H1081" i="3"/>
  <c r="H1082" i="3"/>
  <c r="H1083" i="3"/>
  <c r="H1084" i="3"/>
  <c r="H1085" i="3"/>
  <c r="H1086" i="3"/>
  <c r="H1087" i="3"/>
  <c r="H1088" i="3"/>
  <c r="H1089" i="3"/>
  <c r="H1090" i="3"/>
  <c r="H1091" i="3"/>
  <c r="H1092" i="3"/>
  <c r="H1093" i="3"/>
  <c r="H1094" i="3"/>
  <c r="H1095" i="3"/>
  <c r="H1096" i="3"/>
  <c r="H1097" i="3"/>
  <c r="H1098" i="3"/>
  <c r="H1099" i="3"/>
  <c r="H1100" i="3"/>
  <c r="H1101" i="3"/>
  <c r="H1102" i="3"/>
  <c r="H1103" i="3"/>
  <c r="H1104" i="3"/>
  <c r="H1105" i="3"/>
  <c r="H1106" i="3"/>
  <c r="H1107" i="3"/>
  <c r="H1108" i="3"/>
  <c r="H1109" i="3"/>
  <c r="H1110" i="3"/>
  <c r="H1111" i="3"/>
  <c r="H1112" i="3"/>
  <c r="H1113" i="3"/>
  <c r="H1114" i="3"/>
  <c r="H1115" i="3"/>
  <c r="H1116" i="3"/>
  <c r="H1117" i="3"/>
  <c r="H1118" i="3"/>
  <c r="H1119" i="3"/>
  <c r="H1120" i="3"/>
  <c r="H1121" i="3"/>
  <c r="H1122" i="3"/>
  <c r="H1123" i="3"/>
  <c r="H1124" i="3"/>
  <c r="H1125" i="3"/>
  <c r="H1126" i="3"/>
  <c r="H1127" i="3"/>
  <c r="H1128" i="3"/>
  <c r="H1129" i="3"/>
  <c r="H1130" i="3"/>
  <c r="H1131" i="3"/>
  <c r="H1132" i="3"/>
  <c r="H1133" i="3"/>
  <c r="H1134" i="3"/>
  <c r="H1135" i="3"/>
  <c r="H1136" i="3"/>
  <c r="H1137" i="3"/>
  <c r="H1138" i="3"/>
  <c r="H1139" i="3"/>
  <c r="H1140" i="3"/>
  <c r="H1141" i="3"/>
  <c r="H1142" i="3"/>
  <c r="H1143" i="3"/>
  <c r="H1144" i="3"/>
  <c r="H1145" i="3"/>
  <c r="H1146" i="3"/>
  <c r="H1147" i="3"/>
  <c r="H1148" i="3"/>
  <c r="H1149" i="3"/>
  <c r="H1150" i="3"/>
  <c r="H1151" i="3"/>
  <c r="H1152" i="3"/>
  <c r="H1153" i="3"/>
  <c r="H1154" i="3"/>
  <c r="H1155" i="3"/>
  <c r="H1156" i="3"/>
  <c r="H1157" i="3"/>
  <c r="H1158" i="3"/>
  <c r="H1159" i="3"/>
  <c r="H1160" i="3"/>
  <c r="H1161" i="3"/>
  <c r="H1162" i="3"/>
  <c r="H1163" i="3"/>
  <c r="H1164" i="3"/>
  <c r="H1165" i="3"/>
  <c r="H1166" i="3"/>
  <c r="H1167" i="3"/>
  <c r="H1168" i="3"/>
  <c r="H1169" i="3"/>
  <c r="H1170" i="3"/>
  <c r="H1171" i="3"/>
  <c r="H1172" i="3"/>
  <c r="H1173" i="3"/>
  <c r="H1174" i="3"/>
  <c r="H1175" i="3"/>
  <c r="H1176" i="3"/>
  <c r="H1177" i="3"/>
  <c r="H1178" i="3"/>
  <c r="H1179" i="3"/>
  <c r="H1180" i="3"/>
  <c r="H1181" i="3"/>
  <c r="H1182" i="3"/>
  <c r="H1183" i="3"/>
  <c r="H1184" i="3"/>
  <c r="H1185" i="3"/>
  <c r="H1186" i="3"/>
  <c r="H1187" i="3"/>
  <c r="H1188" i="3"/>
  <c r="H1189" i="3"/>
  <c r="H1190" i="3"/>
  <c r="H1191" i="3"/>
  <c r="H1192" i="3"/>
  <c r="H1193" i="3"/>
  <c r="H1194" i="3"/>
  <c r="H1195" i="3"/>
  <c r="H1196" i="3"/>
  <c r="H1197" i="3"/>
  <c r="H1198" i="3"/>
  <c r="H1199" i="3"/>
  <c r="H1200" i="3"/>
  <c r="H1201" i="3"/>
  <c r="H1202" i="3"/>
  <c r="H1203" i="3"/>
  <c r="H1204" i="3"/>
  <c r="H1205" i="3"/>
  <c r="H1206" i="3"/>
  <c r="H1207" i="3"/>
  <c r="H1208" i="3"/>
  <c r="H1209" i="3"/>
  <c r="H1210" i="3"/>
  <c r="H1211" i="3"/>
  <c r="H1212" i="3"/>
  <c r="H1213" i="3"/>
  <c r="H1214" i="3"/>
  <c r="H1215" i="3"/>
  <c r="H1216" i="3"/>
  <c r="H1217" i="3"/>
  <c r="H1218" i="3"/>
  <c r="H1219" i="3"/>
  <c r="H1220" i="3"/>
  <c r="H1221" i="3"/>
  <c r="H1222" i="3"/>
  <c r="H1223" i="3"/>
  <c r="H1224" i="3"/>
  <c r="H1225" i="3"/>
  <c r="H1226" i="3"/>
  <c r="H1227" i="3"/>
  <c r="H1228" i="3"/>
  <c r="H1229" i="3"/>
  <c r="H1230" i="3"/>
  <c r="H1231" i="3"/>
  <c r="H1232" i="3"/>
  <c r="H1233" i="3"/>
  <c r="H1234" i="3"/>
  <c r="H1235" i="3"/>
  <c r="H1236" i="3"/>
  <c r="H1237" i="3"/>
  <c r="H1238" i="3"/>
  <c r="H1239" i="3"/>
  <c r="H1240" i="3"/>
  <c r="H1241" i="3"/>
  <c r="H1242" i="3"/>
  <c r="H1243" i="3"/>
  <c r="H1244" i="3"/>
  <c r="H1245" i="3"/>
  <c r="H1246" i="3"/>
  <c r="H1247" i="3"/>
  <c r="H1248" i="3"/>
  <c r="H1249" i="3"/>
  <c r="H1250" i="3"/>
  <c r="H1251" i="3"/>
  <c r="H1252" i="3"/>
  <c r="H1253" i="3"/>
  <c r="H1254" i="3"/>
  <c r="H1255" i="3"/>
  <c r="H1256" i="3"/>
  <c r="H1257" i="3"/>
  <c r="H1258" i="3"/>
  <c r="H1259" i="3"/>
  <c r="H1260" i="3"/>
  <c r="H1261" i="3"/>
  <c r="H1262" i="3"/>
  <c r="H1263" i="3"/>
  <c r="H1264" i="3"/>
  <c r="H1265" i="3"/>
  <c r="H1266" i="3"/>
  <c r="H1267" i="3"/>
  <c r="H1268" i="3"/>
  <c r="H1269" i="3"/>
  <c r="H1270" i="3"/>
  <c r="H1271" i="3"/>
  <c r="H1272" i="3"/>
  <c r="H1273" i="3"/>
  <c r="H1274" i="3"/>
  <c r="H1275" i="3"/>
  <c r="H1276" i="3"/>
  <c r="H1277" i="3"/>
  <c r="H1278" i="3"/>
  <c r="H1279" i="3"/>
  <c r="H1280" i="3"/>
  <c r="H1281" i="3"/>
  <c r="H1282" i="3"/>
  <c r="H1283" i="3"/>
  <c r="H1284" i="3"/>
  <c r="H1285" i="3"/>
  <c r="H1286" i="3"/>
  <c r="H1287" i="3"/>
  <c r="H1288" i="3"/>
  <c r="H1289" i="3"/>
  <c r="H1290" i="3"/>
  <c r="H1291" i="3"/>
  <c r="H1292" i="3"/>
  <c r="H1293" i="3"/>
  <c r="H1294" i="3"/>
  <c r="H1295" i="3"/>
  <c r="H1296" i="3"/>
  <c r="H1297" i="3"/>
  <c r="H1298" i="3"/>
  <c r="H1299" i="3"/>
  <c r="H1300" i="3"/>
  <c r="H1301" i="3"/>
  <c r="H1302" i="3"/>
  <c r="H1303" i="3"/>
  <c r="H1304" i="3"/>
  <c r="H1305" i="3"/>
  <c r="H1306" i="3"/>
  <c r="H1307" i="3"/>
  <c r="H1308" i="3"/>
  <c r="H1309" i="3"/>
  <c r="H1310" i="3"/>
  <c r="H1311" i="3"/>
  <c r="H1312" i="3"/>
  <c r="H1313" i="3"/>
  <c r="H1314" i="3"/>
  <c r="H1315" i="3"/>
  <c r="H1316" i="3"/>
  <c r="H1317" i="3"/>
  <c r="H1318" i="3"/>
  <c r="H1319" i="3"/>
  <c r="H1320" i="3"/>
  <c r="H1321" i="3"/>
  <c r="H1322" i="3"/>
  <c r="H1323" i="3"/>
  <c r="H1324" i="3"/>
  <c r="H1325" i="3"/>
  <c r="H1326" i="3"/>
  <c r="H1327" i="3"/>
  <c r="H1328" i="3"/>
  <c r="H1329" i="3"/>
  <c r="H1330" i="3"/>
  <c r="H1331" i="3"/>
  <c r="H1332" i="3"/>
  <c r="H1333" i="3"/>
  <c r="H1334" i="3"/>
  <c r="H1335" i="3"/>
  <c r="H1336" i="3"/>
  <c r="H1337" i="3"/>
  <c r="H1338" i="3"/>
  <c r="H1339" i="3"/>
  <c r="H1340" i="3"/>
  <c r="H1341" i="3"/>
  <c r="H1342" i="3"/>
  <c r="H1343" i="3"/>
  <c r="H1344" i="3"/>
  <c r="H1345" i="3"/>
  <c r="H1346" i="3"/>
  <c r="H1347" i="3"/>
  <c r="H1348" i="3"/>
  <c r="H1349" i="3"/>
  <c r="H1350" i="3"/>
  <c r="H1351" i="3"/>
  <c r="H1352" i="3"/>
  <c r="H1353" i="3"/>
  <c r="H1354" i="3"/>
  <c r="H1355" i="3"/>
  <c r="H1356" i="3"/>
  <c r="H1357" i="3"/>
  <c r="H1358" i="3"/>
  <c r="H1359" i="3"/>
  <c r="H1360" i="3"/>
  <c r="H1361" i="3"/>
  <c r="H1362" i="3"/>
  <c r="H1363" i="3"/>
  <c r="H1364" i="3"/>
  <c r="H1365" i="3"/>
  <c r="H1366" i="3"/>
  <c r="H1367" i="3"/>
  <c r="H1368" i="3"/>
  <c r="H1369" i="3"/>
  <c r="H1370" i="3"/>
  <c r="H1371" i="3"/>
  <c r="H1372" i="3"/>
  <c r="H1373" i="3"/>
  <c r="H1374" i="3"/>
  <c r="H1375" i="3"/>
  <c r="H1376" i="3"/>
  <c r="H1377" i="3"/>
  <c r="H1378" i="3"/>
  <c r="H1379" i="3"/>
  <c r="H1380" i="3"/>
  <c r="H1381" i="3"/>
  <c r="H1382" i="3"/>
  <c r="H1383" i="3"/>
  <c r="H1384" i="3"/>
  <c r="H1385" i="3"/>
  <c r="H1386" i="3"/>
  <c r="H1387" i="3"/>
  <c r="H1388" i="3"/>
  <c r="H1389" i="3"/>
  <c r="H1390" i="3"/>
  <c r="H1391" i="3"/>
  <c r="H1392" i="3"/>
  <c r="H1393" i="3"/>
  <c r="H1394" i="3"/>
  <c r="H1395" i="3"/>
  <c r="H1396" i="3"/>
  <c r="H1397" i="3"/>
  <c r="H1398" i="3"/>
  <c r="H1399" i="3"/>
  <c r="H1400" i="3"/>
  <c r="H1401" i="3"/>
  <c r="H1402" i="3"/>
  <c r="H1403" i="3"/>
  <c r="H1404" i="3"/>
  <c r="H1405" i="3"/>
  <c r="H1406" i="3"/>
  <c r="H1407" i="3"/>
  <c r="H1408" i="3"/>
  <c r="H1409" i="3"/>
  <c r="H1410" i="3"/>
  <c r="H1411" i="3"/>
  <c r="H1412" i="3"/>
  <c r="H1413" i="3"/>
  <c r="H1414" i="3"/>
  <c r="H1415" i="3"/>
  <c r="H1416" i="3"/>
  <c r="H1417" i="3"/>
  <c r="H1418" i="3"/>
  <c r="H1419" i="3"/>
  <c r="H1420" i="3"/>
  <c r="H1421" i="3"/>
  <c r="H1422" i="3"/>
  <c r="H1423" i="3"/>
  <c r="H1424" i="3"/>
  <c r="H1425" i="3"/>
  <c r="H1426" i="3"/>
  <c r="H1427" i="3"/>
  <c r="H1428" i="3"/>
  <c r="H1429" i="3"/>
  <c r="H1430" i="3"/>
  <c r="H1431" i="3"/>
  <c r="H1432" i="3"/>
  <c r="H1433" i="3"/>
  <c r="H1434" i="3"/>
  <c r="H1435" i="3"/>
  <c r="H1436" i="3"/>
  <c r="H1437" i="3"/>
  <c r="H1438" i="3"/>
  <c r="H1439" i="3"/>
  <c r="H1440" i="3"/>
  <c r="H1441" i="3"/>
  <c r="H1442" i="3"/>
  <c r="H1443" i="3"/>
  <c r="H1444" i="3"/>
  <c r="H1445" i="3"/>
  <c r="H1446" i="3"/>
  <c r="H1447" i="3"/>
  <c r="H1448" i="3"/>
  <c r="H1449" i="3"/>
  <c r="H1450" i="3"/>
  <c r="H1451" i="3"/>
  <c r="H1452" i="3"/>
  <c r="H1453" i="3"/>
  <c r="H1454" i="3"/>
  <c r="H1455" i="3"/>
  <c r="H1456" i="3"/>
  <c r="H1457" i="3"/>
  <c r="H1458" i="3"/>
  <c r="H1459" i="3"/>
  <c r="H1460" i="3"/>
  <c r="H1461" i="3"/>
  <c r="H1462" i="3"/>
  <c r="H1463" i="3"/>
  <c r="H1464" i="3"/>
  <c r="H1465" i="3"/>
  <c r="H1466" i="3"/>
  <c r="H1467" i="3"/>
  <c r="H1468" i="3"/>
  <c r="H1469" i="3"/>
  <c r="H1470" i="3"/>
  <c r="H1471" i="3"/>
  <c r="H1472" i="3"/>
  <c r="H1473" i="3"/>
  <c r="H1474" i="3"/>
  <c r="H1475" i="3"/>
  <c r="H1476" i="3"/>
  <c r="H1477" i="3"/>
  <c r="H1478" i="3"/>
  <c r="H1479" i="3"/>
  <c r="H1480" i="3"/>
  <c r="H1481" i="3"/>
  <c r="H1482" i="3"/>
  <c r="H1483" i="3"/>
  <c r="H1484" i="3"/>
  <c r="H1485" i="3"/>
  <c r="H1486" i="3"/>
  <c r="H1487" i="3"/>
  <c r="H1488" i="3"/>
  <c r="H1489" i="3"/>
  <c r="H1490" i="3"/>
  <c r="H1491" i="3"/>
  <c r="H1492" i="3"/>
  <c r="H1493" i="3"/>
  <c r="H1494" i="3"/>
  <c r="H1495" i="3"/>
  <c r="H1496" i="3"/>
  <c r="H1497" i="3"/>
  <c r="H1498" i="3"/>
  <c r="H1499" i="3"/>
  <c r="H1500" i="3"/>
  <c r="H6" i="3"/>
  <c r="L1500" i="7"/>
  <c r="K1500" i="7"/>
  <c r="J1500" i="7"/>
  <c r="H1500" i="7"/>
  <c r="G1500" i="7"/>
  <c r="A1500" i="7"/>
  <c r="L1499" i="7"/>
  <c r="K1499" i="7"/>
  <c r="J1499" i="7"/>
  <c r="H1499" i="7"/>
  <c r="G1499" i="7"/>
  <c r="A1499" i="7"/>
  <c r="L1498" i="7"/>
  <c r="K1498" i="7"/>
  <c r="J1498" i="7"/>
  <c r="H1498" i="7"/>
  <c r="G1498" i="7"/>
  <c r="A1498" i="7"/>
  <c r="L1497" i="7"/>
  <c r="K1497" i="7"/>
  <c r="J1497" i="7"/>
  <c r="H1497" i="7"/>
  <c r="G1497" i="7"/>
  <c r="A1497" i="7"/>
  <c r="L1496" i="7"/>
  <c r="K1496" i="7"/>
  <c r="J1496" i="7"/>
  <c r="H1496" i="7"/>
  <c r="G1496" i="7"/>
  <c r="A1496" i="7"/>
  <c r="L1495" i="7"/>
  <c r="K1495" i="7"/>
  <c r="J1495" i="7"/>
  <c r="H1495" i="7"/>
  <c r="G1495" i="7"/>
  <c r="A1495" i="7"/>
  <c r="L1494" i="7"/>
  <c r="K1494" i="7"/>
  <c r="J1494" i="7"/>
  <c r="H1494" i="7"/>
  <c r="G1494" i="7"/>
  <c r="A1494" i="7"/>
  <c r="L1493" i="7"/>
  <c r="K1493" i="7"/>
  <c r="J1493" i="7"/>
  <c r="H1493" i="7"/>
  <c r="G1493" i="7"/>
  <c r="A1493" i="7"/>
  <c r="L1492" i="7"/>
  <c r="K1492" i="7"/>
  <c r="J1492" i="7"/>
  <c r="H1492" i="7"/>
  <c r="G1492" i="7"/>
  <c r="A1492" i="7"/>
  <c r="L1491" i="7"/>
  <c r="K1491" i="7"/>
  <c r="J1491" i="7"/>
  <c r="H1491" i="7"/>
  <c r="G1491" i="7"/>
  <c r="A1491" i="7"/>
  <c r="L1490" i="7"/>
  <c r="K1490" i="7"/>
  <c r="J1490" i="7"/>
  <c r="H1490" i="7"/>
  <c r="G1490" i="7"/>
  <c r="A1490" i="7"/>
  <c r="L1489" i="7"/>
  <c r="K1489" i="7"/>
  <c r="J1489" i="7"/>
  <c r="H1489" i="7"/>
  <c r="G1489" i="7"/>
  <c r="A1489" i="7"/>
  <c r="L1488" i="7"/>
  <c r="K1488" i="7"/>
  <c r="J1488" i="7"/>
  <c r="H1488" i="7"/>
  <c r="G1488" i="7"/>
  <c r="A1488" i="7"/>
  <c r="L1487" i="7"/>
  <c r="K1487" i="7"/>
  <c r="J1487" i="7"/>
  <c r="H1487" i="7"/>
  <c r="G1487" i="7"/>
  <c r="A1487" i="7"/>
  <c r="L1486" i="7"/>
  <c r="K1486" i="7"/>
  <c r="J1486" i="7"/>
  <c r="H1486" i="7"/>
  <c r="G1486" i="7"/>
  <c r="A1486" i="7"/>
  <c r="L1485" i="7"/>
  <c r="K1485" i="7"/>
  <c r="J1485" i="7"/>
  <c r="H1485" i="7"/>
  <c r="G1485" i="7"/>
  <c r="A1485" i="7"/>
  <c r="L1484" i="7"/>
  <c r="K1484" i="7"/>
  <c r="J1484" i="7"/>
  <c r="H1484" i="7"/>
  <c r="G1484" i="7"/>
  <c r="A1484" i="7"/>
  <c r="L1483" i="7"/>
  <c r="K1483" i="7"/>
  <c r="J1483" i="7"/>
  <c r="H1483" i="7"/>
  <c r="G1483" i="7"/>
  <c r="A1483" i="7"/>
  <c r="L1482" i="7"/>
  <c r="K1482" i="7"/>
  <c r="J1482" i="7"/>
  <c r="H1482" i="7"/>
  <c r="G1482" i="7"/>
  <c r="A1482" i="7"/>
  <c r="L1481" i="7"/>
  <c r="K1481" i="7"/>
  <c r="J1481" i="7"/>
  <c r="H1481" i="7"/>
  <c r="G1481" i="7"/>
  <c r="A1481" i="7"/>
  <c r="L1480" i="7"/>
  <c r="K1480" i="7"/>
  <c r="J1480" i="7"/>
  <c r="H1480" i="7"/>
  <c r="G1480" i="7"/>
  <c r="A1480" i="7"/>
  <c r="L1479" i="7"/>
  <c r="K1479" i="7"/>
  <c r="J1479" i="7"/>
  <c r="H1479" i="7"/>
  <c r="G1479" i="7"/>
  <c r="A1479" i="7"/>
  <c r="L1478" i="7"/>
  <c r="K1478" i="7"/>
  <c r="J1478" i="7"/>
  <c r="H1478" i="7"/>
  <c r="G1478" i="7"/>
  <c r="A1478" i="7"/>
  <c r="L1477" i="7"/>
  <c r="K1477" i="7"/>
  <c r="J1477" i="7"/>
  <c r="H1477" i="7"/>
  <c r="G1477" i="7"/>
  <c r="A1477" i="7"/>
  <c r="L1476" i="7"/>
  <c r="K1476" i="7"/>
  <c r="J1476" i="7"/>
  <c r="H1476" i="7"/>
  <c r="G1476" i="7"/>
  <c r="A1476" i="7"/>
  <c r="L1475" i="7"/>
  <c r="K1475" i="7"/>
  <c r="J1475" i="7"/>
  <c r="H1475" i="7"/>
  <c r="G1475" i="7"/>
  <c r="A1475" i="7"/>
  <c r="L1474" i="7"/>
  <c r="K1474" i="7"/>
  <c r="J1474" i="7"/>
  <c r="H1474" i="7"/>
  <c r="G1474" i="7"/>
  <c r="A1474" i="7"/>
  <c r="L1473" i="7"/>
  <c r="K1473" i="7"/>
  <c r="J1473" i="7"/>
  <c r="H1473" i="7"/>
  <c r="G1473" i="7"/>
  <c r="A1473" i="7"/>
  <c r="L1472" i="7"/>
  <c r="K1472" i="7"/>
  <c r="J1472" i="7"/>
  <c r="H1472" i="7"/>
  <c r="G1472" i="7"/>
  <c r="A1472" i="7"/>
  <c r="L1471" i="7"/>
  <c r="K1471" i="7"/>
  <c r="J1471" i="7"/>
  <c r="H1471" i="7"/>
  <c r="G1471" i="7"/>
  <c r="A1471" i="7"/>
  <c r="L1470" i="7"/>
  <c r="K1470" i="7"/>
  <c r="J1470" i="7"/>
  <c r="H1470" i="7"/>
  <c r="G1470" i="7"/>
  <c r="A1470" i="7"/>
  <c r="L1469" i="7"/>
  <c r="K1469" i="7"/>
  <c r="J1469" i="7"/>
  <c r="H1469" i="7"/>
  <c r="G1469" i="7"/>
  <c r="A1469" i="7"/>
  <c r="L1468" i="7"/>
  <c r="K1468" i="7"/>
  <c r="J1468" i="7"/>
  <c r="H1468" i="7"/>
  <c r="G1468" i="7"/>
  <c r="A1468" i="7"/>
  <c r="L1467" i="7"/>
  <c r="K1467" i="7"/>
  <c r="J1467" i="7"/>
  <c r="H1467" i="7"/>
  <c r="G1467" i="7"/>
  <c r="A1467" i="7"/>
  <c r="L1466" i="7"/>
  <c r="K1466" i="7"/>
  <c r="J1466" i="7"/>
  <c r="H1466" i="7"/>
  <c r="G1466" i="7"/>
  <c r="A1466" i="7"/>
  <c r="L1465" i="7"/>
  <c r="K1465" i="7"/>
  <c r="J1465" i="7"/>
  <c r="H1465" i="7"/>
  <c r="G1465" i="7"/>
  <c r="A1465" i="7"/>
  <c r="L1464" i="7"/>
  <c r="K1464" i="7"/>
  <c r="J1464" i="7"/>
  <c r="H1464" i="7"/>
  <c r="G1464" i="7"/>
  <c r="A1464" i="7"/>
  <c r="L1463" i="7"/>
  <c r="K1463" i="7"/>
  <c r="J1463" i="7"/>
  <c r="H1463" i="7"/>
  <c r="G1463" i="7"/>
  <c r="A1463" i="7"/>
  <c r="L1462" i="7"/>
  <c r="K1462" i="7"/>
  <c r="J1462" i="7"/>
  <c r="H1462" i="7"/>
  <c r="G1462" i="7"/>
  <c r="A1462" i="7"/>
  <c r="L1461" i="7"/>
  <c r="K1461" i="7"/>
  <c r="J1461" i="7"/>
  <c r="H1461" i="7"/>
  <c r="G1461" i="7"/>
  <c r="A1461" i="7"/>
  <c r="L1460" i="7"/>
  <c r="K1460" i="7"/>
  <c r="J1460" i="7"/>
  <c r="H1460" i="7"/>
  <c r="G1460" i="7"/>
  <c r="A1460" i="7"/>
  <c r="L1459" i="7"/>
  <c r="K1459" i="7"/>
  <c r="J1459" i="7"/>
  <c r="H1459" i="7"/>
  <c r="G1459" i="7"/>
  <c r="A1459" i="7"/>
  <c r="L1458" i="7"/>
  <c r="K1458" i="7"/>
  <c r="J1458" i="7"/>
  <c r="H1458" i="7"/>
  <c r="G1458" i="7"/>
  <c r="A1458" i="7"/>
  <c r="L1457" i="7"/>
  <c r="K1457" i="7"/>
  <c r="J1457" i="7"/>
  <c r="H1457" i="7"/>
  <c r="G1457" i="7"/>
  <c r="A1457" i="7"/>
  <c r="L1456" i="7"/>
  <c r="K1456" i="7"/>
  <c r="J1456" i="7"/>
  <c r="H1456" i="7"/>
  <c r="G1456" i="7"/>
  <c r="A1456" i="7"/>
  <c r="L1455" i="7"/>
  <c r="K1455" i="7"/>
  <c r="J1455" i="7"/>
  <c r="H1455" i="7"/>
  <c r="G1455" i="7"/>
  <c r="A1455" i="7"/>
  <c r="L1454" i="7"/>
  <c r="K1454" i="7"/>
  <c r="J1454" i="7"/>
  <c r="H1454" i="7"/>
  <c r="G1454" i="7"/>
  <c r="A1454" i="7"/>
  <c r="L1453" i="7"/>
  <c r="K1453" i="7"/>
  <c r="J1453" i="7"/>
  <c r="H1453" i="7"/>
  <c r="G1453" i="7"/>
  <c r="A1453" i="7"/>
  <c r="L1452" i="7"/>
  <c r="K1452" i="7"/>
  <c r="J1452" i="7"/>
  <c r="H1452" i="7"/>
  <c r="G1452" i="7"/>
  <c r="A1452" i="7"/>
  <c r="L1451" i="7"/>
  <c r="K1451" i="7"/>
  <c r="J1451" i="7"/>
  <c r="H1451" i="7"/>
  <c r="G1451" i="7"/>
  <c r="A1451" i="7"/>
  <c r="L1450" i="7"/>
  <c r="K1450" i="7"/>
  <c r="J1450" i="7"/>
  <c r="H1450" i="7"/>
  <c r="G1450" i="7"/>
  <c r="A1450" i="7"/>
  <c r="L1449" i="7"/>
  <c r="K1449" i="7"/>
  <c r="J1449" i="7"/>
  <c r="H1449" i="7"/>
  <c r="G1449" i="7"/>
  <c r="A1449" i="7"/>
  <c r="L1448" i="7"/>
  <c r="K1448" i="7"/>
  <c r="J1448" i="7"/>
  <c r="H1448" i="7"/>
  <c r="G1448" i="7"/>
  <c r="A1448" i="7"/>
  <c r="L1447" i="7"/>
  <c r="K1447" i="7"/>
  <c r="J1447" i="7"/>
  <c r="H1447" i="7"/>
  <c r="G1447" i="7"/>
  <c r="A1447" i="7"/>
  <c r="L1446" i="7"/>
  <c r="K1446" i="7"/>
  <c r="J1446" i="7"/>
  <c r="H1446" i="7"/>
  <c r="G1446" i="7"/>
  <c r="A1446" i="7"/>
  <c r="L1445" i="7"/>
  <c r="K1445" i="7"/>
  <c r="J1445" i="7"/>
  <c r="H1445" i="7"/>
  <c r="G1445" i="7"/>
  <c r="A1445" i="7"/>
  <c r="L1444" i="7"/>
  <c r="K1444" i="7"/>
  <c r="J1444" i="7"/>
  <c r="H1444" i="7"/>
  <c r="G1444" i="7"/>
  <c r="A1444" i="7"/>
  <c r="L1443" i="7"/>
  <c r="K1443" i="7"/>
  <c r="J1443" i="7"/>
  <c r="H1443" i="7"/>
  <c r="G1443" i="7"/>
  <c r="A1443" i="7"/>
  <c r="L1442" i="7"/>
  <c r="K1442" i="7"/>
  <c r="J1442" i="7"/>
  <c r="H1442" i="7"/>
  <c r="G1442" i="7"/>
  <c r="A1442" i="7"/>
  <c r="L1441" i="7"/>
  <c r="K1441" i="7"/>
  <c r="J1441" i="7"/>
  <c r="H1441" i="7"/>
  <c r="G1441" i="7"/>
  <c r="A1441" i="7"/>
  <c r="L1440" i="7"/>
  <c r="K1440" i="7"/>
  <c r="J1440" i="7"/>
  <c r="H1440" i="7"/>
  <c r="G1440" i="7"/>
  <c r="A1440" i="7"/>
  <c r="L1439" i="7"/>
  <c r="K1439" i="7"/>
  <c r="J1439" i="7"/>
  <c r="H1439" i="7"/>
  <c r="G1439" i="7"/>
  <c r="A1439" i="7"/>
  <c r="L1438" i="7"/>
  <c r="K1438" i="7"/>
  <c r="J1438" i="7"/>
  <c r="H1438" i="7"/>
  <c r="G1438" i="7"/>
  <c r="A1438" i="7"/>
  <c r="L1437" i="7"/>
  <c r="K1437" i="7"/>
  <c r="J1437" i="7"/>
  <c r="H1437" i="7"/>
  <c r="G1437" i="7"/>
  <c r="A1437" i="7"/>
  <c r="L1436" i="7"/>
  <c r="K1436" i="7"/>
  <c r="J1436" i="7"/>
  <c r="H1436" i="7"/>
  <c r="G1436" i="7"/>
  <c r="A1436" i="7"/>
  <c r="L1435" i="7"/>
  <c r="K1435" i="7"/>
  <c r="J1435" i="7"/>
  <c r="H1435" i="7"/>
  <c r="G1435" i="7"/>
  <c r="A1435" i="7"/>
  <c r="L1434" i="7"/>
  <c r="K1434" i="7"/>
  <c r="J1434" i="7"/>
  <c r="H1434" i="7"/>
  <c r="G1434" i="7"/>
  <c r="A1434" i="7"/>
  <c r="L1433" i="7"/>
  <c r="K1433" i="7"/>
  <c r="J1433" i="7"/>
  <c r="H1433" i="7"/>
  <c r="G1433" i="7"/>
  <c r="A1433" i="7"/>
  <c r="L1432" i="7"/>
  <c r="K1432" i="7"/>
  <c r="J1432" i="7"/>
  <c r="H1432" i="7"/>
  <c r="G1432" i="7"/>
  <c r="A1432" i="7"/>
  <c r="L1431" i="7"/>
  <c r="K1431" i="7"/>
  <c r="J1431" i="7"/>
  <c r="H1431" i="7"/>
  <c r="G1431" i="7"/>
  <c r="A1431" i="7"/>
  <c r="L1430" i="7"/>
  <c r="K1430" i="7"/>
  <c r="J1430" i="7"/>
  <c r="H1430" i="7"/>
  <c r="G1430" i="7"/>
  <c r="A1430" i="7"/>
  <c r="L1429" i="7"/>
  <c r="K1429" i="7"/>
  <c r="J1429" i="7"/>
  <c r="H1429" i="7"/>
  <c r="G1429" i="7"/>
  <c r="A1429" i="7"/>
  <c r="L1428" i="7"/>
  <c r="K1428" i="7"/>
  <c r="J1428" i="7"/>
  <c r="H1428" i="7"/>
  <c r="G1428" i="7"/>
  <c r="A1428" i="7"/>
  <c r="L1427" i="7"/>
  <c r="K1427" i="7"/>
  <c r="J1427" i="7"/>
  <c r="H1427" i="7"/>
  <c r="G1427" i="7"/>
  <c r="A1427" i="7"/>
  <c r="L1426" i="7"/>
  <c r="K1426" i="7"/>
  <c r="J1426" i="7"/>
  <c r="H1426" i="7"/>
  <c r="G1426" i="7"/>
  <c r="A1426" i="7"/>
  <c r="L1425" i="7"/>
  <c r="K1425" i="7"/>
  <c r="J1425" i="7"/>
  <c r="H1425" i="7"/>
  <c r="G1425" i="7"/>
  <c r="A1425" i="7"/>
  <c r="L1424" i="7"/>
  <c r="K1424" i="7"/>
  <c r="J1424" i="7"/>
  <c r="H1424" i="7"/>
  <c r="G1424" i="7"/>
  <c r="A1424" i="7"/>
  <c r="L1423" i="7"/>
  <c r="K1423" i="7"/>
  <c r="J1423" i="7"/>
  <c r="H1423" i="7"/>
  <c r="G1423" i="7"/>
  <c r="A1423" i="7"/>
  <c r="L1422" i="7"/>
  <c r="K1422" i="7"/>
  <c r="J1422" i="7"/>
  <c r="H1422" i="7"/>
  <c r="G1422" i="7"/>
  <c r="A1422" i="7"/>
  <c r="L1421" i="7"/>
  <c r="K1421" i="7"/>
  <c r="J1421" i="7"/>
  <c r="H1421" i="7"/>
  <c r="G1421" i="7"/>
  <c r="A1421" i="7"/>
  <c r="L1420" i="7"/>
  <c r="K1420" i="7"/>
  <c r="J1420" i="7"/>
  <c r="H1420" i="7"/>
  <c r="G1420" i="7"/>
  <c r="A1420" i="7"/>
  <c r="L1419" i="7"/>
  <c r="K1419" i="7"/>
  <c r="J1419" i="7"/>
  <c r="H1419" i="7"/>
  <c r="G1419" i="7"/>
  <c r="A1419" i="7"/>
  <c r="L1418" i="7"/>
  <c r="K1418" i="7"/>
  <c r="J1418" i="7"/>
  <c r="H1418" i="7"/>
  <c r="G1418" i="7"/>
  <c r="A1418" i="7"/>
  <c r="L1417" i="7"/>
  <c r="K1417" i="7"/>
  <c r="J1417" i="7"/>
  <c r="H1417" i="7"/>
  <c r="G1417" i="7"/>
  <c r="A1417" i="7"/>
  <c r="L1416" i="7"/>
  <c r="K1416" i="7"/>
  <c r="J1416" i="7"/>
  <c r="H1416" i="7"/>
  <c r="G1416" i="7"/>
  <c r="A1416" i="7"/>
  <c r="L1415" i="7"/>
  <c r="K1415" i="7"/>
  <c r="J1415" i="7"/>
  <c r="H1415" i="7"/>
  <c r="G1415" i="7"/>
  <c r="A1415" i="7"/>
  <c r="L1414" i="7"/>
  <c r="K1414" i="7"/>
  <c r="J1414" i="7"/>
  <c r="H1414" i="7"/>
  <c r="G1414" i="7"/>
  <c r="A1414" i="7"/>
  <c r="L1413" i="7"/>
  <c r="K1413" i="7"/>
  <c r="J1413" i="7"/>
  <c r="H1413" i="7"/>
  <c r="G1413" i="7"/>
  <c r="A1413" i="7"/>
  <c r="L1412" i="7"/>
  <c r="K1412" i="7"/>
  <c r="J1412" i="7"/>
  <c r="H1412" i="7"/>
  <c r="G1412" i="7"/>
  <c r="A1412" i="7"/>
  <c r="L1411" i="7"/>
  <c r="K1411" i="7"/>
  <c r="J1411" i="7"/>
  <c r="H1411" i="7"/>
  <c r="G1411" i="7"/>
  <c r="A1411" i="7"/>
  <c r="L1410" i="7"/>
  <c r="K1410" i="7"/>
  <c r="J1410" i="7"/>
  <c r="H1410" i="7"/>
  <c r="G1410" i="7"/>
  <c r="A1410" i="7"/>
  <c r="L1409" i="7"/>
  <c r="K1409" i="7"/>
  <c r="J1409" i="7"/>
  <c r="H1409" i="7"/>
  <c r="G1409" i="7"/>
  <c r="A1409" i="7"/>
  <c r="L1408" i="7"/>
  <c r="K1408" i="7"/>
  <c r="J1408" i="7"/>
  <c r="H1408" i="7"/>
  <c r="G1408" i="7"/>
  <c r="A1408" i="7"/>
  <c r="L1407" i="7"/>
  <c r="K1407" i="7"/>
  <c r="J1407" i="7"/>
  <c r="H1407" i="7"/>
  <c r="G1407" i="7"/>
  <c r="A1407" i="7"/>
  <c r="L1406" i="7"/>
  <c r="K1406" i="7"/>
  <c r="J1406" i="7"/>
  <c r="H1406" i="7"/>
  <c r="G1406" i="7"/>
  <c r="A1406" i="7"/>
  <c r="L1405" i="7"/>
  <c r="K1405" i="7"/>
  <c r="J1405" i="7"/>
  <c r="H1405" i="7"/>
  <c r="G1405" i="7"/>
  <c r="A1405" i="7"/>
  <c r="L1404" i="7"/>
  <c r="K1404" i="7"/>
  <c r="J1404" i="7"/>
  <c r="H1404" i="7"/>
  <c r="G1404" i="7"/>
  <c r="A1404" i="7"/>
  <c r="L1403" i="7"/>
  <c r="K1403" i="7"/>
  <c r="J1403" i="7"/>
  <c r="H1403" i="7"/>
  <c r="G1403" i="7"/>
  <c r="A1403" i="7"/>
  <c r="L1402" i="7"/>
  <c r="K1402" i="7"/>
  <c r="J1402" i="7"/>
  <c r="H1402" i="7"/>
  <c r="G1402" i="7"/>
  <c r="A1402" i="7"/>
  <c r="L1401" i="7"/>
  <c r="K1401" i="7"/>
  <c r="J1401" i="7"/>
  <c r="H1401" i="7"/>
  <c r="G1401" i="7"/>
  <c r="A1401" i="7"/>
  <c r="L1400" i="7"/>
  <c r="K1400" i="7"/>
  <c r="J1400" i="7"/>
  <c r="H1400" i="7"/>
  <c r="G1400" i="7"/>
  <c r="A1400" i="7"/>
  <c r="L1399" i="7"/>
  <c r="K1399" i="7"/>
  <c r="J1399" i="7"/>
  <c r="H1399" i="7"/>
  <c r="G1399" i="7"/>
  <c r="A1399" i="7"/>
  <c r="L1398" i="7"/>
  <c r="K1398" i="7"/>
  <c r="J1398" i="7"/>
  <c r="H1398" i="7"/>
  <c r="G1398" i="7"/>
  <c r="A1398" i="7"/>
  <c r="L1397" i="7"/>
  <c r="K1397" i="7"/>
  <c r="J1397" i="7"/>
  <c r="H1397" i="7"/>
  <c r="G1397" i="7"/>
  <c r="A1397" i="7"/>
  <c r="L1396" i="7"/>
  <c r="K1396" i="7"/>
  <c r="J1396" i="7"/>
  <c r="H1396" i="7"/>
  <c r="G1396" i="7"/>
  <c r="A1396" i="7"/>
  <c r="L1395" i="7"/>
  <c r="K1395" i="7"/>
  <c r="J1395" i="7"/>
  <c r="H1395" i="7"/>
  <c r="G1395" i="7"/>
  <c r="A1395" i="7"/>
  <c r="L1394" i="7"/>
  <c r="K1394" i="7"/>
  <c r="J1394" i="7"/>
  <c r="H1394" i="7"/>
  <c r="G1394" i="7"/>
  <c r="A1394" i="7"/>
  <c r="L1393" i="7"/>
  <c r="K1393" i="7"/>
  <c r="J1393" i="7"/>
  <c r="H1393" i="7"/>
  <c r="G1393" i="7"/>
  <c r="A1393" i="7"/>
  <c r="L1392" i="7"/>
  <c r="K1392" i="7"/>
  <c r="J1392" i="7"/>
  <c r="H1392" i="7"/>
  <c r="G1392" i="7"/>
  <c r="A1392" i="7"/>
  <c r="L1391" i="7"/>
  <c r="K1391" i="7"/>
  <c r="J1391" i="7"/>
  <c r="H1391" i="7"/>
  <c r="G1391" i="7"/>
  <c r="A1391" i="7"/>
  <c r="L1390" i="7"/>
  <c r="K1390" i="7"/>
  <c r="J1390" i="7"/>
  <c r="H1390" i="7"/>
  <c r="G1390" i="7"/>
  <c r="A1390" i="7"/>
  <c r="L1389" i="7"/>
  <c r="K1389" i="7"/>
  <c r="J1389" i="7"/>
  <c r="H1389" i="7"/>
  <c r="G1389" i="7"/>
  <c r="A1389" i="7"/>
  <c r="L1388" i="7"/>
  <c r="K1388" i="7"/>
  <c r="J1388" i="7"/>
  <c r="H1388" i="7"/>
  <c r="G1388" i="7"/>
  <c r="A1388" i="7"/>
  <c r="L1387" i="7"/>
  <c r="K1387" i="7"/>
  <c r="J1387" i="7"/>
  <c r="H1387" i="7"/>
  <c r="G1387" i="7"/>
  <c r="A1387" i="7"/>
  <c r="L1386" i="7"/>
  <c r="K1386" i="7"/>
  <c r="J1386" i="7"/>
  <c r="H1386" i="7"/>
  <c r="G1386" i="7"/>
  <c r="A1386" i="7"/>
  <c r="L1385" i="7"/>
  <c r="K1385" i="7"/>
  <c r="J1385" i="7"/>
  <c r="H1385" i="7"/>
  <c r="G1385" i="7"/>
  <c r="A1385" i="7"/>
  <c r="L1384" i="7"/>
  <c r="K1384" i="7"/>
  <c r="J1384" i="7"/>
  <c r="H1384" i="7"/>
  <c r="G1384" i="7"/>
  <c r="A1384" i="7"/>
  <c r="L1383" i="7"/>
  <c r="K1383" i="7"/>
  <c r="J1383" i="7"/>
  <c r="H1383" i="7"/>
  <c r="G1383" i="7"/>
  <c r="A1383" i="7"/>
  <c r="L1382" i="7"/>
  <c r="K1382" i="7"/>
  <c r="J1382" i="7"/>
  <c r="H1382" i="7"/>
  <c r="G1382" i="7"/>
  <c r="A1382" i="7"/>
  <c r="L1381" i="7"/>
  <c r="K1381" i="7"/>
  <c r="J1381" i="7"/>
  <c r="H1381" i="7"/>
  <c r="G1381" i="7"/>
  <c r="A1381" i="7"/>
  <c r="L1380" i="7"/>
  <c r="K1380" i="7"/>
  <c r="J1380" i="7"/>
  <c r="H1380" i="7"/>
  <c r="G1380" i="7"/>
  <c r="A1380" i="7"/>
  <c r="L1379" i="7"/>
  <c r="K1379" i="7"/>
  <c r="J1379" i="7"/>
  <c r="H1379" i="7"/>
  <c r="G1379" i="7"/>
  <c r="A1379" i="7"/>
  <c r="L1378" i="7"/>
  <c r="K1378" i="7"/>
  <c r="J1378" i="7"/>
  <c r="H1378" i="7"/>
  <c r="G1378" i="7"/>
  <c r="A1378" i="7"/>
  <c r="L1377" i="7"/>
  <c r="K1377" i="7"/>
  <c r="J1377" i="7"/>
  <c r="H1377" i="7"/>
  <c r="G1377" i="7"/>
  <c r="A1377" i="7"/>
  <c r="L1376" i="7"/>
  <c r="K1376" i="7"/>
  <c r="J1376" i="7"/>
  <c r="H1376" i="7"/>
  <c r="G1376" i="7"/>
  <c r="A1376" i="7"/>
  <c r="L1375" i="7"/>
  <c r="K1375" i="7"/>
  <c r="J1375" i="7"/>
  <c r="H1375" i="7"/>
  <c r="G1375" i="7"/>
  <c r="A1375" i="7"/>
  <c r="L1374" i="7"/>
  <c r="K1374" i="7"/>
  <c r="J1374" i="7"/>
  <c r="H1374" i="7"/>
  <c r="G1374" i="7"/>
  <c r="A1374" i="7"/>
  <c r="L1373" i="7"/>
  <c r="K1373" i="7"/>
  <c r="J1373" i="7"/>
  <c r="H1373" i="7"/>
  <c r="G1373" i="7"/>
  <c r="A1373" i="7"/>
  <c r="L1372" i="7"/>
  <c r="K1372" i="7"/>
  <c r="J1372" i="7"/>
  <c r="H1372" i="7"/>
  <c r="G1372" i="7"/>
  <c r="A1372" i="7"/>
  <c r="L1371" i="7"/>
  <c r="K1371" i="7"/>
  <c r="J1371" i="7"/>
  <c r="H1371" i="7"/>
  <c r="G1371" i="7"/>
  <c r="A1371" i="7"/>
  <c r="L1370" i="7"/>
  <c r="K1370" i="7"/>
  <c r="J1370" i="7"/>
  <c r="H1370" i="7"/>
  <c r="G1370" i="7"/>
  <c r="A1370" i="7"/>
  <c r="L1369" i="7"/>
  <c r="K1369" i="7"/>
  <c r="J1369" i="7"/>
  <c r="H1369" i="7"/>
  <c r="G1369" i="7"/>
  <c r="A1369" i="7"/>
  <c r="L1368" i="7"/>
  <c r="K1368" i="7"/>
  <c r="J1368" i="7"/>
  <c r="H1368" i="7"/>
  <c r="G1368" i="7"/>
  <c r="A1368" i="7"/>
  <c r="L1367" i="7"/>
  <c r="K1367" i="7"/>
  <c r="J1367" i="7"/>
  <c r="H1367" i="7"/>
  <c r="G1367" i="7"/>
  <c r="A1367" i="7"/>
  <c r="L1366" i="7"/>
  <c r="K1366" i="7"/>
  <c r="J1366" i="7"/>
  <c r="H1366" i="7"/>
  <c r="G1366" i="7"/>
  <c r="A1366" i="7"/>
  <c r="L1365" i="7"/>
  <c r="K1365" i="7"/>
  <c r="J1365" i="7"/>
  <c r="H1365" i="7"/>
  <c r="G1365" i="7"/>
  <c r="A1365" i="7"/>
  <c r="L1364" i="7"/>
  <c r="K1364" i="7"/>
  <c r="J1364" i="7"/>
  <c r="H1364" i="7"/>
  <c r="G1364" i="7"/>
  <c r="A1364" i="7"/>
  <c r="L1363" i="7"/>
  <c r="K1363" i="7"/>
  <c r="J1363" i="7"/>
  <c r="H1363" i="7"/>
  <c r="G1363" i="7"/>
  <c r="A1363" i="7"/>
  <c r="L1362" i="7"/>
  <c r="K1362" i="7"/>
  <c r="J1362" i="7"/>
  <c r="H1362" i="7"/>
  <c r="G1362" i="7"/>
  <c r="A1362" i="7"/>
  <c r="L1361" i="7"/>
  <c r="K1361" i="7"/>
  <c r="J1361" i="7"/>
  <c r="H1361" i="7"/>
  <c r="G1361" i="7"/>
  <c r="A1361" i="7"/>
  <c r="L1360" i="7"/>
  <c r="K1360" i="7"/>
  <c r="J1360" i="7"/>
  <c r="H1360" i="7"/>
  <c r="G1360" i="7"/>
  <c r="A1360" i="7"/>
  <c r="L1359" i="7"/>
  <c r="K1359" i="7"/>
  <c r="J1359" i="7"/>
  <c r="H1359" i="7"/>
  <c r="G1359" i="7"/>
  <c r="A1359" i="7"/>
  <c r="L1358" i="7"/>
  <c r="K1358" i="7"/>
  <c r="J1358" i="7"/>
  <c r="H1358" i="7"/>
  <c r="G1358" i="7"/>
  <c r="A1358" i="7"/>
  <c r="L1357" i="7"/>
  <c r="K1357" i="7"/>
  <c r="J1357" i="7"/>
  <c r="H1357" i="7"/>
  <c r="G1357" i="7"/>
  <c r="A1357" i="7"/>
  <c r="L1356" i="7"/>
  <c r="K1356" i="7"/>
  <c r="J1356" i="7"/>
  <c r="H1356" i="7"/>
  <c r="G1356" i="7"/>
  <c r="A1356" i="7"/>
  <c r="L1355" i="7"/>
  <c r="K1355" i="7"/>
  <c r="J1355" i="7"/>
  <c r="H1355" i="7"/>
  <c r="G1355" i="7"/>
  <c r="A1355" i="7"/>
  <c r="L1354" i="7"/>
  <c r="K1354" i="7"/>
  <c r="J1354" i="7"/>
  <c r="H1354" i="7"/>
  <c r="G1354" i="7"/>
  <c r="A1354" i="7"/>
  <c r="L1353" i="7"/>
  <c r="K1353" i="7"/>
  <c r="J1353" i="7"/>
  <c r="H1353" i="7"/>
  <c r="G1353" i="7"/>
  <c r="A1353" i="7"/>
  <c r="L1352" i="7"/>
  <c r="K1352" i="7"/>
  <c r="J1352" i="7"/>
  <c r="H1352" i="7"/>
  <c r="G1352" i="7"/>
  <c r="A1352" i="7"/>
  <c r="L1351" i="7"/>
  <c r="K1351" i="7"/>
  <c r="J1351" i="7"/>
  <c r="H1351" i="7"/>
  <c r="G1351" i="7"/>
  <c r="A1351" i="7"/>
  <c r="L1350" i="7"/>
  <c r="K1350" i="7"/>
  <c r="J1350" i="7"/>
  <c r="H1350" i="7"/>
  <c r="G1350" i="7"/>
  <c r="A1350" i="7"/>
  <c r="L1349" i="7"/>
  <c r="K1349" i="7"/>
  <c r="J1349" i="7"/>
  <c r="H1349" i="7"/>
  <c r="G1349" i="7"/>
  <c r="A1349" i="7"/>
  <c r="L1348" i="7"/>
  <c r="K1348" i="7"/>
  <c r="J1348" i="7"/>
  <c r="H1348" i="7"/>
  <c r="G1348" i="7"/>
  <c r="A1348" i="7"/>
  <c r="L1347" i="7"/>
  <c r="K1347" i="7"/>
  <c r="J1347" i="7"/>
  <c r="H1347" i="7"/>
  <c r="G1347" i="7"/>
  <c r="A1347" i="7"/>
  <c r="L1346" i="7"/>
  <c r="K1346" i="7"/>
  <c r="J1346" i="7"/>
  <c r="H1346" i="7"/>
  <c r="G1346" i="7"/>
  <c r="A1346" i="7"/>
  <c r="L1345" i="7"/>
  <c r="K1345" i="7"/>
  <c r="J1345" i="7"/>
  <c r="H1345" i="7"/>
  <c r="G1345" i="7"/>
  <c r="A1345" i="7"/>
  <c r="L1344" i="7"/>
  <c r="K1344" i="7"/>
  <c r="J1344" i="7"/>
  <c r="H1344" i="7"/>
  <c r="G1344" i="7"/>
  <c r="A1344" i="7"/>
  <c r="L1343" i="7"/>
  <c r="K1343" i="7"/>
  <c r="J1343" i="7"/>
  <c r="H1343" i="7"/>
  <c r="G1343" i="7"/>
  <c r="A1343" i="7"/>
  <c r="L1342" i="7"/>
  <c r="K1342" i="7"/>
  <c r="J1342" i="7"/>
  <c r="H1342" i="7"/>
  <c r="G1342" i="7"/>
  <c r="A1342" i="7"/>
  <c r="L1341" i="7"/>
  <c r="K1341" i="7"/>
  <c r="J1341" i="7"/>
  <c r="H1341" i="7"/>
  <c r="G1341" i="7"/>
  <c r="A1341" i="7"/>
  <c r="L1340" i="7"/>
  <c r="K1340" i="7"/>
  <c r="J1340" i="7"/>
  <c r="H1340" i="7"/>
  <c r="G1340" i="7"/>
  <c r="A1340" i="7"/>
  <c r="L1339" i="7"/>
  <c r="K1339" i="7"/>
  <c r="J1339" i="7"/>
  <c r="H1339" i="7"/>
  <c r="G1339" i="7"/>
  <c r="A1339" i="7"/>
  <c r="L1338" i="7"/>
  <c r="K1338" i="7"/>
  <c r="J1338" i="7"/>
  <c r="H1338" i="7"/>
  <c r="G1338" i="7"/>
  <c r="A1338" i="7"/>
  <c r="L1337" i="7"/>
  <c r="K1337" i="7"/>
  <c r="J1337" i="7"/>
  <c r="H1337" i="7"/>
  <c r="G1337" i="7"/>
  <c r="A1337" i="7"/>
  <c r="L1336" i="7"/>
  <c r="K1336" i="7"/>
  <c r="J1336" i="7"/>
  <c r="H1336" i="7"/>
  <c r="G1336" i="7"/>
  <c r="A1336" i="7"/>
  <c r="L1335" i="7"/>
  <c r="K1335" i="7"/>
  <c r="J1335" i="7"/>
  <c r="H1335" i="7"/>
  <c r="G1335" i="7"/>
  <c r="A1335" i="7"/>
  <c r="L1334" i="7"/>
  <c r="K1334" i="7"/>
  <c r="J1334" i="7"/>
  <c r="H1334" i="7"/>
  <c r="G1334" i="7"/>
  <c r="A1334" i="7"/>
  <c r="L1333" i="7"/>
  <c r="K1333" i="7"/>
  <c r="J1333" i="7"/>
  <c r="H1333" i="7"/>
  <c r="G1333" i="7"/>
  <c r="A1333" i="7"/>
  <c r="L1332" i="7"/>
  <c r="K1332" i="7"/>
  <c r="J1332" i="7"/>
  <c r="H1332" i="7"/>
  <c r="G1332" i="7"/>
  <c r="A1332" i="7"/>
  <c r="L1331" i="7"/>
  <c r="K1331" i="7"/>
  <c r="J1331" i="7"/>
  <c r="H1331" i="7"/>
  <c r="G1331" i="7"/>
  <c r="A1331" i="7"/>
  <c r="L1330" i="7"/>
  <c r="K1330" i="7"/>
  <c r="J1330" i="7"/>
  <c r="H1330" i="7"/>
  <c r="G1330" i="7"/>
  <c r="A1330" i="7"/>
  <c r="L1329" i="7"/>
  <c r="K1329" i="7"/>
  <c r="J1329" i="7"/>
  <c r="H1329" i="7"/>
  <c r="G1329" i="7"/>
  <c r="A1329" i="7"/>
  <c r="L1328" i="7"/>
  <c r="K1328" i="7"/>
  <c r="J1328" i="7"/>
  <c r="H1328" i="7"/>
  <c r="G1328" i="7"/>
  <c r="A1328" i="7"/>
  <c r="L1327" i="7"/>
  <c r="K1327" i="7"/>
  <c r="J1327" i="7"/>
  <c r="H1327" i="7"/>
  <c r="G1327" i="7"/>
  <c r="A1327" i="7"/>
  <c r="L1326" i="7"/>
  <c r="K1326" i="7"/>
  <c r="J1326" i="7"/>
  <c r="H1326" i="7"/>
  <c r="G1326" i="7"/>
  <c r="A1326" i="7"/>
  <c r="L1325" i="7"/>
  <c r="K1325" i="7"/>
  <c r="J1325" i="7"/>
  <c r="H1325" i="7"/>
  <c r="G1325" i="7"/>
  <c r="A1325" i="7"/>
  <c r="L1324" i="7"/>
  <c r="K1324" i="7"/>
  <c r="J1324" i="7"/>
  <c r="H1324" i="7"/>
  <c r="G1324" i="7"/>
  <c r="A1324" i="7"/>
  <c r="L1323" i="7"/>
  <c r="K1323" i="7"/>
  <c r="J1323" i="7"/>
  <c r="H1323" i="7"/>
  <c r="G1323" i="7"/>
  <c r="A1323" i="7"/>
  <c r="L1322" i="7"/>
  <c r="K1322" i="7"/>
  <c r="J1322" i="7"/>
  <c r="H1322" i="7"/>
  <c r="G1322" i="7"/>
  <c r="A1322" i="7"/>
  <c r="L1321" i="7"/>
  <c r="K1321" i="7"/>
  <c r="J1321" i="7"/>
  <c r="H1321" i="7"/>
  <c r="G1321" i="7"/>
  <c r="A1321" i="7"/>
  <c r="L1320" i="7"/>
  <c r="K1320" i="7"/>
  <c r="J1320" i="7"/>
  <c r="H1320" i="7"/>
  <c r="G1320" i="7"/>
  <c r="A1320" i="7"/>
  <c r="L1319" i="7"/>
  <c r="K1319" i="7"/>
  <c r="J1319" i="7"/>
  <c r="H1319" i="7"/>
  <c r="G1319" i="7"/>
  <c r="A1319" i="7"/>
  <c r="L1318" i="7"/>
  <c r="K1318" i="7"/>
  <c r="J1318" i="7"/>
  <c r="H1318" i="7"/>
  <c r="G1318" i="7"/>
  <c r="A1318" i="7"/>
  <c r="L1317" i="7"/>
  <c r="K1317" i="7"/>
  <c r="J1317" i="7"/>
  <c r="H1317" i="7"/>
  <c r="G1317" i="7"/>
  <c r="A1317" i="7"/>
  <c r="L1316" i="7"/>
  <c r="K1316" i="7"/>
  <c r="J1316" i="7"/>
  <c r="H1316" i="7"/>
  <c r="G1316" i="7"/>
  <c r="A1316" i="7"/>
  <c r="L1315" i="7"/>
  <c r="K1315" i="7"/>
  <c r="J1315" i="7"/>
  <c r="H1315" i="7"/>
  <c r="G1315" i="7"/>
  <c r="A1315" i="7"/>
  <c r="L1314" i="7"/>
  <c r="K1314" i="7"/>
  <c r="J1314" i="7"/>
  <c r="H1314" i="7"/>
  <c r="G1314" i="7"/>
  <c r="A1314" i="7"/>
  <c r="L1313" i="7"/>
  <c r="K1313" i="7"/>
  <c r="J1313" i="7"/>
  <c r="H1313" i="7"/>
  <c r="G1313" i="7"/>
  <c r="A1313" i="7"/>
  <c r="L1312" i="7"/>
  <c r="K1312" i="7"/>
  <c r="J1312" i="7"/>
  <c r="H1312" i="7"/>
  <c r="G1312" i="7"/>
  <c r="A1312" i="7"/>
  <c r="L1311" i="7"/>
  <c r="K1311" i="7"/>
  <c r="J1311" i="7"/>
  <c r="H1311" i="7"/>
  <c r="G1311" i="7"/>
  <c r="A1311" i="7"/>
  <c r="L1310" i="7"/>
  <c r="K1310" i="7"/>
  <c r="J1310" i="7"/>
  <c r="H1310" i="7"/>
  <c r="G1310" i="7"/>
  <c r="A1310" i="7"/>
  <c r="L1309" i="7"/>
  <c r="K1309" i="7"/>
  <c r="J1309" i="7"/>
  <c r="H1309" i="7"/>
  <c r="G1309" i="7"/>
  <c r="A1309" i="7"/>
  <c r="L1308" i="7"/>
  <c r="K1308" i="7"/>
  <c r="J1308" i="7"/>
  <c r="H1308" i="7"/>
  <c r="G1308" i="7"/>
  <c r="A1308" i="7"/>
  <c r="L1307" i="7"/>
  <c r="K1307" i="7"/>
  <c r="J1307" i="7"/>
  <c r="H1307" i="7"/>
  <c r="G1307" i="7"/>
  <c r="A1307" i="7"/>
  <c r="L1306" i="7"/>
  <c r="K1306" i="7"/>
  <c r="J1306" i="7"/>
  <c r="H1306" i="7"/>
  <c r="G1306" i="7"/>
  <c r="A1306" i="7"/>
  <c r="L1305" i="7"/>
  <c r="K1305" i="7"/>
  <c r="J1305" i="7"/>
  <c r="H1305" i="7"/>
  <c r="G1305" i="7"/>
  <c r="A1305" i="7"/>
  <c r="L1304" i="7"/>
  <c r="K1304" i="7"/>
  <c r="J1304" i="7"/>
  <c r="H1304" i="7"/>
  <c r="G1304" i="7"/>
  <c r="A1304" i="7"/>
  <c r="L1303" i="7"/>
  <c r="K1303" i="7"/>
  <c r="J1303" i="7"/>
  <c r="H1303" i="7"/>
  <c r="G1303" i="7"/>
  <c r="A1303" i="7"/>
  <c r="L1302" i="7"/>
  <c r="K1302" i="7"/>
  <c r="J1302" i="7"/>
  <c r="H1302" i="7"/>
  <c r="G1302" i="7"/>
  <c r="A1302" i="7"/>
  <c r="L1301" i="7"/>
  <c r="K1301" i="7"/>
  <c r="J1301" i="7"/>
  <c r="H1301" i="7"/>
  <c r="G1301" i="7"/>
  <c r="A1301" i="7"/>
  <c r="L1300" i="7"/>
  <c r="K1300" i="7"/>
  <c r="J1300" i="7"/>
  <c r="H1300" i="7"/>
  <c r="G1300" i="7"/>
  <c r="A1300" i="7"/>
  <c r="L1299" i="7"/>
  <c r="K1299" i="7"/>
  <c r="J1299" i="7"/>
  <c r="H1299" i="7"/>
  <c r="G1299" i="7"/>
  <c r="A1299" i="7"/>
  <c r="L1298" i="7"/>
  <c r="K1298" i="7"/>
  <c r="J1298" i="7"/>
  <c r="H1298" i="7"/>
  <c r="G1298" i="7"/>
  <c r="A1298" i="7"/>
  <c r="L1297" i="7"/>
  <c r="K1297" i="7"/>
  <c r="J1297" i="7"/>
  <c r="H1297" i="7"/>
  <c r="G1297" i="7"/>
  <c r="A1297" i="7"/>
  <c r="L1296" i="7"/>
  <c r="K1296" i="7"/>
  <c r="J1296" i="7"/>
  <c r="H1296" i="7"/>
  <c r="G1296" i="7"/>
  <c r="A1296" i="7"/>
  <c r="L1295" i="7"/>
  <c r="K1295" i="7"/>
  <c r="J1295" i="7"/>
  <c r="H1295" i="7"/>
  <c r="G1295" i="7"/>
  <c r="A1295" i="7"/>
  <c r="L1294" i="7"/>
  <c r="K1294" i="7"/>
  <c r="J1294" i="7"/>
  <c r="H1294" i="7"/>
  <c r="G1294" i="7"/>
  <c r="A1294" i="7"/>
  <c r="L1293" i="7"/>
  <c r="K1293" i="7"/>
  <c r="J1293" i="7"/>
  <c r="H1293" i="7"/>
  <c r="G1293" i="7"/>
  <c r="A1293" i="7"/>
  <c r="L1292" i="7"/>
  <c r="K1292" i="7"/>
  <c r="J1292" i="7"/>
  <c r="H1292" i="7"/>
  <c r="G1292" i="7"/>
  <c r="A1292" i="7"/>
  <c r="L1291" i="7"/>
  <c r="K1291" i="7"/>
  <c r="J1291" i="7"/>
  <c r="H1291" i="7"/>
  <c r="G1291" i="7"/>
  <c r="A1291" i="7"/>
  <c r="L1290" i="7"/>
  <c r="K1290" i="7"/>
  <c r="J1290" i="7"/>
  <c r="H1290" i="7"/>
  <c r="G1290" i="7"/>
  <c r="A1290" i="7"/>
  <c r="L1289" i="7"/>
  <c r="K1289" i="7"/>
  <c r="J1289" i="7"/>
  <c r="H1289" i="7"/>
  <c r="G1289" i="7"/>
  <c r="A1289" i="7"/>
  <c r="L1288" i="7"/>
  <c r="K1288" i="7"/>
  <c r="J1288" i="7"/>
  <c r="H1288" i="7"/>
  <c r="G1288" i="7"/>
  <c r="A1288" i="7"/>
  <c r="L1287" i="7"/>
  <c r="K1287" i="7"/>
  <c r="J1287" i="7"/>
  <c r="H1287" i="7"/>
  <c r="G1287" i="7"/>
  <c r="A1287" i="7"/>
  <c r="L1286" i="7"/>
  <c r="K1286" i="7"/>
  <c r="J1286" i="7"/>
  <c r="H1286" i="7"/>
  <c r="G1286" i="7"/>
  <c r="A1286" i="7"/>
  <c r="L1285" i="7"/>
  <c r="K1285" i="7"/>
  <c r="J1285" i="7"/>
  <c r="H1285" i="7"/>
  <c r="G1285" i="7"/>
  <c r="A1285" i="7"/>
  <c r="L1284" i="7"/>
  <c r="K1284" i="7"/>
  <c r="J1284" i="7"/>
  <c r="H1284" i="7"/>
  <c r="G1284" i="7"/>
  <c r="A1284" i="7"/>
  <c r="L1283" i="7"/>
  <c r="K1283" i="7"/>
  <c r="J1283" i="7"/>
  <c r="H1283" i="7"/>
  <c r="G1283" i="7"/>
  <c r="A1283" i="7"/>
  <c r="L1282" i="7"/>
  <c r="K1282" i="7"/>
  <c r="J1282" i="7"/>
  <c r="H1282" i="7"/>
  <c r="G1282" i="7"/>
  <c r="A1282" i="7"/>
  <c r="L1281" i="7"/>
  <c r="K1281" i="7"/>
  <c r="J1281" i="7"/>
  <c r="H1281" i="7"/>
  <c r="G1281" i="7"/>
  <c r="A1281" i="7"/>
  <c r="L1280" i="7"/>
  <c r="K1280" i="7"/>
  <c r="J1280" i="7"/>
  <c r="H1280" i="7"/>
  <c r="G1280" i="7"/>
  <c r="A1280" i="7"/>
  <c r="L1279" i="7"/>
  <c r="K1279" i="7"/>
  <c r="J1279" i="7"/>
  <c r="H1279" i="7"/>
  <c r="G1279" i="7"/>
  <c r="A1279" i="7"/>
  <c r="L1278" i="7"/>
  <c r="K1278" i="7"/>
  <c r="J1278" i="7"/>
  <c r="H1278" i="7"/>
  <c r="G1278" i="7"/>
  <c r="A1278" i="7"/>
  <c r="L1277" i="7"/>
  <c r="K1277" i="7"/>
  <c r="J1277" i="7"/>
  <c r="H1277" i="7"/>
  <c r="G1277" i="7"/>
  <c r="A1277" i="7"/>
  <c r="L1276" i="7"/>
  <c r="K1276" i="7"/>
  <c r="J1276" i="7"/>
  <c r="H1276" i="7"/>
  <c r="G1276" i="7"/>
  <c r="A1276" i="7"/>
  <c r="L1275" i="7"/>
  <c r="K1275" i="7"/>
  <c r="J1275" i="7"/>
  <c r="H1275" i="7"/>
  <c r="G1275" i="7"/>
  <c r="A1275" i="7"/>
  <c r="L1274" i="7"/>
  <c r="K1274" i="7"/>
  <c r="J1274" i="7"/>
  <c r="H1274" i="7"/>
  <c r="G1274" i="7"/>
  <c r="A1274" i="7"/>
  <c r="L1273" i="7"/>
  <c r="K1273" i="7"/>
  <c r="J1273" i="7"/>
  <c r="H1273" i="7"/>
  <c r="G1273" i="7"/>
  <c r="A1273" i="7"/>
  <c r="L1272" i="7"/>
  <c r="K1272" i="7"/>
  <c r="J1272" i="7"/>
  <c r="H1272" i="7"/>
  <c r="G1272" i="7"/>
  <c r="A1272" i="7"/>
  <c r="L1271" i="7"/>
  <c r="K1271" i="7"/>
  <c r="J1271" i="7"/>
  <c r="H1271" i="7"/>
  <c r="G1271" i="7"/>
  <c r="A1271" i="7"/>
  <c r="L1270" i="7"/>
  <c r="K1270" i="7"/>
  <c r="J1270" i="7"/>
  <c r="H1270" i="7"/>
  <c r="G1270" i="7"/>
  <c r="A1270" i="7"/>
  <c r="L1269" i="7"/>
  <c r="K1269" i="7"/>
  <c r="J1269" i="7"/>
  <c r="H1269" i="7"/>
  <c r="G1269" i="7"/>
  <c r="A1269" i="7"/>
  <c r="L1268" i="7"/>
  <c r="K1268" i="7"/>
  <c r="J1268" i="7"/>
  <c r="H1268" i="7"/>
  <c r="G1268" i="7"/>
  <c r="A1268" i="7"/>
  <c r="L1267" i="7"/>
  <c r="K1267" i="7"/>
  <c r="J1267" i="7"/>
  <c r="H1267" i="7"/>
  <c r="G1267" i="7"/>
  <c r="A1267" i="7"/>
  <c r="L1266" i="7"/>
  <c r="K1266" i="7"/>
  <c r="J1266" i="7"/>
  <c r="H1266" i="7"/>
  <c r="G1266" i="7"/>
  <c r="A1266" i="7"/>
  <c r="L1265" i="7"/>
  <c r="K1265" i="7"/>
  <c r="J1265" i="7"/>
  <c r="H1265" i="7"/>
  <c r="G1265" i="7"/>
  <c r="A1265" i="7"/>
  <c r="L1264" i="7"/>
  <c r="K1264" i="7"/>
  <c r="J1264" i="7"/>
  <c r="H1264" i="7"/>
  <c r="G1264" i="7"/>
  <c r="A1264" i="7"/>
  <c r="L1263" i="7"/>
  <c r="K1263" i="7"/>
  <c r="J1263" i="7"/>
  <c r="H1263" i="7"/>
  <c r="G1263" i="7"/>
  <c r="A1263" i="7"/>
  <c r="L1262" i="7"/>
  <c r="K1262" i="7"/>
  <c r="J1262" i="7"/>
  <c r="H1262" i="7"/>
  <c r="G1262" i="7"/>
  <c r="A1262" i="7"/>
  <c r="L1261" i="7"/>
  <c r="K1261" i="7"/>
  <c r="J1261" i="7"/>
  <c r="H1261" i="7"/>
  <c r="G1261" i="7"/>
  <c r="A1261" i="7"/>
  <c r="L1260" i="7"/>
  <c r="K1260" i="7"/>
  <c r="J1260" i="7"/>
  <c r="H1260" i="7"/>
  <c r="G1260" i="7"/>
  <c r="A1260" i="7"/>
  <c r="L1259" i="7"/>
  <c r="K1259" i="7"/>
  <c r="J1259" i="7"/>
  <c r="H1259" i="7"/>
  <c r="G1259" i="7"/>
  <c r="A1259" i="7"/>
  <c r="L1258" i="7"/>
  <c r="K1258" i="7"/>
  <c r="J1258" i="7"/>
  <c r="H1258" i="7"/>
  <c r="G1258" i="7"/>
  <c r="A1258" i="7"/>
  <c r="L1257" i="7"/>
  <c r="K1257" i="7"/>
  <c r="J1257" i="7"/>
  <c r="H1257" i="7"/>
  <c r="G1257" i="7"/>
  <c r="A1257" i="7"/>
  <c r="L1256" i="7"/>
  <c r="K1256" i="7"/>
  <c r="J1256" i="7"/>
  <c r="H1256" i="7"/>
  <c r="G1256" i="7"/>
  <c r="A1256" i="7"/>
  <c r="L1255" i="7"/>
  <c r="K1255" i="7"/>
  <c r="J1255" i="7"/>
  <c r="H1255" i="7"/>
  <c r="G1255" i="7"/>
  <c r="A1255" i="7"/>
  <c r="L1254" i="7"/>
  <c r="K1254" i="7"/>
  <c r="J1254" i="7"/>
  <c r="H1254" i="7"/>
  <c r="G1254" i="7"/>
  <c r="A1254" i="7"/>
  <c r="L1253" i="7"/>
  <c r="K1253" i="7"/>
  <c r="J1253" i="7"/>
  <c r="H1253" i="7"/>
  <c r="G1253" i="7"/>
  <c r="A1253" i="7"/>
  <c r="L1252" i="7"/>
  <c r="K1252" i="7"/>
  <c r="J1252" i="7"/>
  <c r="H1252" i="7"/>
  <c r="G1252" i="7"/>
  <c r="A1252" i="7"/>
  <c r="L1251" i="7"/>
  <c r="K1251" i="7"/>
  <c r="J1251" i="7"/>
  <c r="H1251" i="7"/>
  <c r="G1251" i="7"/>
  <c r="A1251" i="7"/>
  <c r="L1250" i="7"/>
  <c r="K1250" i="7"/>
  <c r="J1250" i="7"/>
  <c r="H1250" i="7"/>
  <c r="G1250" i="7"/>
  <c r="A1250" i="7"/>
  <c r="L1249" i="7"/>
  <c r="K1249" i="7"/>
  <c r="J1249" i="7"/>
  <c r="H1249" i="7"/>
  <c r="G1249" i="7"/>
  <c r="A1249" i="7"/>
  <c r="L1248" i="7"/>
  <c r="K1248" i="7"/>
  <c r="J1248" i="7"/>
  <c r="H1248" i="7"/>
  <c r="G1248" i="7"/>
  <c r="A1248" i="7"/>
  <c r="L1247" i="7"/>
  <c r="K1247" i="7"/>
  <c r="J1247" i="7"/>
  <c r="H1247" i="7"/>
  <c r="G1247" i="7"/>
  <c r="A1247" i="7"/>
  <c r="L1246" i="7"/>
  <c r="K1246" i="7"/>
  <c r="J1246" i="7"/>
  <c r="H1246" i="7"/>
  <c r="G1246" i="7"/>
  <c r="A1246" i="7"/>
  <c r="L1245" i="7"/>
  <c r="K1245" i="7"/>
  <c r="J1245" i="7"/>
  <c r="H1245" i="7"/>
  <c r="G1245" i="7"/>
  <c r="A1245" i="7"/>
  <c r="L1244" i="7"/>
  <c r="K1244" i="7"/>
  <c r="J1244" i="7"/>
  <c r="H1244" i="7"/>
  <c r="G1244" i="7"/>
  <c r="A1244" i="7"/>
  <c r="L1243" i="7"/>
  <c r="K1243" i="7"/>
  <c r="J1243" i="7"/>
  <c r="H1243" i="7"/>
  <c r="G1243" i="7"/>
  <c r="A1243" i="7"/>
  <c r="L1242" i="7"/>
  <c r="K1242" i="7"/>
  <c r="J1242" i="7"/>
  <c r="H1242" i="7"/>
  <c r="G1242" i="7"/>
  <c r="A1242" i="7"/>
  <c r="L1241" i="7"/>
  <c r="K1241" i="7"/>
  <c r="J1241" i="7"/>
  <c r="H1241" i="7"/>
  <c r="G1241" i="7"/>
  <c r="A1241" i="7"/>
  <c r="L1240" i="7"/>
  <c r="K1240" i="7"/>
  <c r="J1240" i="7"/>
  <c r="H1240" i="7"/>
  <c r="G1240" i="7"/>
  <c r="A1240" i="7"/>
  <c r="L1239" i="7"/>
  <c r="K1239" i="7"/>
  <c r="J1239" i="7"/>
  <c r="H1239" i="7"/>
  <c r="G1239" i="7"/>
  <c r="A1239" i="7"/>
  <c r="L1238" i="7"/>
  <c r="K1238" i="7"/>
  <c r="J1238" i="7"/>
  <c r="H1238" i="7"/>
  <c r="G1238" i="7"/>
  <c r="A1238" i="7"/>
  <c r="L1237" i="7"/>
  <c r="K1237" i="7"/>
  <c r="J1237" i="7"/>
  <c r="H1237" i="7"/>
  <c r="G1237" i="7"/>
  <c r="A1237" i="7"/>
  <c r="L1236" i="7"/>
  <c r="K1236" i="7"/>
  <c r="J1236" i="7"/>
  <c r="H1236" i="7"/>
  <c r="G1236" i="7"/>
  <c r="A1236" i="7"/>
  <c r="L1235" i="7"/>
  <c r="K1235" i="7"/>
  <c r="J1235" i="7"/>
  <c r="H1235" i="7"/>
  <c r="G1235" i="7"/>
  <c r="A1235" i="7"/>
  <c r="L1234" i="7"/>
  <c r="K1234" i="7"/>
  <c r="J1234" i="7"/>
  <c r="H1234" i="7"/>
  <c r="G1234" i="7"/>
  <c r="A1234" i="7"/>
  <c r="L1233" i="7"/>
  <c r="K1233" i="7"/>
  <c r="J1233" i="7"/>
  <c r="H1233" i="7"/>
  <c r="G1233" i="7"/>
  <c r="A1233" i="7"/>
  <c r="L1232" i="7"/>
  <c r="K1232" i="7"/>
  <c r="J1232" i="7"/>
  <c r="H1232" i="7"/>
  <c r="G1232" i="7"/>
  <c r="A1232" i="7"/>
  <c r="L1231" i="7"/>
  <c r="K1231" i="7"/>
  <c r="J1231" i="7"/>
  <c r="H1231" i="7"/>
  <c r="G1231" i="7"/>
  <c r="A1231" i="7"/>
  <c r="L1230" i="7"/>
  <c r="K1230" i="7"/>
  <c r="J1230" i="7"/>
  <c r="H1230" i="7"/>
  <c r="G1230" i="7"/>
  <c r="A1230" i="7"/>
  <c r="L1229" i="7"/>
  <c r="K1229" i="7"/>
  <c r="J1229" i="7"/>
  <c r="H1229" i="7"/>
  <c r="G1229" i="7"/>
  <c r="A1229" i="7"/>
  <c r="L1228" i="7"/>
  <c r="K1228" i="7"/>
  <c r="J1228" i="7"/>
  <c r="H1228" i="7"/>
  <c r="G1228" i="7"/>
  <c r="A1228" i="7"/>
  <c r="L1227" i="7"/>
  <c r="K1227" i="7"/>
  <c r="J1227" i="7"/>
  <c r="H1227" i="7"/>
  <c r="G1227" i="7"/>
  <c r="A1227" i="7"/>
  <c r="L1226" i="7"/>
  <c r="K1226" i="7"/>
  <c r="J1226" i="7"/>
  <c r="H1226" i="7"/>
  <c r="G1226" i="7"/>
  <c r="A1226" i="7"/>
  <c r="L1225" i="7"/>
  <c r="K1225" i="7"/>
  <c r="J1225" i="7"/>
  <c r="H1225" i="7"/>
  <c r="G1225" i="7"/>
  <c r="A1225" i="7"/>
  <c r="L1224" i="7"/>
  <c r="K1224" i="7"/>
  <c r="J1224" i="7"/>
  <c r="H1224" i="7"/>
  <c r="G1224" i="7"/>
  <c r="A1224" i="7"/>
  <c r="L1223" i="7"/>
  <c r="K1223" i="7"/>
  <c r="J1223" i="7"/>
  <c r="H1223" i="7"/>
  <c r="G1223" i="7"/>
  <c r="A1223" i="7"/>
  <c r="L1222" i="7"/>
  <c r="K1222" i="7"/>
  <c r="J1222" i="7"/>
  <c r="H1222" i="7"/>
  <c r="G1222" i="7"/>
  <c r="A1222" i="7"/>
  <c r="L1221" i="7"/>
  <c r="K1221" i="7"/>
  <c r="J1221" i="7"/>
  <c r="H1221" i="7"/>
  <c r="G1221" i="7"/>
  <c r="A1221" i="7"/>
  <c r="L1220" i="7"/>
  <c r="K1220" i="7"/>
  <c r="J1220" i="7"/>
  <c r="H1220" i="7"/>
  <c r="G1220" i="7"/>
  <c r="A1220" i="7"/>
  <c r="L1219" i="7"/>
  <c r="K1219" i="7"/>
  <c r="J1219" i="7"/>
  <c r="H1219" i="7"/>
  <c r="G1219" i="7"/>
  <c r="A1219" i="7"/>
  <c r="L1218" i="7"/>
  <c r="K1218" i="7"/>
  <c r="J1218" i="7"/>
  <c r="H1218" i="7"/>
  <c r="G1218" i="7"/>
  <c r="A1218" i="7"/>
  <c r="L1217" i="7"/>
  <c r="K1217" i="7"/>
  <c r="J1217" i="7"/>
  <c r="H1217" i="7"/>
  <c r="G1217" i="7"/>
  <c r="A1217" i="7"/>
  <c r="L1216" i="7"/>
  <c r="K1216" i="7"/>
  <c r="J1216" i="7"/>
  <c r="H1216" i="7"/>
  <c r="G1216" i="7"/>
  <c r="A1216" i="7"/>
  <c r="L1215" i="7"/>
  <c r="K1215" i="7"/>
  <c r="J1215" i="7"/>
  <c r="H1215" i="7"/>
  <c r="G1215" i="7"/>
  <c r="A1215" i="7"/>
  <c r="L1214" i="7"/>
  <c r="K1214" i="7"/>
  <c r="J1214" i="7"/>
  <c r="H1214" i="7"/>
  <c r="G1214" i="7"/>
  <c r="A1214" i="7"/>
  <c r="L1213" i="7"/>
  <c r="K1213" i="7"/>
  <c r="J1213" i="7"/>
  <c r="H1213" i="7"/>
  <c r="G1213" i="7"/>
  <c r="A1213" i="7"/>
  <c r="L1212" i="7"/>
  <c r="K1212" i="7"/>
  <c r="J1212" i="7"/>
  <c r="H1212" i="7"/>
  <c r="G1212" i="7"/>
  <c r="A1212" i="7"/>
  <c r="L1211" i="7"/>
  <c r="K1211" i="7"/>
  <c r="J1211" i="7"/>
  <c r="H1211" i="7"/>
  <c r="G1211" i="7"/>
  <c r="A1211" i="7"/>
  <c r="L1210" i="7"/>
  <c r="K1210" i="7"/>
  <c r="J1210" i="7"/>
  <c r="H1210" i="7"/>
  <c r="G1210" i="7"/>
  <c r="A1210" i="7"/>
  <c r="L1209" i="7"/>
  <c r="K1209" i="7"/>
  <c r="J1209" i="7"/>
  <c r="H1209" i="7"/>
  <c r="G1209" i="7"/>
  <c r="A1209" i="7"/>
  <c r="L1208" i="7"/>
  <c r="K1208" i="7"/>
  <c r="J1208" i="7"/>
  <c r="H1208" i="7"/>
  <c r="G1208" i="7"/>
  <c r="A1208" i="7"/>
  <c r="L1207" i="7"/>
  <c r="K1207" i="7"/>
  <c r="J1207" i="7"/>
  <c r="H1207" i="7"/>
  <c r="G1207" i="7"/>
  <c r="A1207" i="7"/>
  <c r="L1206" i="7"/>
  <c r="K1206" i="7"/>
  <c r="J1206" i="7"/>
  <c r="H1206" i="7"/>
  <c r="G1206" i="7"/>
  <c r="A1206" i="7"/>
  <c r="L1205" i="7"/>
  <c r="K1205" i="7"/>
  <c r="J1205" i="7"/>
  <c r="H1205" i="7"/>
  <c r="G1205" i="7"/>
  <c r="A1205" i="7"/>
  <c r="L1204" i="7"/>
  <c r="K1204" i="7"/>
  <c r="J1204" i="7"/>
  <c r="H1204" i="7"/>
  <c r="G1204" i="7"/>
  <c r="A1204" i="7"/>
  <c r="L1203" i="7"/>
  <c r="K1203" i="7"/>
  <c r="J1203" i="7"/>
  <c r="H1203" i="7"/>
  <c r="G1203" i="7"/>
  <c r="A1203" i="7"/>
  <c r="L1202" i="7"/>
  <c r="K1202" i="7"/>
  <c r="J1202" i="7"/>
  <c r="H1202" i="7"/>
  <c r="G1202" i="7"/>
  <c r="A1202" i="7"/>
  <c r="L1201" i="7"/>
  <c r="K1201" i="7"/>
  <c r="J1201" i="7"/>
  <c r="H1201" i="7"/>
  <c r="G1201" i="7"/>
  <c r="A1201" i="7"/>
  <c r="L1200" i="7"/>
  <c r="K1200" i="7"/>
  <c r="J1200" i="7"/>
  <c r="H1200" i="7"/>
  <c r="G1200" i="7"/>
  <c r="A1200" i="7"/>
  <c r="L1199" i="7"/>
  <c r="K1199" i="7"/>
  <c r="J1199" i="7"/>
  <c r="H1199" i="7"/>
  <c r="G1199" i="7"/>
  <c r="A1199" i="7"/>
  <c r="L1198" i="7"/>
  <c r="K1198" i="7"/>
  <c r="J1198" i="7"/>
  <c r="H1198" i="7"/>
  <c r="G1198" i="7"/>
  <c r="A1198" i="7"/>
  <c r="L1197" i="7"/>
  <c r="K1197" i="7"/>
  <c r="J1197" i="7"/>
  <c r="H1197" i="7"/>
  <c r="G1197" i="7"/>
  <c r="A1197" i="7"/>
  <c r="L1196" i="7"/>
  <c r="K1196" i="7"/>
  <c r="J1196" i="7"/>
  <c r="H1196" i="7"/>
  <c r="G1196" i="7"/>
  <c r="A1196" i="7"/>
  <c r="L1195" i="7"/>
  <c r="K1195" i="7"/>
  <c r="J1195" i="7"/>
  <c r="H1195" i="7"/>
  <c r="G1195" i="7"/>
  <c r="A1195" i="7"/>
  <c r="L1194" i="7"/>
  <c r="K1194" i="7"/>
  <c r="J1194" i="7"/>
  <c r="H1194" i="7"/>
  <c r="G1194" i="7"/>
  <c r="A1194" i="7"/>
  <c r="L1193" i="7"/>
  <c r="K1193" i="7"/>
  <c r="J1193" i="7"/>
  <c r="H1193" i="7"/>
  <c r="G1193" i="7"/>
  <c r="A1193" i="7"/>
  <c r="L1192" i="7"/>
  <c r="K1192" i="7"/>
  <c r="J1192" i="7"/>
  <c r="H1192" i="7"/>
  <c r="G1192" i="7"/>
  <c r="A1192" i="7"/>
  <c r="L1191" i="7"/>
  <c r="K1191" i="7"/>
  <c r="J1191" i="7"/>
  <c r="H1191" i="7"/>
  <c r="G1191" i="7"/>
  <c r="A1191" i="7"/>
  <c r="L1190" i="7"/>
  <c r="K1190" i="7"/>
  <c r="J1190" i="7"/>
  <c r="H1190" i="7"/>
  <c r="G1190" i="7"/>
  <c r="A1190" i="7"/>
  <c r="L1189" i="7"/>
  <c r="K1189" i="7"/>
  <c r="J1189" i="7"/>
  <c r="H1189" i="7"/>
  <c r="G1189" i="7"/>
  <c r="A1189" i="7"/>
  <c r="L1188" i="7"/>
  <c r="K1188" i="7"/>
  <c r="J1188" i="7"/>
  <c r="H1188" i="7"/>
  <c r="G1188" i="7"/>
  <c r="A1188" i="7"/>
  <c r="L1187" i="7"/>
  <c r="K1187" i="7"/>
  <c r="J1187" i="7"/>
  <c r="H1187" i="7"/>
  <c r="G1187" i="7"/>
  <c r="A1187" i="7"/>
  <c r="L1186" i="7"/>
  <c r="K1186" i="7"/>
  <c r="J1186" i="7"/>
  <c r="H1186" i="7"/>
  <c r="G1186" i="7"/>
  <c r="A1186" i="7"/>
  <c r="L1185" i="7"/>
  <c r="K1185" i="7"/>
  <c r="J1185" i="7"/>
  <c r="H1185" i="7"/>
  <c r="G1185" i="7"/>
  <c r="A1185" i="7"/>
  <c r="L1184" i="7"/>
  <c r="K1184" i="7"/>
  <c r="J1184" i="7"/>
  <c r="H1184" i="7"/>
  <c r="G1184" i="7"/>
  <c r="A1184" i="7"/>
  <c r="L1183" i="7"/>
  <c r="K1183" i="7"/>
  <c r="J1183" i="7"/>
  <c r="H1183" i="7"/>
  <c r="G1183" i="7"/>
  <c r="A1183" i="7"/>
  <c r="L1182" i="7"/>
  <c r="K1182" i="7"/>
  <c r="J1182" i="7"/>
  <c r="H1182" i="7"/>
  <c r="G1182" i="7"/>
  <c r="A1182" i="7"/>
  <c r="L1181" i="7"/>
  <c r="K1181" i="7"/>
  <c r="J1181" i="7"/>
  <c r="H1181" i="7"/>
  <c r="G1181" i="7"/>
  <c r="A1181" i="7"/>
  <c r="L1180" i="7"/>
  <c r="K1180" i="7"/>
  <c r="J1180" i="7"/>
  <c r="H1180" i="7"/>
  <c r="G1180" i="7"/>
  <c r="A1180" i="7"/>
  <c r="L1179" i="7"/>
  <c r="K1179" i="7"/>
  <c r="J1179" i="7"/>
  <c r="H1179" i="7"/>
  <c r="G1179" i="7"/>
  <c r="A1179" i="7"/>
  <c r="L1178" i="7"/>
  <c r="K1178" i="7"/>
  <c r="J1178" i="7"/>
  <c r="H1178" i="7"/>
  <c r="G1178" i="7"/>
  <c r="A1178" i="7"/>
  <c r="L1177" i="7"/>
  <c r="K1177" i="7"/>
  <c r="J1177" i="7"/>
  <c r="H1177" i="7"/>
  <c r="G1177" i="7"/>
  <c r="A1177" i="7"/>
  <c r="L1176" i="7"/>
  <c r="K1176" i="7"/>
  <c r="J1176" i="7"/>
  <c r="H1176" i="7"/>
  <c r="G1176" i="7"/>
  <c r="A1176" i="7"/>
  <c r="L1175" i="7"/>
  <c r="K1175" i="7"/>
  <c r="J1175" i="7"/>
  <c r="H1175" i="7"/>
  <c r="G1175" i="7"/>
  <c r="A1175" i="7"/>
  <c r="L1174" i="7"/>
  <c r="K1174" i="7"/>
  <c r="J1174" i="7"/>
  <c r="H1174" i="7"/>
  <c r="G1174" i="7"/>
  <c r="A1174" i="7"/>
  <c r="L1173" i="7"/>
  <c r="K1173" i="7"/>
  <c r="J1173" i="7"/>
  <c r="H1173" i="7"/>
  <c r="G1173" i="7"/>
  <c r="A1173" i="7"/>
  <c r="L1172" i="7"/>
  <c r="K1172" i="7"/>
  <c r="J1172" i="7"/>
  <c r="H1172" i="7"/>
  <c r="G1172" i="7"/>
  <c r="A1172" i="7"/>
  <c r="L1171" i="7"/>
  <c r="K1171" i="7"/>
  <c r="J1171" i="7"/>
  <c r="H1171" i="7"/>
  <c r="G1171" i="7"/>
  <c r="A1171" i="7"/>
  <c r="L1170" i="7"/>
  <c r="K1170" i="7"/>
  <c r="J1170" i="7"/>
  <c r="H1170" i="7"/>
  <c r="G1170" i="7"/>
  <c r="A1170" i="7"/>
  <c r="L1169" i="7"/>
  <c r="K1169" i="7"/>
  <c r="J1169" i="7"/>
  <c r="H1169" i="7"/>
  <c r="G1169" i="7"/>
  <c r="A1169" i="7"/>
  <c r="L1168" i="7"/>
  <c r="K1168" i="7"/>
  <c r="J1168" i="7"/>
  <c r="H1168" i="7"/>
  <c r="G1168" i="7"/>
  <c r="A1168" i="7"/>
  <c r="L1167" i="7"/>
  <c r="K1167" i="7"/>
  <c r="J1167" i="7"/>
  <c r="H1167" i="7"/>
  <c r="G1167" i="7"/>
  <c r="A1167" i="7"/>
  <c r="L1166" i="7"/>
  <c r="K1166" i="7"/>
  <c r="J1166" i="7"/>
  <c r="H1166" i="7"/>
  <c r="G1166" i="7"/>
  <c r="A1166" i="7"/>
  <c r="L1165" i="7"/>
  <c r="K1165" i="7"/>
  <c r="J1165" i="7"/>
  <c r="H1165" i="7"/>
  <c r="G1165" i="7"/>
  <c r="A1165" i="7"/>
  <c r="L1164" i="7"/>
  <c r="K1164" i="7"/>
  <c r="J1164" i="7"/>
  <c r="H1164" i="7"/>
  <c r="G1164" i="7"/>
  <c r="A1164" i="7"/>
  <c r="L1163" i="7"/>
  <c r="K1163" i="7"/>
  <c r="J1163" i="7"/>
  <c r="H1163" i="7"/>
  <c r="G1163" i="7"/>
  <c r="A1163" i="7"/>
  <c r="L1162" i="7"/>
  <c r="K1162" i="7"/>
  <c r="J1162" i="7"/>
  <c r="H1162" i="7"/>
  <c r="G1162" i="7"/>
  <c r="A1162" i="7"/>
  <c r="L1161" i="7"/>
  <c r="K1161" i="7"/>
  <c r="J1161" i="7"/>
  <c r="H1161" i="7"/>
  <c r="G1161" i="7"/>
  <c r="A1161" i="7"/>
  <c r="L1160" i="7"/>
  <c r="K1160" i="7"/>
  <c r="J1160" i="7"/>
  <c r="H1160" i="7"/>
  <c r="G1160" i="7"/>
  <c r="A1160" i="7"/>
  <c r="L1159" i="7"/>
  <c r="K1159" i="7"/>
  <c r="J1159" i="7"/>
  <c r="H1159" i="7"/>
  <c r="G1159" i="7"/>
  <c r="A1159" i="7"/>
  <c r="L1158" i="7"/>
  <c r="K1158" i="7"/>
  <c r="J1158" i="7"/>
  <c r="H1158" i="7"/>
  <c r="G1158" i="7"/>
  <c r="A1158" i="7"/>
  <c r="L1157" i="7"/>
  <c r="K1157" i="7"/>
  <c r="J1157" i="7"/>
  <c r="H1157" i="7"/>
  <c r="G1157" i="7"/>
  <c r="A1157" i="7"/>
  <c r="L1156" i="7"/>
  <c r="K1156" i="7"/>
  <c r="J1156" i="7"/>
  <c r="H1156" i="7"/>
  <c r="G1156" i="7"/>
  <c r="A1156" i="7"/>
  <c r="L1155" i="7"/>
  <c r="K1155" i="7"/>
  <c r="J1155" i="7"/>
  <c r="H1155" i="7"/>
  <c r="G1155" i="7"/>
  <c r="A1155" i="7"/>
  <c r="L1154" i="7"/>
  <c r="K1154" i="7"/>
  <c r="J1154" i="7"/>
  <c r="H1154" i="7"/>
  <c r="G1154" i="7"/>
  <c r="A1154" i="7"/>
  <c r="L1153" i="7"/>
  <c r="K1153" i="7"/>
  <c r="J1153" i="7"/>
  <c r="H1153" i="7"/>
  <c r="G1153" i="7"/>
  <c r="A1153" i="7"/>
  <c r="L1152" i="7"/>
  <c r="K1152" i="7"/>
  <c r="J1152" i="7"/>
  <c r="H1152" i="7"/>
  <c r="G1152" i="7"/>
  <c r="A1152" i="7"/>
  <c r="L1151" i="7"/>
  <c r="K1151" i="7"/>
  <c r="J1151" i="7"/>
  <c r="H1151" i="7"/>
  <c r="G1151" i="7"/>
  <c r="A1151" i="7"/>
  <c r="L1150" i="7"/>
  <c r="K1150" i="7"/>
  <c r="J1150" i="7"/>
  <c r="H1150" i="7"/>
  <c r="G1150" i="7"/>
  <c r="A1150" i="7"/>
  <c r="L1149" i="7"/>
  <c r="K1149" i="7"/>
  <c r="J1149" i="7"/>
  <c r="H1149" i="7"/>
  <c r="G1149" i="7"/>
  <c r="A1149" i="7"/>
  <c r="L1148" i="7"/>
  <c r="K1148" i="7"/>
  <c r="J1148" i="7"/>
  <c r="H1148" i="7"/>
  <c r="G1148" i="7"/>
  <c r="A1148" i="7"/>
  <c r="L1147" i="7"/>
  <c r="K1147" i="7"/>
  <c r="J1147" i="7"/>
  <c r="H1147" i="7"/>
  <c r="G1147" i="7"/>
  <c r="A1147" i="7"/>
  <c r="L1146" i="7"/>
  <c r="K1146" i="7"/>
  <c r="J1146" i="7"/>
  <c r="H1146" i="7"/>
  <c r="G1146" i="7"/>
  <c r="A1146" i="7"/>
  <c r="L1145" i="7"/>
  <c r="K1145" i="7"/>
  <c r="J1145" i="7"/>
  <c r="H1145" i="7"/>
  <c r="G1145" i="7"/>
  <c r="A1145" i="7"/>
  <c r="L1144" i="7"/>
  <c r="K1144" i="7"/>
  <c r="J1144" i="7"/>
  <c r="H1144" i="7"/>
  <c r="G1144" i="7"/>
  <c r="A1144" i="7"/>
  <c r="L1143" i="7"/>
  <c r="K1143" i="7"/>
  <c r="J1143" i="7"/>
  <c r="H1143" i="7"/>
  <c r="G1143" i="7"/>
  <c r="A1143" i="7"/>
  <c r="L1142" i="7"/>
  <c r="K1142" i="7"/>
  <c r="J1142" i="7"/>
  <c r="H1142" i="7"/>
  <c r="G1142" i="7"/>
  <c r="A1142" i="7"/>
  <c r="L1141" i="7"/>
  <c r="K1141" i="7"/>
  <c r="J1141" i="7"/>
  <c r="H1141" i="7"/>
  <c r="G1141" i="7"/>
  <c r="A1141" i="7"/>
  <c r="L1140" i="7"/>
  <c r="K1140" i="7"/>
  <c r="J1140" i="7"/>
  <c r="H1140" i="7"/>
  <c r="G1140" i="7"/>
  <c r="A1140" i="7"/>
  <c r="L1139" i="7"/>
  <c r="K1139" i="7"/>
  <c r="J1139" i="7"/>
  <c r="H1139" i="7"/>
  <c r="G1139" i="7"/>
  <c r="A1139" i="7"/>
  <c r="L1138" i="7"/>
  <c r="K1138" i="7"/>
  <c r="J1138" i="7"/>
  <c r="H1138" i="7"/>
  <c r="G1138" i="7"/>
  <c r="A1138" i="7"/>
  <c r="L1137" i="7"/>
  <c r="K1137" i="7"/>
  <c r="J1137" i="7"/>
  <c r="H1137" i="7"/>
  <c r="G1137" i="7"/>
  <c r="A1137" i="7"/>
  <c r="L1136" i="7"/>
  <c r="K1136" i="7"/>
  <c r="J1136" i="7"/>
  <c r="H1136" i="7"/>
  <c r="G1136" i="7"/>
  <c r="A1136" i="7"/>
  <c r="L1135" i="7"/>
  <c r="K1135" i="7"/>
  <c r="J1135" i="7"/>
  <c r="H1135" i="7"/>
  <c r="G1135" i="7"/>
  <c r="A1135" i="7"/>
  <c r="L1134" i="7"/>
  <c r="K1134" i="7"/>
  <c r="J1134" i="7"/>
  <c r="H1134" i="7"/>
  <c r="G1134" i="7"/>
  <c r="A1134" i="7"/>
  <c r="L1133" i="7"/>
  <c r="K1133" i="7"/>
  <c r="J1133" i="7"/>
  <c r="H1133" i="7"/>
  <c r="G1133" i="7"/>
  <c r="A1133" i="7"/>
  <c r="L1132" i="7"/>
  <c r="K1132" i="7"/>
  <c r="J1132" i="7"/>
  <c r="H1132" i="7"/>
  <c r="G1132" i="7"/>
  <c r="A1132" i="7"/>
  <c r="L1131" i="7"/>
  <c r="K1131" i="7"/>
  <c r="J1131" i="7"/>
  <c r="H1131" i="7"/>
  <c r="G1131" i="7"/>
  <c r="A1131" i="7"/>
  <c r="L1130" i="7"/>
  <c r="K1130" i="7"/>
  <c r="J1130" i="7"/>
  <c r="H1130" i="7"/>
  <c r="G1130" i="7"/>
  <c r="A1130" i="7"/>
  <c r="L1129" i="7"/>
  <c r="K1129" i="7"/>
  <c r="J1129" i="7"/>
  <c r="H1129" i="7"/>
  <c r="G1129" i="7"/>
  <c r="A1129" i="7"/>
  <c r="L1128" i="7"/>
  <c r="K1128" i="7"/>
  <c r="J1128" i="7"/>
  <c r="H1128" i="7"/>
  <c r="G1128" i="7"/>
  <c r="A1128" i="7"/>
  <c r="L1127" i="7"/>
  <c r="K1127" i="7"/>
  <c r="J1127" i="7"/>
  <c r="H1127" i="7"/>
  <c r="G1127" i="7"/>
  <c r="A1127" i="7"/>
  <c r="L1126" i="7"/>
  <c r="K1126" i="7"/>
  <c r="J1126" i="7"/>
  <c r="H1126" i="7"/>
  <c r="G1126" i="7"/>
  <c r="A1126" i="7"/>
  <c r="L1125" i="7"/>
  <c r="K1125" i="7"/>
  <c r="J1125" i="7"/>
  <c r="H1125" i="7"/>
  <c r="G1125" i="7"/>
  <c r="A1125" i="7"/>
  <c r="L1124" i="7"/>
  <c r="K1124" i="7"/>
  <c r="J1124" i="7"/>
  <c r="H1124" i="7"/>
  <c r="G1124" i="7"/>
  <c r="A1124" i="7"/>
  <c r="L1123" i="7"/>
  <c r="K1123" i="7"/>
  <c r="J1123" i="7"/>
  <c r="H1123" i="7"/>
  <c r="G1123" i="7"/>
  <c r="A1123" i="7"/>
  <c r="L1122" i="7"/>
  <c r="K1122" i="7"/>
  <c r="J1122" i="7"/>
  <c r="H1122" i="7"/>
  <c r="G1122" i="7"/>
  <c r="A1122" i="7"/>
  <c r="L1121" i="7"/>
  <c r="K1121" i="7"/>
  <c r="J1121" i="7"/>
  <c r="H1121" i="7"/>
  <c r="G1121" i="7"/>
  <c r="A1121" i="7"/>
  <c r="L1120" i="7"/>
  <c r="K1120" i="7"/>
  <c r="J1120" i="7"/>
  <c r="H1120" i="7"/>
  <c r="G1120" i="7"/>
  <c r="A1120" i="7"/>
  <c r="L1119" i="7"/>
  <c r="K1119" i="7"/>
  <c r="J1119" i="7"/>
  <c r="H1119" i="7"/>
  <c r="G1119" i="7"/>
  <c r="A1119" i="7"/>
  <c r="L1118" i="7"/>
  <c r="K1118" i="7"/>
  <c r="J1118" i="7"/>
  <c r="H1118" i="7"/>
  <c r="G1118" i="7"/>
  <c r="A1118" i="7"/>
  <c r="L1117" i="7"/>
  <c r="K1117" i="7"/>
  <c r="J1117" i="7"/>
  <c r="H1117" i="7"/>
  <c r="G1117" i="7"/>
  <c r="A1117" i="7"/>
  <c r="L1116" i="7"/>
  <c r="K1116" i="7"/>
  <c r="J1116" i="7"/>
  <c r="H1116" i="7"/>
  <c r="G1116" i="7"/>
  <c r="A1116" i="7"/>
  <c r="L1115" i="7"/>
  <c r="K1115" i="7"/>
  <c r="J1115" i="7"/>
  <c r="H1115" i="7"/>
  <c r="G1115" i="7"/>
  <c r="A1115" i="7"/>
  <c r="L1114" i="7"/>
  <c r="K1114" i="7"/>
  <c r="J1114" i="7"/>
  <c r="H1114" i="7"/>
  <c r="G1114" i="7"/>
  <c r="A1114" i="7"/>
  <c r="L1113" i="7"/>
  <c r="K1113" i="7"/>
  <c r="J1113" i="7"/>
  <c r="H1113" i="7"/>
  <c r="G1113" i="7"/>
  <c r="A1113" i="7"/>
  <c r="L1112" i="7"/>
  <c r="K1112" i="7"/>
  <c r="J1112" i="7"/>
  <c r="H1112" i="7"/>
  <c r="G1112" i="7"/>
  <c r="A1112" i="7"/>
  <c r="L1111" i="7"/>
  <c r="K1111" i="7"/>
  <c r="J1111" i="7"/>
  <c r="H1111" i="7"/>
  <c r="G1111" i="7"/>
  <c r="A1111" i="7"/>
  <c r="L1110" i="7"/>
  <c r="K1110" i="7"/>
  <c r="J1110" i="7"/>
  <c r="H1110" i="7"/>
  <c r="G1110" i="7"/>
  <c r="A1110" i="7"/>
  <c r="L1109" i="7"/>
  <c r="K1109" i="7"/>
  <c r="J1109" i="7"/>
  <c r="H1109" i="7"/>
  <c r="G1109" i="7"/>
  <c r="A1109" i="7"/>
  <c r="L1108" i="7"/>
  <c r="K1108" i="7"/>
  <c r="J1108" i="7"/>
  <c r="H1108" i="7"/>
  <c r="G1108" i="7"/>
  <c r="A1108" i="7"/>
  <c r="L1107" i="7"/>
  <c r="K1107" i="7"/>
  <c r="J1107" i="7"/>
  <c r="H1107" i="7"/>
  <c r="G1107" i="7"/>
  <c r="A1107" i="7"/>
  <c r="L1106" i="7"/>
  <c r="K1106" i="7"/>
  <c r="J1106" i="7"/>
  <c r="H1106" i="7"/>
  <c r="G1106" i="7"/>
  <c r="A1106" i="7"/>
  <c r="L1105" i="7"/>
  <c r="K1105" i="7"/>
  <c r="J1105" i="7"/>
  <c r="H1105" i="7"/>
  <c r="G1105" i="7"/>
  <c r="A1105" i="7"/>
  <c r="L1104" i="7"/>
  <c r="K1104" i="7"/>
  <c r="J1104" i="7"/>
  <c r="H1104" i="7"/>
  <c r="G1104" i="7"/>
  <c r="A1104" i="7"/>
  <c r="L1103" i="7"/>
  <c r="K1103" i="7"/>
  <c r="J1103" i="7"/>
  <c r="H1103" i="7"/>
  <c r="G1103" i="7"/>
  <c r="A1103" i="7"/>
  <c r="L1102" i="7"/>
  <c r="K1102" i="7"/>
  <c r="J1102" i="7"/>
  <c r="H1102" i="7"/>
  <c r="G1102" i="7"/>
  <c r="A1102" i="7"/>
  <c r="L1101" i="7"/>
  <c r="K1101" i="7"/>
  <c r="J1101" i="7"/>
  <c r="H1101" i="7"/>
  <c r="G1101" i="7"/>
  <c r="A1101" i="7"/>
  <c r="L1100" i="7"/>
  <c r="K1100" i="7"/>
  <c r="J1100" i="7"/>
  <c r="H1100" i="7"/>
  <c r="G1100" i="7"/>
  <c r="A1100" i="7"/>
  <c r="L1099" i="7"/>
  <c r="K1099" i="7"/>
  <c r="J1099" i="7"/>
  <c r="H1099" i="7"/>
  <c r="G1099" i="7"/>
  <c r="A1099" i="7"/>
  <c r="L1098" i="7"/>
  <c r="K1098" i="7"/>
  <c r="J1098" i="7"/>
  <c r="H1098" i="7"/>
  <c r="G1098" i="7"/>
  <c r="A1098" i="7"/>
  <c r="L1097" i="7"/>
  <c r="K1097" i="7"/>
  <c r="J1097" i="7"/>
  <c r="H1097" i="7"/>
  <c r="G1097" i="7"/>
  <c r="A1097" i="7"/>
  <c r="L1096" i="7"/>
  <c r="K1096" i="7"/>
  <c r="J1096" i="7"/>
  <c r="H1096" i="7"/>
  <c r="G1096" i="7"/>
  <c r="A1096" i="7"/>
  <c r="L1095" i="7"/>
  <c r="K1095" i="7"/>
  <c r="J1095" i="7"/>
  <c r="H1095" i="7"/>
  <c r="G1095" i="7"/>
  <c r="A1095" i="7"/>
  <c r="L1094" i="7"/>
  <c r="K1094" i="7"/>
  <c r="J1094" i="7"/>
  <c r="H1094" i="7"/>
  <c r="G1094" i="7"/>
  <c r="A1094" i="7"/>
  <c r="L1093" i="7"/>
  <c r="K1093" i="7"/>
  <c r="J1093" i="7"/>
  <c r="H1093" i="7"/>
  <c r="G1093" i="7"/>
  <c r="A1093" i="7"/>
  <c r="L1092" i="7"/>
  <c r="K1092" i="7"/>
  <c r="J1092" i="7"/>
  <c r="H1092" i="7"/>
  <c r="G1092" i="7"/>
  <c r="A1092" i="7"/>
  <c r="L1091" i="7"/>
  <c r="K1091" i="7"/>
  <c r="J1091" i="7"/>
  <c r="H1091" i="7"/>
  <c r="G1091" i="7"/>
  <c r="A1091" i="7"/>
  <c r="L1090" i="7"/>
  <c r="K1090" i="7"/>
  <c r="J1090" i="7"/>
  <c r="H1090" i="7"/>
  <c r="G1090" i="7"/>
  <c r="A1090" i="7"/>
  <c r="L1089" i="7"/>
  <c r="K1089" i="7"/>
  <c r="J1089" i="7"/>
  <c r="H1089" i="7"/>
  <c r="G1089" i="7"/>
  <c r="A1089" i="7"/>
  <c r="L1088" i="7"/>
  <c r="K1088" i="7"/>
  <c r="J1088" i="7"/>
  <c r="H1088" i="7"/>
  <c r="G1088" i="7"/>
  <c r="A1088" i="7"/>
  <c r="L1087" i="7"/>
  <c r="K1087" i="7"/>
  <c r="J1087" i="7"/>
  <c r="H1087" i="7"/>
  <c r="G1087" i="7"/>
  <c r="A1087" i="7"/>
  <c r="L1086" i="7"/>
  <c r="K1086" i="7"/>
  <c r="J1086" i="7"/>
  <c r="H1086" i="7"/>
  <c r="G1086" i="7"/>
  <c r="A1086" i="7"/>
  <c r="L1085" i="7"/>
  <c r="K1085" i="7"/>
  <c r="J1085" i="7"/>
  <c r="H1085" i="7"/>
  <c r="G1085" i="7"/>
  <c r="A1085" i="7"/>
  <c r="L1084" i="7"/>
  <c r="K1084" i="7"/>
  <c r="J1084" i="7"/>
  <c r="H1084" i="7"/>
  <c r="G1084" i="7"/>
  <c r="A1084" i="7"/>
  <c r="L1083" i="7"/>
  <c r="K1083" i="7"/>
  <c r="J1083" i="7"/>
  <c r="H1083" i="7"/>
  <c r="G1083" i="7"/>
  <c r="A1083" i="7"/>
  <c r="L1082" i="7"/>
  <c r="K1082" i="7"/>
  <c r="J1082" i="7"/>
  <c r="H1082" i="7"/>
  <c r="G1082" i="7"/>
  <c r="A1082" i="7"/>
  <c r="L1081" i="7"/>
  <c r="K1081" i="7"/>
  <c r="J1081" i="7"/>
  <c r="H1081" i="7"/>
  <c r="G1081" i="7"/>
  <c r="A1081" i="7"/>
  <c r="L1080" i="7"/>
  <c r="K1080" i="7"/>
  <c r="J1080" i="7"/>
  <c r="H1080" i="7"/>
  <c r="G1080" i="7"/>
  <c r="A1080" i="7"/>
  <c r="L1079" i="7"/>
  <c r="K1079" i="7"/>
  <c r="J1079" i="7"/>
  <c r="H1079" i="7"/>
  <c r="G1079" i="7"/>
  <c r="A1079" i="7"/>
  <c r="L1078" i="7"/>
  <c r="K1078" i="7"/>
  <c r="J1078" i="7"/>
  <c r="H1078" i="7"/>
  <c r="G1078" i="7"/>
  <c r="A1078" i="7"/>
  <c r="L1077" i="7"/>
  <c r="K1077" i="7"/>
  <c r="J1077" i="7"/>
  <c r="H1077" i="7"/>
  <c r="G1077" i="7"/>
  <c r="A1077" i="7"/>
  <c r="L1076" i="7"/>
  <c r="K1076" i="7"/>
  <c r="J1076" i="7"/>
  <c r="H1076" i="7"/>
  <c r="G1076" i="7"/>
  <c r="A1076" i="7"/>
  <c r="L1075" i="7"/>
  <c r="K1075" i="7"/>
  <c r="J1075" i="7"/>
  <c r="H1075" i="7"/>
  <c r="G1075" i="7"/>
  <c r="A1075" i="7"/>
  <c r="L1074" i="7"/>
  <c r="K1074" i="7"/>
  <c r="J1074" i="7"/>
  <c r="H1074" i="7"/>
  <c r="G1074" i="7"/>
  <c r="A1074" i="7"/>
  <c r="L1073" i="7"/>
  <c r="K1073" i="7"/>
  <c r="J1073" i="7"/>
  <c r="H1073" i="7"/>
  <c r="G1073" i="7"/>
  <c r="A1073" i="7"/>
  <c r="L1072" i="7"/>
  <c r="K1072" i="7"/>
  <c r="J1072" i="7"/>
  <c r="H1072" i="7"/>
  <c r="G1072" i="7"/>
  <c r="A1072" i="7"/>
  <c r="L1071" i="7"/>
  <c r="K1071" i="7"/>
  <c r="J1071" i="7"/>
  <c r="H1071" i="7"/>
  <c r="G1071" i="7"/>
  <c r="A1071" i="7"/>
  <c r="L1070" i="7"/>
  <c r="K1070" i="7"/>
  <c r="J1070" i="7"/>
  <c r="H1070" i="7"/>
  <c r="G1070" i="7"/>
  <c r="A1070" i="7"/>
  <c r="L1069" i="7"/>
  <c r="K1069" i="7"/>
  <c r="J1069" i="7"/>
  <c r="H1069" i="7"/>
  <c r="G1069" i="7"/>
  <c r="A1069" i="7"/>
  <c r="L1068" i="7"/>
  <c r="K1068" i="7"/>
  <c r="J1068" i="7"/>
  <c r="H1068" i="7"/>
  <c r="G1068" i="7"/>
  <c r="A1068" i="7"/>
  <c r="L1067" i="7"/>
  <c r="K1067" i="7"/>
  <c r="J1067" i="7"/>
  <c r="H1067" i="7"/>
  <c r="G1067" i="7"/>
  <c r="A1067" i="7"/>
  <c r="L1066" i="7"/>
  <c r="K1066" i="7"/>
  <c r="J1066" i="7"/>
  <c r="H1066" i="7"/>
  <c r="G1066" i="7"/>
  <c r="A1066" i="7"/>
  <c r="L1065" i="7"/>
  <c r="K1065" i="7"/>
  <c r="J1065" i="7"/>
  <c r="H1065" i="7"/>
  <c r="G1065" i="7"/>
  <c r="A1065" i="7"/>
  <c r="L1064" i="7"/>
  <c r="K1064" i="7"/>
  <c r="J1064" i="7"/>
  <c r="H1064" i="7"/>
  <c r="G1064" i="7"/>
  <c r="A1064" i="7"/>
  <c r="L1063" i="7"/>
  <c r="K1063" i="7"/>
  <c r="J1063" i="7"/>
  <c r="H1063" i="7"/>
  <c r="G1063" i="7"/>
  <c r="A1063" i="7"/>
  <c r="L1062" i="7"/>
  <c r="K1062" i="7"/>
  <c r="J1062" i="7"/>
  <c r="H1062" i="7"/>
  <c r="G1062" i="7"/>
  <c r="A1062" i="7"/>
  <c r="L1061" i="7"/>
  <c r="K1061" i="7"/>
  <c r="J1061" i="7"/>
  <c r="H1061" i="7"/>
  <c r="G1061" i="7"/>
  <c r="A1061" i="7"/>
  <c r="L1060" i="7"/>
  <c r="K1060" i="7"/>
  <c r="J1060" i="7"/>
  <c r="H1060" i="7"/>
  <c r="G1060" i="7"/>
  <c r="A1060" i="7"/>
  <c r="L1059" i="7"/>
  <c r="K1059" i="7"/>
  <c r="J1059" i="7"/>
  <c r="H1059" i="7"/>
  <c r="G1059" i="7"/>
  <c r="A1059" i="7"/>
  <c r="L1058" i="7"/>
  <c r="K1058" i="7"/>
  <c r="J1058" i="7"/>
  <c r="H1058" i="7"/>
  <c r="G1058" i="7"/>
  <c r="A1058" i="7"/>
  <c r="L1057" i="7"/>
  <c r="K1057" i="7"/>
  <c r="J1057" i="7"/>
  <c r="H1057" i="7"/>
  <c r="G1057" i="7"/>
  <c r="A1057" i="7"/>
  <c r="L1056" i="7"/>
  <c r="K1056" i="7"/>
  <c r="J1056" i="7"/>
  <c r="H1056" i="7"/>
  <c r="G1056" i="7"/>
  <c r="A1056" i="7"/>
  <c r="L1055" i="7"/>
  <c r="K1055" i="7"/>
  <c r="J1055" i="7"/>
  <c r="H1055" i="7"/>
  <c r="G1055" i="7"/>
  <c r="A1055" i="7"/>
  <c r="L1054" i="7"/>
  <c r="K1054" i="7"/>
  <c r="J1054" i="7"/>
  <c r="H1054" i="7"/>
  <c r="G1054" i="7"/>
  <c r="A1054" i="7"/>
  <c r="L1053" i="7"/>
  <c r="K1053" i="7"/>
  <c r="J1053" i="7"/>
  <c r="H1053" i="7"/>
  <c r="G1053" i="7"/>
  <c r="A1053" i="7"/>
  <c r="L1052" i="7"/>
  <c r="K1052" i="7"/>
  <c r="J1052" i="7"/>
  <c r="H1052" i="7"/>
  <c r="G1052" i="7"/>
  <c r="A1052" i="7"/>
  <c r="L1051" i="7"/>
  <c r="K1051" i="7"/>
  <c r="J1051" i="7"/>
  <c r="H1051" i="7"/>
  <c r="G1051" i="7"/>
  <c r="A1051" i="7"/>
  <c r="L1050" i="7"/>
  <c r="K1050" i="7"/>
  <c r="J1050" i="7"/>
  <c r="H1050" i="7"/>
  <c r="G1050" i="7"/>
  <c r="A1050" i="7"/>
  <c r="L1049" i="7"/>
  <c r="K1049" i="7"/>
  <c r="J1049" i="7"/>
  <c r="H1049" i="7"/>
  <c r="G1049" i="7"/>
  <c r="A1049" i="7"/>
  <c r="L1048" i="7"/>
  <c r="K1048" i="7"/>
  <c r="J1048" i="7"/>
  <c r="H1048" i="7"/>
  <c r="G1048" i="7"/>
  <c r="A1048" i="7"/>
  <c r="L1047" i="7"/>
  <c r="K1047" i="7"/>
  <c r="J1047" i="7"/>
  <c r="H1047" i="7"/>
  <c r="G1047" i="7"/>
  <c r="A1047" i="7"/>
  <c r="L1046" i="7"/>
  <c r="K1046" i="7"/>
  <c r="J1046" i="7"/>
  <c r="H1046" i="7"/>
  <c r="G1046" i="7"/>
  <c r="A1046" i="7"/>
  <c r="L1045" i="7"/>
  <c r="K1045" i="7"/>
  <c r="J1045" i="7"/>
  <c r="H1045" i="7"/>
  <c r="G1045" i="7"/>
  <c r="A1045" i="7"/>
  <c r="L1044" i="7"/>
  <c r="K1044" i="7"/>
  <c r="J1044" i="7"/>
  <c r="H1044" i="7"/>
  <c r="G1044" i="7"/>
  <c r="A1044" i="7"/>
  <c r="L1043" i="7"/>
  <c r="K1043" i="7"/>
  <c r="J1043" i="7"/>
  <c r="H1043" i="7"/>
  <c r="G1043" i="7"/>
  <c r="A1043" i="7"/>
  <c r="L1042" i="7"/>
  <c r="K1042" i="7"/>
  <c r="J1042" i="7"/>
  <c r="H1042" i="7"/>
  <c r="G1042" i="7"/>
  <c r="A1042" i="7"/>
  <c r="L1041" i="7"/>
  <c r="K1041" i="7"/>
  <c r="J1041" i="7"/>
  <c r="H1041" i="7"/>
  <c r="G1041" i="7"/>
  <c r="A1041" i="7"/>
  <c r="L1040" i="7"/>
  <c r="K1040" i="7"/>
  <c r="J1040" i="7"/>
  <c r="H1040" i="7"/>
  <c r="G1040" i="7"/>
  <c r="A1040" i="7"/>
  <c r="L1039" i="7"/>
  <c r="K1039" i="7"/>
  <c r="J1039" i="7"/>
  <c r="H1039" i="7"/>
  <c r="G1039" i="7"/>
  <c r="A1039" i="7"/>
  <c r="L1038" i="7"/>
  <c r="K1038" i="7"/>
  <c r="J1038" i="7"/>
  <c r="H1038" i="7"/>
  <c r="G1038" i="7"/>
  <c r="A1038" i="7"/>
  <c r="L1037" i="7"/>
  <c r="K1037" i="7"/>
  <c r="J1037" i="7"/>
  <c r="H1037" i="7"/>
  <c r="G1037" i="7"/>
  <c r="A1037" i="7"/>
  <c r="L1036" i="7"/>
  <c r="K1036" i="7"/>
  <c r="J1036" i="7"/>
  <c r="H1036" i="7"/>
  <c r="G1036" i="7"/>
  <c r="A1036" i="7"/>
  <c r="L1035" i="7"/>
  <c r="K1035" i="7"/>
  <c r="J1035" i="7"/>
  <c r="H1035" i="7"/>
  <c r="G1035" i="7"/>
  <c r="A1035" i="7"/>
  <c r="L1034" i="7"/>
  <c r="K1034" i="7"/>
  <c r="J1034" i="7"/>
  <c r="H1034" i="7"/>
  <c r="G1034" i="7"/>
  <c r="A1034" i="7"/>
  <c r="L1033" i="7"/>
  <c r="K1033" i="7"/>
  <c r="J1033" i="7"/>
  <c r="H1033" i="7"/>
  <c r="G1033" i="7"/>
  <c r="A1033" i="7"/>
  <c r="L1032" i="7"/>
  <c r="K1032" i="7"/>
  <c r="J1032" i="7"/>
  <c r="H1032" i="7"/>
  <c r="G1032" i="7"/>
  <c r="A1032" i="7"/>
  <c r="L1031" i="7"/>
  <c r="K1031" i="7"/>
  <c r="J1031" i="7"/>
  <c r="H1031" i="7"/>
  <c r="G1031" i="7"/>
  <c r="A1031" i="7"/>
  <c r="L1030" i="7"/>
  <c r="K1030" i="7"/>
  <c r="J1030" i="7"/>
  <c r="H1030" i="7"/>
  <c r="G1030" i="7"/>
  <c r="A1030" i="7"/>
  <c r="L1029" i="7"/>
  <c r="K1029" i="7"/>
  <c r="J1029" i="7"/>
  <c r="H1029" i="7"/>
  <c r="G1029" i="7"/>
  <c r="A1029" i="7"/>
  <c r="L1028" i="7"/>
  <c r="K1028" i="7"/>
  <c r="J1028" i="7"/>
  <c r="H1028" i="7"/>
  <c r="G1028" i="7"/>
  <c r="A1028" i="7"/>
  <c r="L1027" i="7"/>
  <c r="K1027" i="7"/>
  <c r="J1027" i="7"/>
  <c r="H1027" i="7"/>
  <c r="G1027" i="7"/>
  <c r="A1027" i="7"/>
  <c r="L1026" i="7"/>
  <c r="K1026" i="7"/>
  <c r="J1026" i="7"/>
  <c r="H1026" i="7"/>
  <c r="G1026" i="7"/>
  <c r="A1026" i="7"/>
  <c r="L1025" i="7"/>
  <c r="K1025" i="7"/>
  <c r="J1025" i="7"/>
  <c r="H1025" i="7"/>
  <c r="G1025" i="7"/>
  <c r="A1025" i="7"/>
  <c r="L1024" i="7"/>
  <c r="K1024" i="7"/>
  <c r="J1024" i="7"/>
  <c r="H1024" i="7"/>
  <c r="G1024" i="7"/>
  <c r="A1024" i="7"/>
  <c r="L1023" i="7"/>
  <c r="K1023" i="7"/>
  <c r="J1023" i="7"/>
  <c r="H1023" i="7"/>
  <c r="G1023" i="7"/>
  <c r="A1023" i="7"/>
  <c r="L1022" i="7"/>
  <c r="K1022" i="7"/>
  <c r="J1022" i="7"/>
  <c r="H1022" i="7"/>
  <c r="G1022" i="7"/>
  <c r="A1022" i="7"/>
  <c r="L1021" i="7"/>
  <c r="K1021" i="7"/>
  <c r="J1021" i="7"/>
  <c r="H1021" i="7"/>
  <c r="G1021" i="7"/>
  <c r="A1021" i="7"/>
  <c r="L1020" i="7"/>
  <c r="K1020" i="7"/>
  <c r="J1020" i="7"/>
  <c r="H1020" i="7"/>
  <c r="G1020" i="7"/>
  <c r="A1020" i="7"/>
  <c r="L1019" i="7"/>
  <c r="K1019" i="7"/>
  <c r="J1019" i="7"/>
  <c r="H1019" i="7"/>
  <c r="G1019" i="7"/>
  <c r="A1019" i="7"/>
  <c r="L1018" i="7"/>
  <c r="K1018" i="7"/>
  <c r="J1018" i="7"/>
  <c r="H1018" i="7"/>
  <c r="G1018" i="7"/>
  <c r="A1018" i="7"/>
  <c r="L1017" i="7"/>
  <c r="K1017" i="7"/>
  <c r="J1017" i="7"/>
  <c r="H1017" i="7"/>
  <c r="G1017" i="7"/>
  <c r="A1017" i="7"/>
  <c r="L1016" i="7"/>
  <c r="K1016" i="7"/>
  <c r="J1016" i="7"/>
  <c r="H1016" i="7"/>
  <c r="G1016" i="7"/>
  <c r="A1016" i="7"/>
  <c r="L1015" i="7"/>
  <c r="K1015" i="7"/>
  <c r="J1015" i="7"/>
  <c r="H1015" i="7"/>
  <c r="G1015" i="7"/>
  <c r="A1015" i="7"/>
  <c r="L1014" i="7"/>
  <c r="K1014" i="7"/>
  <c r="J1014" i="7"/>
  <c r="H1014" i="7"/>
  <c r="G1014" i="7"/>
  <c r="A1014" i="7"/>
  <c r="L1013" i="7"/>
  <c r="K1013" i="7"/>
  <c r="J1013" i="7"/>
  <c r="H1013" i="7"/>
  <c r="G1013" i="7"/>
  <c r="A1013" i="7"/>
  <c r="L1012" i="7"/>
  <c r="K1012" i="7"/>
  <c r="J1012" i="7"/>
  <c r="H1012" i="7"/>
  <c r="G1012" i="7"/>
  <c r="A1012" i="7"/>
  <c r="L1011" i="7"/>
  <c r="K1011" i="7"/>
  <c r="J1011" i="7"/>
  <c r="H1011" i="7"/>
  <c r="G1011" i="7"/>
  <c r="A1011" i="7"/>
  <c r="L1010" i="7"/>
  <c r="K1010" i="7"/>
  <c r="J1010" i="7"/>
  <c r="H1010" i="7"/>
  <c r="G1010" i="7"/>
  <c r="A1010" i="7"/>
  <c r="L1009" i="7"/>
  <c r="K1009" i="7"/>
  <c r="J1009" i="7"/>
  <c r="H1009" i="7"/>
  <c r="G1009" i="7"/>
  <c r="A1009" i="7"/>
  <c r="L1008" i="7"/>
  <c r="K1008" i="7"/>
  <c r="J1008" i="7"/>
  <c r="H1008" i="7"/>
  <c r="G1008" i="7"/>
  <c r="A1008" i="7"/>
  <c r="L1007" i="7"/>
  <c r="K1007" i="7"/>
  <c r="J1007" i="7"/>
  <c r="H1007" i="7"/>
  <c r="G1007" i="7"/>
  <c r="A1007" i="7"/>
  <c r="L1006" i="7"/>
  <c r="K1006" i="7"/>
  <c r="J1006" i="7"/>
  <c r="H1006" i="7"/>
  <c r="G1006" i="7"/>
  <c r="A1006" i="7"/>
  <c r="L1005" i="7"/>
  <c r="K1005" i="7"/>
  <c r="J1005" i="7"/>
  <c r="H1005" i="7"/>
  <c r="G1005" i="7"/>
  <c r="A1005" i="7"/>
  <c r="L1004" i="7"/>
  <c r="K1004" i="7"/>
  <c r="J1004" i="7"/>
  <c r="H1004" i="7"/>
  <c r="G1004" i="7"/>
  <c r="A1004" i="7"/>
  <c r="L1003" i="7"/>
  <c r="K1003" i="7"/>
  <c r="J1003" i="7"/>
  <c r="H1003" i="7"/>
  <c r="G1003" i="7"/>
  <c r="A1003" i="7"/>
  <c r="L1002" i="7"/>
  <c r="K1002" i="7"/>
  <c r="J1002" i="7"/>
  <c r="H1002" i="7"/>
  <c r="G1002" i="7"/>
  <c r="A1002" i="7"/>
  <c r="L1001" i="7"/>
  <c r="K1001" i="7"/>
  <c r="J1001" i="7"/>
  <c r="H1001" i="7"/>
  <c r="G1001" i="7"/>
  <c r="A1001" i="7"/>
  <c r="L1000" i="7"/>
  <c r="K1000" i="7"/>
  <c r="J1000" i="7"/>
  <c r="H1000" i="7"/>
  <c r="G1000" i="7"/>
  <c r="A1000" i="7"/>
  <c r="L999" i="7"/>
  <c r="K999" i="7"/>
  <c r="J999" i="7"/>
  <c r="H999" i="7"/>
  <c r="G999" i="7"/>
  <c r="A999" i="7"/>
  <c r="L998" i="7"/>
  <c r="K998" i="7"/>
  <c r="J998" i="7"/>
  <c r="H998" i="7"/>
  <c r="G998" i="7"/>
  <c r="A998" i="7"/>
  <c r="L997" i="7"/>
  <c r="K997" i="7"/>
  <c r="J997" i="7"/>
  <c r="H997" i="7"/>
  <c r="G997" i="7"/>
  <c r="A997" i="7"/>
  <c r="L996" i="7"/>
  <c r="K996" i="7"/>
  <c r="J996" i="7"/>
  <c r="H996" i="7"/>
  <c r="G996" i="7"/>
  <c r="A996" i="7"/>
  <c r="L995" i="7"/>
  <c r="K995" i="7"/>
  <c r="J995" i="7"/>
  <c r="H995" i="7"/>
  <c r="G995" i="7"/>
  <c r="A995" i="7"/>
  <c r="L994" i="7"/>
  <c r="K994" i="7"/>
  <c r="J994" i="7"/>
  <c r="H994" i="7"/>
  <c r="G994" i="7"/>
  <c r="A994" i="7"/>
  <c r="L993" i="7"/>
  <c r="K993" i="7"/>
  <c r="J993" i="7"/>
  <c r="H993" i="7"/>
  <c r="G993" i="7"/>
  <c r="A993" i="7"/>
  <c r="L992" i="7"/>
  <c r="K992" i="7"/>
  <c r="J992" i="7"/>
  <c r="H992" i="7"/>
  <c r="G992" i="7"/>
  <c r="A992" i="7"/>
  <c r="L991" i="7"/>
  <c r="K991" i="7"/>
  <c r="J991" i="7"/>
  <c r="H991" i="7"/>
  <c r="G991" i="7"/>
  <c r="A991" i="7"/>
  <c r="L990" i="7"/>
  <c r="K990" i="7"/>
  <c r="J990" i="7"/>
  <c r="H990" i="7"/>
  <c r="G990" i="7"/>
  <c r="A990" i="7"/>
  <c r="L989" i="7"/>
  <c r="K989" i="7"/>
  <c r="J989" i="7"/>
  <c r="H989" i="7"/>
  <c r="G989" i="7"/>
  <c r="A989" i="7"/>
  <c r="L988" i="7"/>
  <c r="K988" i="7"/>
  <c r="J988" i="7"/>
  <c r="H988" i="7"/>
  <c r="G988" i="7"/>
  <c r="A988" i="7"/>
  <c r="L987" i="7"/>
  <c r="K987" i="7"/>
  <c r="J987" i="7"/>
  <c r="H987" i="7"/>
  <c r="G987" i="7"/>
  <c r="A987" i="7"/>
  <c r="L986" i="7"/>
  <c r="K986" i="7"/>
  <c r="J986" i="7"/>
  <c r="H986" i="7"/>
  <c r="G986" i="7"/>
  <c r="A986" i="7"/>
  <c r="L985" i="7"/>
  <c r="K985" i="7"/>
  <c r="J985" i="7"/>
  <c r="H985" i="7"/>
  <c r="G985" i="7"/>
  <c r="A985" i="7"/>
  <c r="L984" i="7"/>
  <c r="K984" i="7"/>
  <c r="J984" i="7"/>
  <c r="H984" i="7"/>
  <c r="G984" i="7"/>
  <c r="A984" i="7"/>
  <c r="L983" i="7"/>
  <c r="K983" i="7"/>
  <c r="J983" i="7"/>
  <c r="H983" i="7"/>
  <c r="G983" i="7"/>
  <c r="A983" i="7"/>
  <c r="L982" i="7"/>
  <c r="K982" i="7"/>
  <c r="J982" i="7"/>
  <c r="H982" i="7"/>
  <c r="G982" i="7"/>
  <c r="A982" i="7"/>
  <c r="L981" i="7"/>
  <c r="K981" i="7"/>
  <c r="J981" i="7"/>
  <c r="H981" i="7"/>
  <c r="G981" i="7"/>
  <c r="A981" i="7"/>
  <c r="L980" i="7"/>
  <c r="K980" i="7"/>
  <c r="J980" i="7"/>
  <c r="H980" i="7"/>
  <c r="G980" i="7"/>
  <c r="A980" i="7"/>
  <c r="L979" i="7"/>
  <c r="K979" i="7"/>
  <c r="J979" i="7"/>
  <c r="H979" i="7"/>
  <c r="G979" i="7"/>
  <c r="A979" i="7"/>
  <c r="L978" i="7"/>
  <c r="K978" i="7"/>
  <c r="J978" i="7"/>
  <c r="H978" i="7"/>
  <c r="G978" i="7"/>
  <c r="A978" i="7"/>
  <c r="L977" i="7"/>
  <c r="K977" i="7"/>
  <c r="J977" i="7"/>
  <c r="H977" i="7"/>
  <c r="G977" i="7"/>
  <c r="A977" i="7"/>
  <c r="L976" i="7"/>
  <c r="K976" i="7"/>
  <c r="J976" i="7"/>
  <c r="H976" i="7"/>
  <c r="G976" i="7"/>
  <c r="A976" i="7"/>
  <c r="L975" i="7"/>
  <c r="K975" i="7"/>
  <c r="J975" i="7"/>
  <c r="H975" i="7"/>
  <c r="G975" i="7"/>
  <c r="A975" i="7"/>
  <c r="L974" i="7"/>
  <c r="K974" i="7"/>
  <c r="J974" i="7"/>
  <c r="H974" i="7"/>
  <c r="G974" i="7"/>
  <c r="A974" i="7"/>
  <c r="L973" i="7"/>
  <c r="K973" i="7"/>
  <c r="J973" i="7"/>
  <c r="H973" i="7"/>
  <c r="G973" i="7"/>
  <c r="A973" i="7"/>
  <c r="L972" i="7"/>
  <c r="K972" i="7"/>
  <c r="J972" i="7"/>
  <c r="H972" i="7"/>
  <c r="G972" i="7"/>
  <c r="A972" i="7"/>
  <c r="L971" i="7"/>
  <c r="K971" i="7"/>
  <c r="J971" i="7"/>
  <c r="H971" i="7"/>
  <c r="G971" i="7"/>
  <c r="A971" i="7"/>
  <c r="L970" i="7"/>
  <c r="K970" i="7"/>
  <c r="J970" i="7"/>
  <c r="H970" i="7"/>
  <c r="G970" i="7"/>
  <c r="A970" i="7"/>
  <c r="L969" i="7"/>
  <c r="K969" i="7"/>
  <c r="J969" i="7"/>
  <c r="H969" i="7"/>
  <c r="G969" i="7"/>
  <c r="A969" i="7"/>
  <c r="L968" i="7"/>
  <c r="K968" i="7"/>
  <c r="J968" i="7"/>
  <c r="H968" i="7"/>
  <c r="G968" i="7"/>
  <c r="A968" i="7"/>
  <c r="L967" i="7"/>
  <c r="K967" i="7"/>
  <c r="J967" i="7"/>
  <c r="H967" i="7"/>
  <c r="G967" i="7"/>
  <c r="A967" i="7"/>
  <c r="L966" i="7"/>
  <c r="K966" i="7"/>
  <c r="J966" i="7"/>
  <c r="H966" i="7"/>
  <c r="G966" i="7"/>
  <c r="A966" i="7"/>
  <c r="L965" i="7"/>
  <c r="K965" i="7"/>
  <c r="J965" i="7"/>
  <c r="H965" i="7"/>
  <c r="G965" i="7"/>
  <c r="A965" i="7"/>
  <c r="L964" i="7"/>
  <c r="K964" i="7"/>
  <c r="J964" i="7"/>
  <c r="H964" i="7"/>
  <c r="G964" i="7"/>
  <c r="A964" i="7"/>
  <c r="L963" i="7"/>
  <c r="K963" i="7"/>
  <c r="J963" i="7"/>
  <c r="H963" i="7"/>
  <c r="G963" i="7"/>
  <c r="A963" i="7"/>
  <c r="L962" i="7"/>
  <c r="K962" i="7"/>
  <c r="J962" i="7"/>
  <c r="H962" i="7"/>
  <c r="G962" i="7"/>
  <c r="A962" i="7"/>
  <c r="L961" i="7"/>
  <c r="K961" i="7"/>
  <c r="J961" i="7"/>
  <c r="H961" i="7"/>
  <c r="G961" i="7"/>
  <c r="A961" i="7"/>
  <c r="L960" i="7"/>
  <c r="K960" i="7"/>
  <c r="J960" i="7"/>
  <c r="H960" i="7"/>
  <c r="G960" i="7"/>
  <c r="A960" i="7"/>
  <c r="L959" i="7"/>
  <c r="K959" i="7"/>
  <c r="J959" i="7"/>
  <c r="H959" i="7"/>
  <c r="G959" i="7"/>
  <c r="A959" i="7"/>
  <c r="L958" i="7"/>
  <c r="K958" i="7"/>
  <c r="J958" i="7"/>
  <c r="H958" i="7"/>
  <c r="G958" i="7"/>
  <c r="A958" i="7"/>
  <c r="L957" i="7"/>
  <c r="K957" i="7"/>
  <c r="J957" i="7"/>
  <c r="H957" i="7"/>
  <c r="G957" i="7"/>
  <c r="A957" i="7"/>
  <c r="L956" i="7"/>
  <c r="K956" i="7"/>
  <c r="J956" i="7"/>
  <c r="H956" i="7"/>
  <c r="G956" i="7"/>
  <c r="A956" i="7"/>
  <c r="L955" i="7"/>
  <c r="K955" i="7"/>
  <c r="J955" i="7"/>
  <c r="H955" i="7"/>
  <c r="G955" i="7"/>
  <c r="A955" i="7"/>
  <c r="L954" i="7"/>
  <c r="K954" i="7"/>
  <c r="J954" i="7"/>
  <c r="H954" i="7"/>
  <c r="G954" i="7"/>
  <c r="A954" i="7"/>
  <c r="L953" i="7"/>
  <c r="K953" i="7"/>
  <c r="J953" i="7"/>
  <c r="H953" i="7"/>
  <c r="G953" i="7"/>
  <c r="A953" i="7"/>
  <c r="L952" i="7"/>
  <c r="K952" i="7"/>
  <c r="J952" i="7"/>
  <c r="H952" i="7"/>
  <c r="G952" i="7"/>
  <c r="A952" i="7"/>
  <c r="L951" i="7"/>
  <c r="K951" i="7"/>
  <c r="J951" i="7"/>
  <c r="H951" i="7"/>
  <c r="G951" i="7"/>
  <c r="A951" i="7"/>
  <c r="L950" i="7"/>
  <c r="K950" i="7"/>
  <c r="J950" i="7"/>
  <c r="H950" i="7"/>
  <c r="G950" i="7"/>
  <c r="A950" i="7"/>
  <c r="L949" i="7"/>
  <c r="K949" i="7"/>
  <c r="J949" i="7"/>
  <c r="H949" i="7"/>
  <c r="G949" i="7"/>
  <c r="A949" i="7"/>
  <c r="L948" i="7"/>
  <c r="K948" i="7"/>
  <c r="J948" i="7"/>
  <c r="H948" i="7"/>
  <c r="G948" i="7"/>
  <c r="A948" i="7"/>
  <c r="L947" i="7"/>
  <c r="K947" i="7"/>
  <c r="J947" i="7"/>
  <c r="H947" i="7"/>
  <c r="G947" i="7"/>
  <c r="A947" i="7"/>
  <c r="L946" i="7"/>
  <c r="K946" i="7"/>
  <c r="J946" i="7"/>
  <c r="H946" i="7"/>
  <c r="G946" i="7"/>
  <c r="A946" i="7"/>
  <c r="L945" i="7"/>
  <c r="K945" i="7"/>
  <c r="J945" i="7"/>
  <c r="H945" i="7"/>
  <c r="G945" i="7"/>
  <c r="A945" i="7"/>
  <c r="L944" i="7"/>
  <c r="K944" i="7"/>
  <c r="J944" i="7"/>
  <c r="H944" i="7"/>
  <c r="G944" i="7"/>
  <c r="A944" i="7"/>
  <c r="L943" i="7"/>
  <c r="K943" i="7"/>
  <c r="J943" i="7"/>
  <c r="H943" i="7"/>
  <c r="G943" i="7"/>
  <c r="A943" i="7"/>
  <c r="L942" i="7"/>
  <c r="K942" i="7"/>
  <c r="J942" i="7"/>
  <c r="H942" i="7"/>
  <c r="G942" i="7"/>
  <c r="A942" i="7"/>
  <c r="L941" i="7"/>
  <c r="K941" i="7"/>
  <c r="J941" i="7"/>
  <c r="H941" i="7"/>
  <c r="G941" i="7"/>
  <c r="A941" i="7"/>
  <c r="L940" i="7"/>
  <c r="K940" i="7"/>
  <c r="J940" i="7"/>
  <c r="H940" i="7"/>
  <c r="G940" i="7"/>
  <c r="A940" i="7"/>
  <c r="L939" i="7"/>
  <c r="K939" i="7"/>
  <c r="J939" i="7"/>
  <c r="H939" i="7"/>
  <c r="G939" i="7"/>
  <c r="A939" i="7"/>
  <c r="L938" i="7"/>
  <c r="K938" i="7"/>
  <c r="J938" i="7"/>
  <c r="H938" i="7"/>
  <c r="G938" i="7"/>
  <c r="A938" i="7"/>
  <c r="L937" i="7"/>
  <c r="K937" i="7"/>
  <c r="J937" i="7"/>
  <c r="H937" i="7"/>
  <c r="G937" i="7"/>
  <c r="A937" i="7"/>
  <c r="L936" i="7"/>
  <c r="K936" i="7"/>
  <c r="J936" i="7"/>
  <c r="H936" i="7"/>
  <c r="G936" i="7"/>
  <c r="A936" i="7"/>
  <c r="L935" i="7"/>
  <c r="K935" i="7"/>
  <c r="J935" i="7"/>
  <c r="H935" i="7"/>
  <c r="G935" i="7"/>
  <c r="A935" i="7"/>
  <c r="L934" i="7"/>
  <c r="K934" i="7"/>
  <c r="J934" i="7"/>
  <c r="H934" i="7"/>
  <c r="G934" i="7"/>
  <c r="A934" i="7"/>
  <c r="L933" i="7"/>
  <c r="K933" i="7"/>
  <c r="J933" i="7"/>
  <c r="H933" i="7"/>
  <c r="G933" i="7"/>
  <c r="A933" i="7"/>
  <c r="L932" i="7"/>
  <c r="K932" i="7"/>
  <c r="J932" i="7"/>
  <c r="H932" i="7"/>
  <c r="G932" i="7"/>
  <c r="A932" i="7"/>
  <c r="L931" i="7"/>
  <c r="K931" i="7"/>
  <c r="J931" i="7"/>
  <c r="H931" i="7"/>
  <c r="G931" i="7"/>
  <c r="A931" i="7"/>
  <c r="L930" i="7"/>
  <c r="K930" i="7"/>
  <c r="J930" i="7"/>
  <c r="H930" i="7"/>
  <c r="G930" i="7"/>
  <c r="A930" i="7"/>
  <c r="L929" i="7"/>
  <c r="K929" i="7"/>
  <c r="J929" i="7"/>
  <c r="H929" i="7"/>
  <c r="G929" i="7"/>
  <c r="A929" i="7"/>
  <c r="L928" i="7"/>
  <c r="K928" i="7"/>
  <c r="J928" i="7"/>
  <c r="H928" i="7"/>
  <c r="G928" i="7"/>
  <c r="A928" i="7"/>
  <c r="L927" i="7"/>
  <c r="K927" i="7"/>
  <c r="J927" i="7"/>
  <c r="H927" i="7"/>
  <c r="G927" i="7"/>
  <c r="A927" i="7"/>
  <c r="L926" i="7"/>
  <c r="K926" i="7"/>
  <c r="J926" i="7"/>
  <c r="H926" i="7"/>
  <c r="G926" i="7"/>
  <c r="A926" i="7"/>
  <c r="L925" i="7"/>
  <c r="K925" i="7"/>
  <c r="J925" i="7"/>
  <c r="H925" i="7"/>
  <c r="G925" i="7"/>
  <c r="A925" i="7"/>
  <c r="L924" i="7"/>
  <c r="K924" i="7"/>
  <c r="J924" i="7"/>
  <c r="H924" i="7"/>
  <c r="G924" i="7"/>
  <c r="A924" i="7"/>
  <c r="L923" i="7"/>
  <c r="K923" i="7"/>
  <c r="J923" i="7"/>
  <c r="H923" i="7"/>
  <c r="G923" i="7"/>
  <c r="A923" i="7"/>
  <c r="L922" i="7"/>
  <c r="K922" i="7"/>
  <c r="J922" i="7"/>
  <c r="H922" i="7"/>
  <c r="G922" i="7"/>
  <c r="A922" i="7"/>
  <c r="L921" i="7"/>
  <c r="K921" i="7"/>
  <c r="J921" i="7"/>
  <c r="H921" i="7"/>
  <c r="G921" i="7"/>
  <c r="A921" i="7"/>
  <c r="L920" i="7"/>
  <c r="K920" i="7"/>
  <c r="J920" i="7"/>
  <c r="H920" i="7"/>
  <c r="G920" i="7"/>
  <c r="A920" i="7"/>
  <c r="L919" i="7"/>
  <c r="K919" i="7"/>
  <c r="J919" i="7"/>
  <c r="H919" i="7"/>
  <c r="G919" i="7"/>
  <c r="A919" i="7"/>
  <c r="L918" i="7"/>
  <c r="K918" i="7"/>
  <c r="J918" i="7"/>
  <c r="H918" i="7"/>
  <c r="G918" i="7"/>
  <c r="A918" i="7"/>
  <c r="L917" i="7"/>
  <c r="K917" i="7"/>
  <c r="J917" i="7"/>
  <c r="H917" i="7"/>
  <c r="G917" i="7"/>
  <c r="A917" i="7"/>
  <c r="L916" i="7"/>
  <c r="K916" i="7"/>
  <c r="J916" i="7"/>
  <c r="H916" i="7"/>
  <c r="G916" i="7"/>
  <c r="A916" i="7"/>
  <c r="L915" i="7"/>
  <c r="K915" i="7"/>
  <c r="J915" i="7"/>
  <c r="H915" i="7"/>
  <c r="G915" i="7"/>
  <c r="A915" i="7"/>
  <c r="L914" i="7"/>
  <c r="K914" i="7"/>
  <c r="J914" i="7"/>
  <c r="H914" i="7"/>
  <c r="G914" i="7"/>
  <c r="A914" i="7"/>
  <c r="L913" i="7"/>
  <c r="K913" i="7"/>
  <c r="J913" i="7"/>
  <c r="H913" i="7"/>
  <c r="G913" i="7"/>
  <c r="A913" i="7"/>
  <c r="L912" i="7"/>
  <c r="K912" i="7"/>
  <c r="J912" i="7"/>
  <c r="H912" i="7"/>
  <c r="G912" i="7"/>
  <c r="A912" i="7"/>
  <c r="L911" i="7"/>
  <c r="K911" i="7"/>
  <c r="J911" i="7"/>
  <c r="H911" i="7"/>
  <c r="G911" i="7"/>
  <c r="A911" i="7"/>
  <c r="L910" i="7"/>
  <c r="K910" i="7"/>
  <c r="J910" i="7"/>
  <c r="H910" i="7"/>
  <c r="G910" i="7"/>
  <c r="A910" i="7"/>
  <c r="L909" i="7"/>
  <c r="K909" i="7"/>
  <c r="J909" i="7"/>
  <c r="H909" i="7"/>
  <c r="G909" i="7"/>
  <c r="A909" i="7"/>
  <c r="L908" i="7"/>
  <c r="K908" i="7"/>
  <c r="J908" i="7"/>
  <c r="H908" i="7"/>
  <c r="G908" i="7"/>
  <c r="A908" i="7"/>
  <c r="L907" i="7"/>
  <c r="K907" i="7"/>
  <c r="J907" i="7"/>
  <c r="H907" i="7"/>
  <c r="G907" i="7"/>
  <c r="A907" i="7"/>
  <c r="L906" i="7"/>
  <c r="K906" i="7"/>
  <c r="J906" i="7"/>
  <c r="H906" i="7"/>
  <c r="G906" i="7"/>
  <c r="A906" i="7"/>
  <c r="L905" i="7"/>
  <c r="K905" i="7"/>
  <c r="J905" i="7"/>
  <c r="H905" i="7"/>
  <c r="G905" i="7"/>
  <c r="A905" i="7"/>
  <c r="L904" i="7"/>
  <c r="K904" i="7"/>
  <c r="J904" i="7"/>
  <c r="H904" i="7"/>
  <c r="G904" i="7"/>
  <c r="A904" i="7"/>
  <c r="L903" i="7"/>
  <c r="K903" i="7"/>
  <c r="J903" i="7"/>
  <c r="H903" i="7"/>
  <c r="G903" i="7"/>
  <c r="A903" i="7"/>
  <c r="L902" i="7"/>
  <c r="K902" i="7"/>
  <c r="J902" i="7"/>
  <c r="H902" i="7"/>
  <c r="G902" i="7"/>
  <c r="A902" i="7"/>
  <c r="L901" i="7"/>
  <c r="K901" i="7"/>
  <c r="J901" i="7"/>
  <c r="H901" i="7"/>
  <c r="G901" i="7"/>
  <c r="A901" i="7"/>
  <c r="L900" i="7"/>
  <c r="K900" i="7"/>
  <c r="J900" i="7"/>
  <c r="H900" i="7"/>
  <c r="G900" i="7"/>
  <c r="A900" i="7"/>
  <c r="L899" i="7"/>
  <c r="K899" i="7"/>
  <c r="J899" i="7"/>
  <c r="H899" i="7"/>
  <c r="G899" i="7"/>
  <c r="A899" i="7"/>
  <c r="L898" i="7"/>
  <c r="K898" i="7"/>
  <c r="J898" i="7"/>
  <c r="H898" i="7"/>
  <c r="G898" i="7"/>
  <c r="A898" i="7"/>
  <c r="L897" i="7"/>
  <c r="K897" i="7"/>
  <c r="J897" i="7"/>
  <c r="H897" i="7"/>
  <c r="G897" i="7"/>
  <c r="A897" i="7"/>
  <c r="L896" i="7"/>
  <c r="K896" i="7"/>
  <c r="J896" i="7"/>
  <c r="H896" i="7"/>
  <c r="G896" i="7"/>
  <c r="A896" i="7"/>
  <c r="L895" i="7"/>
  <c r="K895" i="7"/>
  <c r="J895" i="7"/>
  <c r="H895" i="7"/>
  <c r="G895" i="7"/>
  <c r="A895" i="7"/>
  <c r="L894" i="7"/>
  <c r="K894" i="7"/>
  <c r="J894" i="7"/>
  <c r="H894" i="7"/>
  <c r="G894" i="7"/>
  <c r="A894" i="7"/>
  <c r="L893" i="7"/>
  <c r="K893" i="7"/>
  <c r="J893" i="7"/>
  <c r="H893" i="7"/>
  <c r="G893" i="7"/>
  <c r="A893" i="7"/>
  <c r="L892" i="7"/>
  <c r="K892" i="7"/>
  <c r="J892" i="7"/>
  <c r="H892" i="7"/>
  <c r="G892" i="7"/>
  <c r="A892" i="7"/>
  <c r="L891" i="7"/>
  <c r="K891" i="7"/>
  <c r="J891" i="7"/>
  <c r="H891" i="7"/>
  <c r="G891" i="7"/>
  <c r="A891" i="7"/>
  <c r="L890" i="7"/>
  <c r="K890" i="7"/>
  <c r="J890" i="7"/>
  <c r="H890" i="7"/>
  <c r="G890" i="7"/>
  <c r="A890" i="7"/>
  <c r="L889" i="7"/>
  <c r="K889" i="7"/>
  <c r="J889" i="7"/>
  <c r="H889" i="7"/>
  <c r="G889" i="7"/>
  <c r="A889" i="7"/>
  <c r="L888" i="7"/>
  <c r="K888" i="7"/>
  <c r="J888" i="7"/>
  <c r="H888" i="7"/>
  <c r="G888" i="7"/>
  <c r="A888" i="7"/>
  <c r="L887" i="7"/>
  <c r="K887" i="7"/>
  <c r="J887" i="7"/>
  <c r="H887" i="7"/>
  <c r="G887" i="7"/>
  <c r="A887" i="7"/>
  <c r="L886" i="7"/>
  <c r="K886" i="7"/>
  <c r="J886" i="7"/>
  <c r="H886" i="7"/>
  <c r="G886" i="7"/>
  <c r="A886" i="7"/>
  <c r="L885" i="7"/>
  <c r="K885" i="7"/>
  <c r="J885" i="7"/>
  <c r="H885" i="7"/>
  <c r="G885" i="7"/>
  <c r="A885" i="7"/>
  <c r="L884" i="7"/>
  <c r="K884" i="7"/>
  <c r="J884" i="7"/>
  <c r="H884" i="7"/>
  <c r="G884" i="7"/>
  <c r="A884" i="7"/>
  <c r="L883" i="7"/>
  <c r="K883" i="7"/>
  <c r="J883" i="7"/>
  <c r="H883" i="7"/>
  <c r="G883" i="7"/>
  <c r="A883" i="7"/>
  <c r="L882" i="7"/>
  <c r="K882" i="7"/>
  <c r="J882" i="7"/>
  <c r="H882" i="7"/>
  <c r="G882" i="7"/>
  <c r="A882" i="7"/>
  <c r="L881" i="7"/>
  <c r="K881" i="7"/>
  <c r="J881" i="7"/>
  <c r="H881" i="7"/>
  <c r="G881" i="7"/>
  <c r="A881" i="7"/>
  <c r="L880" i="7"/>
  <c r="K880" i="7"/>
  <c r="J880" i="7"/>
  <c r="H880" i="7"/>
  <c r="G880" i="7"/>
  <c r="A880" i="7"/>
  <c r="L879" i="7"/>
  <c r="K879" i="7"/>
  <c r="J879" i="7"/>
  <c r="H879" i="7"/>
  <c r="G879" i="7"/>
  <c r="A879" i="7"/>
  <c r="L878" i="7"/>
  <c r="K878" i="7"/>
  <c r="J878" i="7"/>
  <c r="H878" i="7"/>
  <c r="G878" i="7"/>
  <c r="A878" i="7"/>
  <c r="L877" i="7"/>
  <c r="K877" i="7"/>
  <c r="J877" i="7"/>
  <c r="H877" i="7"/>
  <c r="G877" i="7"/>
  <c r="A877" i="7"/>
  <c r="L876" i="7"/>
  <c r="K876" i="7"/>
  <c r="J876" i="7"/>
  <c r="H876" i="7"/>
  <c r="G876" i="7"/>
  <c r="A876" i="7"/>
  <c r="L875" i="7"/>
  <c r="K875" i="7"/>
  <c r="J875" i="7"/>
  <c r="H875" i="7"/>
  <c r="G875" i="7"/>
  <c r="A875" i="7"/>
  <c r="L874" i="7"/>
  <c r="K874" i="7"/>
  <c r="J874" i="7"/>
  <c r="H874" i="7"/>
  <c r="G874" i="7"/>
  <c r="A874" i="7"/>
  <c r="L873" i="7"/>
  <c r="K873" i="7"/>
  <c r="J873" i="7"/>
  <c r="H873" i="7"/>
  <c r="G873" i="7"/>
  <c r="A873" i="7"/>
  <c r="L872" i="7"/>
  <c r="K872" i="7"/>
  <c r="J872" i="7"/>
  <c r="H872" i="7"/>
  <c r="G872" i="7"/>
  <c r="A872" i="7"/>
  <c r="L871" i="7"/>
  <c r="K871" i="7"/>
  <c r="J871" i="7"/>
  <c r="H871" i="7"/>
  <c r="G871" i="7"/>
  <c r="A871" i="7"/>
  <c r="L870" i="7"/>
  <c r="K870" i="7"/>
  <c r="J870" i="7"/>
  <c r="H870" i="7"/>
  <c r="G870" i="7"/>
  <c r="A870" i="7"/>
  <c r="L869" i="7"/>
  <c r="K869" i="7"/>
  <c r="J869" i="7"/>
  <c r="H869" i="7"/>
  <c r="G869" i="7"/>
  <c r="A869" i="7"/>
  <c r="L868" i="7"/>
  <c r="K868" i="7"/>
  <c r="J868" i="7"/>
  <c r="H868" i="7"/>
  <c r="G868" i="7"/>
  <c r="A868" i="7"/>
  <c r="L867" i="7"/>
  <c r="K867" i="7"/>
  <c r="J867" i="7"/>
  <c r="H867" i="7"/>
  <c r="G867" i="7"/>
  <c r="A867" i="7"/>
  <c r="L866" i="7"/>
  <c r="K866" i="7"/>
  <c r="J866" i="7"/>
  <c r="H866" i="7"/>
  <c r="G866" i="7"/>
  <c r="A866" i="7"/>
  <c r="L865" i="7"/>
  <c r="K865" i="7"/>
  <c r="J865" i="7"/>
  <c r="H865" i="7"/>
  <c r="G865" i="7"/>
  <c r="A865" i="7"/>
  <c r="L864" i="7"/>
  <c r="K864" i="7"/>
  <c r="J864" i="7"/>
  <c r="H864" i="7"/>
  <c r="G864" i="7"/>
  <c r="A864" i="7"/>
  <c r="L863" i="7"/>
  <c r="K863" i="7"/>
  <c r="J863" i="7"/>
  <c r="H863" i="7"/>
  <c r="G863" i="7"/>
  <c r="A863" i="7"/>
  <c r="L862" i="7"/>
  <c r="K862" i="7"/>
  <c r="J862" i="7"/>
  <c r="H862" i="7"/>
  <c r="G862" i="7"/>
  <c r="A862" i="7"/>
  <c r="L861" i="7"/>
  <c r="K861" i="7"/>
  <c r="J861" i="7"/>
  <c r="H861" i="7"/>
  <c r="G861" i="7"/>
  <c r="A861" i="7"/>
  <c r="L860" i="7"/>
  <c r="K860" i="7"/>
  <c r="J860" i="7"/>
  <c r="H860" i="7"/>
  <c r="G860" i="7"/>
  <c r="A860" i="7"/>
  <c r="L859" i="7"/>
  <c r="K859" i="7"/>
  <c r="J859" i="7"/>
  <c r="H859" i="7"/>
  <c r="G859" i="7"/>
  <c r="A859" i="7"/>
  <c r="L858" i="7"/>
  <c r="K858" i="7"/>
  <c r="J858" i="7"/>
  <c r="H858" i="7"/>
  <c r="G858" i="7"/>
  <c r="A858" i="7"/>
  <c r="L857" i="7"/>
  <c r="K857" i="7"/>
  <c r="J857" i="7"/>
  <c r="H857" i="7"/>
  <c r="G857" i="7"/>
  <c r="A857" i="7"/>
  <c r="L856" i="7"/>
  <c r="K856" i="7"/>
  <c r="J856" i="7"/>
  <c r="H856" i="7"/>
  <c r="G856" i="7"/>
  <c r="A856" i="7"/>
  <c r="L855" i="7"/>
  <c r="K855" i="7"/>
  <c r="J855" i="7"/>
  <c r="H855" i="7"/>
  <c r="G855" i="7"/>
  <c r="A855" i="7"/>
  <c r="L854" i="7"/>
  <c r="K854" i="7"/>
  <c r="J854" i="7"/>
  <c r="H854" i="7"/>
  <c r="G854" i="7"/>
  <c r="A854" i="7"/>
  <c r="L853" i="7"/>
  <c r="K853" i="7"/>
  <c r="J853" i="7"/>
  <c r="H853" i="7"/>
  <c r="G853" i="7"/>
  <c r="A853" i="7"/>
  <c r="L852" i="7"/>
  <c r="K852" i="7"/>
  <c r="J852" i="7"/>
  <c r="H852" i="7"/>
  <c r="G852" i="7"/>
  <c r="A852" i="7"/>
  <c r="L851" i="7"/>
  <c r="K851" i="7"/>
  <c r="J851" i="7"/>
  <c r="H851" i="7"/>
  <c r="G851" i="7"/>
  <c r="A851" i="7"/>
  <c r="L850" i="7"/>
  <c r="K850" i="7"/>
  <c r="J850" i="7"/>
  <c r="H850" i="7"/>
  <c r="G850" i="7"/>
  <c r="A850" i="7"/>
  <c r="L849" i="7"/>
  <c r="K849" i="7"/>
  <c r="J849" i="7"/>
  <c r="H849" i="7"/>
  <c r="G849" i="7"/>
  <c r="A849" i="7"/>
  <c r="L848" i="7"/>
  <c r="K848" i="7"/>
  <c r="J848" i="7"/>
  <c r="H848" i="7"/>
  <c r="G848" i="7"/>
  <c r="A848" i="7"/>
  <c r="L847" i="7"/>
  <c r="K847" i="7"/>
  <c r="J847" i="7"/>
  <c r="H847" i="7"/>
  <c r="G847" i="7"/>
  <c r="A847" i="7"/>
  <c r="L846" i="7"/>
  <c r="K846" i="7"/>
  <c r="J846" i="7"/>
  <c r="H846" i="7"/>
  <c r="G846" i="7"/>
  <c r="A846" i="7"/>
  <c r="L845" i="7"/>
  <c r="K845" i="7"/>
  <c r="J845" i="7"/>
  <c r="H845" i="7"/>
  <c r="G845" i="7"/>
  <c r="A845" i="7"/>
  <c r="L844" i="7"/>
  <c r="K844" i="7"/>
  <c r="J844" i="7"/>
  <c r="H844" i="7"/>
  <c r="G844" i="7"/>
  <c r="A844" i="7"/>
  <c r="L843" i="7"/>
  <c r="K843" i="7"/>
  <c r="J843" i="7"/>
  <c r="H843" i="7"/>
  <c r="G843" i="7"/>
  <c r="A843" i="7"/>
  <c r="L842" i="7"/>
  <c r="K842" i="7"/>
  <c r="J842" i="7"/>
  <c r="H842" i="7"/>
  <c r="G842" i="7"/>
  <c r="A842" i="7"/>
  <c r="L841" i="7"/>
  <c r="K841" i="7"/>
  <c r="J841" i="7"/>
  <c r="H841" i="7"/>
  <c r="G841" i="7"/>
  <c r="A841" i="7"/>
  <c r="L840" i="7"/>
  <c r="K840" i="7"/>
  <c r="J840" i="7"/>
  <c r="H840" i="7"/>
  <c r="G840" i="7"/>
  <c r="A840" i="7"/>
  <c r="L839" i="7"/>
  <c r="K839" i="7"/>
  <c r="J839" i="7"/>
  <c r="H839" i="7"/>
  <c r="G839" i="7"/>
  <c r="A839" i="7"/>
  <c r="L838" i="7"/>
  <c r="K838" i="7"/>
  <c r="J838" i="7"/>
  <c r="H838" i="7"/>
  <c r="G838" i="7"/>
  <c r="A838" i="7"/>
  <c r="L837" i="7"/>
  <c r="K837" i="7"/>
  <c r="J837" i="7"/>
  <c r="H837" i="7"/>
  <c r="G837" i="7"/>
  <c r="A837" i="7"/>
  <c r="L836" i="7"/>
  <c r="K836" i="7"/>
  <c r="J836" i="7"/>
  <c r="H836" i="7"/>
  <c r="G836" i="7"/>
  <c r="A836" i="7"/>
  <c r="L835" i="7"/>
  <c r="K835" i="7"/>
  <c r="J835" i="7"/>
  <c r="H835" i="7"/>
  <c r="G835" i="7"/>
  <c r="A835" i="7"/>
  <c r="L834" i="7"/>
  <c r="K834" i="7"/>
  <c r="J834" i="7"/>
  <c r="H834" i="7"/>
  <c r="G834" i="7"/>
  <c r="A834" i="7"/>
  <c r="L833" i="7"/>
  <c r="K833" i="7"/>
  <c r="J833" i="7"/>
  <c r="H833" i="7"/>
  <c r="G833" i="7"/>
  <c r="A833" i="7"/>
  <c r="L832" i="7"/>
  <c r="K832" i="7"/>
  <c r="J832" i="7"/>
  <c r="H832" i="7"/>
  <c r="G832" i="7"/>
  <c r="A832" i="7"/>
  <c r="L831" i="7"/>
  <c r="K831" i="7"/>
  <c r="J831" i="7"/>
  <c r="H831" i="7"/>
  <c r="G831" i="7"/>
  <c r="A831" i="7"/>
  <c r="L830" i="7"/>
  <c r="K830" i="7"/>
  <c r="J830" i="7"/>
  <c r="H830" i="7"/>
  <c r="G830" i="7"/>
  <c r="A830" i="7"/>
  <c r="L829" i="7"/>
  <c r="K829" i="7"/>
  <c r="J829" i="7"/>
  <c r="H829" i="7"/>
  <c r="G829" i="7"/>
  <c r="A829" i="7"/>
  <c r="L828" i="7"/>
  <c r="K828" i="7"/>
  <c r="J828" i="7"/>
  <c r="H828" i="7"/>
  <c r="G828" i="7"/>
  <c r="A828" i="7"/>
  <c r="L827" i="7"/>
  <c r="K827" i="7"/>
  <c r="J827" i="7"/>
  <c r="H827" i="7"/>
  <c r="G827" i="7"/>
  <c r="A827" i="7"/>
  <c r="L826" i="7"/>
  <c r="K826" i="7"/>
  <c r="J826" i="7"/>
  <c r="H826" i="7"/>
  <c r="G826" i="7"/>
  <c r="A826" i="7"/>
  <c r="L825" i="7"/>
  <c r="K825" i="7"/>
  <c r="J825" i="7"/>
  <c r="H825" i="7"/>
  <c r="G825" i="7"/>
  <c r="A825" i="7"/>
  <c r="L824" i="7"/>
  <c r="K824" i="7"/>
  <c r="J824" i="7"/>
  <c r="H824" i="7"/>
  <c r="G824" i="7"/>
  <c r="A824" i="7"/>
  <c r="L823" i="7"/>
  <c r="K823" i="7"/>
  <c r="J823" i="7"/>
  <c r="H823" i="7"/>
  <c r="G823" i="7"/>
  <c r="A823" i="7"/>
  <c r="L822" i="7"/>
  <c r="K822" i="7"/>
  <c r="J822" i="7"/>
  <c r="H822" i="7"/>
  <c r="G822" i="7"/>
  <c r="A822" i="7"/>
  <c r="L821" i="7"/>
  <c r="K821" i="7"/>
  <c r="J821" i="7"/>
  <c r="H821" i="7"/>
  <c r="G821" i="7"/>
  <c r="A821" i="7"/>
  <c r="L820" i="7"/>
  <c r="K820" i="7"/>
  <c r="J820" i="7"/>
  <c r="H820" i="7"/>
  <c r="G820" i="7"/>
  <c r="A820" i="7"/>
  <c r="L819" i="7"/>
  <c r="K819" i="7"/>
  <c r="J819" i="7"/>
  <c r="H819" i="7"/>
  <c r="G819" i="7"/>
  <c r="A819" i="7"/>
  <c r="L818" i="7"/>
  <c r="K818" i="7"/>
  <c r="J818" i="7"/>
  <c r="H818" i="7"/>
  <c r="G818" i="7"/>
  <c r="A818" i="7"/>
  <c r="L817" i="7"/>
  <c r="K817" i="7"/>
  <c r="J817" i="7"/>
  <c r="H817" i="7"/>
  <c r="G817" i="7"/>
  <c r="A817" i="7"/>
  <c r="L816" i="7"/>
  <c r="K816" i="7"/>
  <c r="J816" i="7"/>
  <c r="H816" i="7"/>
  <c r="G816" i="7"/>
  <c r="A816" i="7"/>
  <c r="L815" i="7"/>
  <c r="K815" i="7"/>
  <c r="J815" i="7"/>
  <c r="H815" i="7"/>
  <c r="G815" i="7"/>
  <c r="A815" i="7"/>
  <c r="L814" i="7"/>
  <c r="K814" i="7"/>
  <c r="J814" i="7"/>
  <c r="H814" i="7"/>
  <c r="G814" i="7"/>
  <c r="A814" i="7"/>
  <c r="L813" i="7"/>
  <c r="K813" i="7"/>
  <c r="J813" i="7"/>
  <c r="H813" i="7"/>
  <c r="G813" i="7"/>
  <c r="A813" i="7"/>
  <c r="L812" i="7"/>
  <c r="K812" i="7"/>
  <c r="J812" i="7"/>
  <c r="H812" i="7"/>
  <c r="G812" i="7"/>
  <c r="A812" i="7"/>
  <c r="L811" i="7"/>
  <c r="K811" i="7"/>
  <c r="J811" i="7"/>
  <c r="H811" i="7"/>
  <c r="G811" i="7"/>
  <c r="A811" i="7"/>
  <c r="L810" i="7"/>
  <c r="K810" i="7"/>
  <c r="J810" i="7"/>
  <c r="H810" i="7"/>
  <c r="G810" i="7"/>
  <c r="A810" i="7"/>
  <c r="L809" i="7"/>
  <c r="K809" i="7"/>
  <c r="J809" i="7"/>
  <c r="H809" i="7"/>
  <c r="G809" i="7"/>
  <c r="A809" i="7"/>
  <c r="L808" i="7"/>
  <c r="K808" i="7"/>
  <c r="J808" i="7"/>
  <c r="H808" i="7"/>
  <c r="G808" i="7"/>
  <c r="A808" i="7"/>
  <c r="L807" i="7"/>
  <c r="K807" i="7"/>
  <c r="J807" i="7"/>
  <c r="H807" i="7"/>
  <c r="G807" i="7"/>
  <c r="A807" i="7"/>
  <c r="L806" i="7"/>
  <c r="K806" i="7"/>
  <c r="J806" i="7"/>
  <c r="H806" i="7"/>
  <c r="G806" i="7"/>
  <c r="A806" i="7"/>
  <c r="L805" i="7"/>
  <c r="K805" i="7"/>
  <c r="J805" i="7"/>
  <c r="H805" i="7"/>
  <c r="G805" i="7"/>
  <c r="A805" i="7"/>
  <c r="L804" i="7"/>
  <c r="K804" i="7"/>
  <c r="J804" i="7"/>
  <c r="H804" i="7"/>
  <c r="G804" i="7"/>
  <c r="A804" i="7"/>
  <c r="L803" i="7"/>
  <c r="K803" i="7"/>
  <c r="J803" i="7"/>
  <c r="H803" i="7"/>
  <c r="G803" i="7"/>
  <c r="A803" i="7"/>
  <c r="L802" i="7"/>
  <c r="K802" i="7"/>
  <c r="J802" i="7"/>
  <c r="H802" i="7"/>
  <c r="G802" i="7"/>
  <c r="A802" i="7"/>
  <c r="L801" i="7"/>
  <c r="K801" i="7"/>
  <c r="J801" i="7"/>
  <c r="H801" i="7"/>
  <c r="G801" i="7"/>
  <c r="A801" i="7"/>
  <c r="L800" i="7"/>
  <c r="K800" i="7"/>
  <c r="J800" i="7"/>
  <c r="H800" i="7"/>
  <c r="G800" i="7"/>
  <c r="A800" i="7"/>
  <c r="L799" i="7"/>
  <c r="K799" i="7"/>
  <c r="J799" i="7"/>
  <c r="H799" i="7"/>
  <c r="G799" i="7"/>
  <c r="A799" i="7"/>
  <c r="L798" i="7"/>
  <c r="K798" i="7"/>
  <c r="J798" i="7"/>
  <c r="H798" i="7"/>
  <c r="G798" i="7"/>
  <c r="A798" i="7"/>
  <c r="L797" i="7"/>
  <c r="K797" i="7"/>
  <c r="J797" i="7"/>
  <c r="H797" i="7"/>
  <c r="G797" i="7"/>
  <c r="A797" i="7"/>
  <c r="L796" i="7"/>
  <c r="K796" i="7"/>
  <c r="J796" i="7"/>
  <c r="H796" i="7"/>
  <c r="G796" i="7"/>
  <c r="A796" i="7"/>
  <c r="L795" i="7"/>
  <c r="K795" i="7"/>
  <c r="J795" i="7"/>
  <c r="H795" i="7"/>
  <c r="G795" i="7"/>
  <c r="A795" i="7"/>
  <c r="L794" i="7"/>
  <c r="K794" i="7"/>
  <c r="J794" i="7"/>
  <c r="H794" i="7"/>
  <c r="G794" i="7"/>
  <c r="A794" i="7"/>
  <c r="L793" i="7"/>
  <c r="K793" i="7"/>
  <c r="J793" i="7"/>
  <c r="H793" i="7"/>
  <c r="G793" i="7"/>
  <c r="A793" i="7"/>
  <c r="L792" i="7"/>
  <c r="K792" i="7"/>
  <c r="J792" i="7"/>
  <c r="H792" i="7"/>
  <c r="G792" i="7"/>
  <c r="A792" i="7"/>
  <c r="L791" i="7"/>
  <c r="K791" i="7"/>
  <c r="J791" i="7"/>
  <c r="H791" i="7"/>
  <c r="G791" i="7"/>
  <c r="A791" i="7"/>
  <c r="L790" i="7"/>
  <c r="K790" i="7"/>
  <c r="J790" i="7"/>
  <c r="H790" i="7"/>
  <c r="G790" i="7"/>
  <c r="A790" i="7"/>
  <c r="L789" i="7"/>
  <c r="K789" i="7"/>
  <c r="J789" i="7"/>
  <c r="H789" i="7"/>
  <c r="G789" i="7"/>
  <c r="A789" i="7"/>
  <c r="L788" i="7"/>
  <c r="K788" i="7"/>
  <c r="J788" i="7"/>
  <c r="H788" i="7"/>
  <c r="G788" i="7"/>
  <c r="A788" i="7"/>
  <c r="L787" i="7"/>
  <c r="K787" i="7"/>
  <c r="J787" i="7"/>
  <c r="H787" i="7"/>
  <c r="G787" i="7"/>
  <c r="A787" i="7"/>
  <c r="L786" i="7"/>
  <c r="K786" i="7"/>
  <c r="J786" i="7"/>
  <c r="H786" i="7"/>
  <c r="G786" i="7"/>
  <c r="A786" i="7"/>
  <c r="L785" i="7"/>
  <c r="K785" i="7"/>
  <c r="J785" i="7"/>
  <c r="H785" i="7"/>
  <c r="G785" i="7"/>
  <c r="A785" i="7"/>
  <c r="L784" i="7"/>
  <c r="K784" i="7"/>
  <c r="J784" i="7"/>
  <c r="H784" i="7"/>
  <c r="G784" i="7"/>
  <c r="A784" i="7"/>
  <c r="L783" i="7"/>
  <c r="K783" i="7"/>
  <c r="J783" i="7"/>
  <c r="H783" i="7"/>
  <c r="G783" i="7"/>
  <c r="A783" i="7"/>
  <c r="L782" i="7"/>
  <c r="K782" i="7"/>
  <c r="J782" i="7"/>
  <c r="H782" i="7"/>
  <c r="G782" i="7"/>
  <c r="A782" i="7"/>
  <c r="L781" i="7"/>
  <c r="K781" i="7"/>
  <c r="J781" i="7"/>
  <c r="H781" i="7"/>
  <c r="G781" i="7"/>
  <c r="A781" i="7"/>
  <c r="L780" i="7"/>
  <c r="K780" i="7"/>
  <c r="J780" i="7"/>
  <c r="H780" i="7"/>
  <c r="G780" i="7"/>
  <c r="A780" i="7"/>
  <c r="L779" i="7"/>
  <c r="K779" i="7"/>
  <c r="J779" i="7"/>
  <c r="H779" i="7"/>
  <c r="G779" i="7"/>
  <c r="A779" i="7"/>
  <c r="L778" i="7"/>
  <c r="K778" i="7"/>
  <c r="J778" i="7"/>
  <c r="H778" i="7"/>
  <c r="G778" i="7"/>
  <c r="A778" i="7"/>
  <c r="L777" i="7"/>
  <c r="K777" i="7"/>
  <c r="J777" i="7"/>
  <c r="H777" i="7"/>
  <c r="G777" i="7"/>
  <c r="A777" i="7"/>
  <c r="L776" i="7"/>
  <c r="K776" i="7"/>
  <c r="J776" i="7"/>
  <c r="H776" i="7"/>
  <c r="G776" i="7"/>
  <c r="A776" i="7"/>
  <c r="L775" i="7"/>
  <c r="K775" i="7"/>
  <c r="J775" i="7"/>
  <c r="H775" i="7"/>
  <c r="G775" i="7"/>
  <c r="A775" i="7"/>
  <c r="L774" i="7"/>
  <c r="K774" i="7"/>
  <c r="J774" i="7"/>
  <c r="H774" i="7"/>
  <c r="G774" i="7"/>
  <c r="A774" i="7"/>
  <c r="L773" i="7"/>
  <c r="K773" i="7"/>
  <c r="J773" i="7"/>
  <c r="H773" i="7"/>
  <c r="G773" i="7"/>
  <c r="A773" i="7"/>
  <c r="L772" i="7"/>
  <c r="K772" i="7"/>
  <c r="J772" i="7"/>
  <c r="H772" i="7"/>
  <c r="G772" i="7"/>
  <c r="A772" i="7"/>
  <c r="L771" i="7"/>
  <c r="K771" i="7"/>
  <c r="J771" i="7"/>
  <c r="H771" i="7"/>
  <c r="G771" i="7"/>
  <c r="A771" i="7"/>
  <c r="L770" i="7"/>
  <c r="K770" i="7"/>
  <c r="J770" i="7"/>
  <c r="H770" i="7"/>
  <c r="G770" i="7"/>
  <c r="A770" i="7"/>
  <c r="L769" i="7"/>
  <c r="K769" i="7"/>
  <c r="J769" i="7"/>
  <c r="H769" i="7"/>
  <c r="G769" i="7"/>
  <c r="A769" i="7"/>
  <c r="L768" i="7"/>
  <c r="K768" i="7"/>
  <c r="J768" i="7"/>
  <c r="H768" i="7"/>
  <c r="G768" i="7"/>
  <c r="A768" i="7"/>
  <c r="L767" i="7"/>
  <c r="K767" i="7"/>
  <c r="J767" i="7"/>
  <c r="H767" i="7"/>
  <c r="G767" i="7"/>
  <c r="A767" i="7"/>
  <c r="L766" i="7"/>
  <c r="K766" i="7"/>
  <c r="J766" i="7"/>
  <c r="H766" i="7"/>
  <c r="G766" i="7"/>
  <c r="A766" i="7"/>
  <c r="L765" i="7"/>
  <c r="K765" i="7"/>
  <c r="J765" i="7"/>
  <c r="H765" i="7"/>
  <c r="G765" i="7"/>
  <c r="A765" i="7"/>
  <c r="L764" i="7"/>
  <c r="K764" i="7"/>
  <c r="J764" i="7"/>
  <c r="H764" i="7"/>
  <c r="G764" i="7"/>
  <c r="A764" i="7"/>
  <c r="L763" i="7"/>
  <c r="K763" i="7"/>
  <c r="J763" i="7"/>
  <c r="H763" i="7"/>
  <c r="G763" i="7"/>
  <c r="A763" i="7"/>
  <c r="L762" i="7"/>
  <c r="K762" i="7"/>
  <c r="J762" i="7"/>
  <c r="H762" i="7"/>
  <c r="G762" i="7"/>
  <c r="A762" i="7"/>
  <c r="L761" i="7"/>
  <c r="K761" i="7"/>
  <c r="J761" i="7"/>
  <c r="H761" i="7"/>
  <c r="G761" i="7"/>
  <c r="A761" i="7"/>
  <c r="L760" i="7"/>
  <c r="K760" i="7"/>
  <c r="J760" i="7"/>
  <c r="H760" i="7"/>
  <c r="G760" i="7"/>
  <c r="A760" i="7"/>
  <c r="L759" i="7"/>
  <c r="K759" i="7"/>
  <c r="J759" i="7"/>
  <c r="H759" i="7"/>
  <c r="G759" i="7"/>
  <c r="A759" i="7"/>
  <c r="L758" i="7"/>
  <c r="K758" i="7"/>
  <c r="J758" i="7"/>
  <c r="H758" i="7"/>
  <c r="G758" i="7"/>
  <c r="A758" i="7"/>
  <c r="L757" i="7"/>
  <c r="K757" i="7"/>
  <c r="J757" i="7"/>
  <c r="H757" i="7"/>
  <c r="G757" i="7"/>
  <c r="A757" i="7"/>
  <c r="L756" i="7"/>
  <c r="K756" i="7"/>
  <c r="J756" i="7"/>
  <c r="H756" i="7"/>
  <c r="G756" i="7"/>
  <c r="A756" i="7"/>
  <c r="L755" i="7"/>
  <c r="K755" i="7"/>
  <c r="J755" i="7"/>
  <c r="H755" i="7"/>
  <c r="G755" i="7"/>
  <c r="A755" i="7"/>
  <c r="L754" i="7"/>
  <c r="K754" i="7"/>
  <c r="J754" i="7"/>
  <c r="H754" i="7"/>
  <c r="G754" i="7"/>
  <c r="A754" i="7"/>
  <c r="L753" i="7"/>
  <c r="K753" i="7"/>
  <c r="J753" i="7"/>
  <c r="H753" i="7"/>
  <c r="G753" i="7"/>
  <c r="A753" i="7"/>
  <c r="L752" i="7"/>
  <c r="K752" i="7"/>
  <c r="J752" i="7"/>
  <c r="H752" i="7"/>
  <c r="G752" i="7"/>
  <c r="A752" i="7"/>
  <c r="L751" i="7"/>
  <c r="K751" i="7"/>
  <c r="J751" i="7"/>
  <c r="H751" i="7"/>
  <c r="G751" i="7"/>
  <c r="A751" i="7"/>
  <c r="L750" i="7"/>
  <c r="K750" i="7"/>
  <c r="J750" i="7"/>
  <c r="H750" i="7"/>
  <c r="G750" i="7"/>
  <c r="A750" i="7"/>
  <c r="L749" i="7"/>
  <c r="K749" i="7"/>
  <c r="J749" i="7"/>
  <c r="H749" i="7"/>
  <c r="G749" i="7"/>
  <c r="A749" i="7"/>
  <c r="L748" i="7"/>
  <c r="K748" i="7"/>
  <c r="J748" i="7"/>
  <c r="H748" i="7"/>
  <c r="G748" i="7"/>
  <c r="A748" i="7"/>
  <c r="L747" i="7"/>
  <c r="K747" i="7"/>
  <c r="J747" i="7"/>
  <c r="H747" i="7"/>
  <c r="G747" i="7"/>
  <c r="A747" i="7"/>
  <c r="L746" i="7"/>
  <c r="K746" i="7"/>
  <c r="J746" i="7"/>
  <c r="H746" i="7"/>
  <c r="G746" i="7"/>
  <c r="A746" i="7"/>
  <c r="L745" i="7"/>
  <c r="K745" i="7"/>
  <c r="J745" i="7"/>
  <c r="H745" i="7"/>
  <c r="G745" i="7"/>
  <c r="A745" i="7"/>
  <c r="L744" i="7"/>
  <c r="K744" i="7"/>
  <c r="J744" i="7"/>
  <c r="H744" i="7"/>
  <c r="G744" i="7"/>
  <c r="A744" i="7"/>
  <c r="L743" i="7"/>
  <c r="K743" i="7"/>
  <c r="J743" i="7"/>
  <c r="H743" i="7"/>
  <c r="G743" i="7"/>
  <c r="A743" i="7"/>
  <c r="L742" i="7"/>
  <c r="K742" i="7"/>
  <c r="J742" i="7"/>
  <c r="H742" i="7"/>
  <c r="G742" i="7"/>
  <c r="A742" i="7"/>
  <c r="L741" i="7"/>
  <c r="K741" i="7"/>
  <c r="J741" i="7"/>
  <c r="H741" i="7"/>
  <c r="G741" i="7"/>
  <c r="A741" i="7"/>
  <c r="L740" i="7"/>
  <c r="K740" i="7"/>
  <c r="J740" i="7"/>
  <c r="H740" i="7"/>
  <c r="G740" i="7"/>
  <c r="A740" i="7"/>
  <c r="L739" i="7"/>
  <c r="K739" i="7"/>
  <c r="J739" i="7"/>
  <c r="H739" i="7"/>
  <c r="G739" i="7"/>
  <c r="A739" i="7"/>
  <c r="L738" i="7"/>
  <c r="K738" i="7"/>
  <c r="J738" i="7"/>
  <c r="H738" i="7"/>
  <c r="G738" i="7"/>
  <c r="A738" i="7"/>
  <c r="L737" i="7"/>
  <c r="K737" i="7"/>
  <c r="J737" i="7"/>
  <c r="H737" i="7"/>
  <c r="G737" i="7"/>
  <c r="A737" i="7"/>
  <c r="L736" i="7"/>
  <c r="K736" i="7"/>
  <c r="J736" i="7"/>
  <c r="H736" i="7"/>
  <c r="G736" i="7"/>
  <c r="A736" i="7"/>
  <c r="L735" i="7"/>
  <c r="K735" i="7"/>
  <c r="J735" i="7"/>
  <c r="H735" i="7"/>
  <c r="G735" i="7"/>
  <c r="A735" i="7"/>
  <c r="L734" i="7"/>
  <c r="K734" i="7"/>
  <c r="J734" i="7"/>
  <c r="H734" i="7"/>
  <c r="G734" i="7"/>
  <c r="A734" i="7"/>
  <c r="L733" i="7"/>
  <c r="K733" i="7"/>
  <c r="J733" i="7"/>
  <c r="H733" i="7"/>
  <c r="G733" i="7"/>
  <c r="A733" i="7"/>
  <c r="L732" i="7"/>
  <c r="K732" i="7"/>
  <c r="J732" i="7"/>
  <c r="H732" i="7"/>
  <c r="G732" i="7"/>
  <c r="A732" i="7"/>
  <c r="L731" i="7"/>
  <c r="K731" i="7"/>
  <c r="J731" i="7"/>
  <c r="H731" i="7"/>
  <c r="G731" i="7"/>
  <c r="A731" i="7"/>
  <c r="L730" i="7"/>
  <c r="K730" i="7"/>
  <c r="J730" i="7"/>
  <c r="H730" i="7"/>
  <c r="G730" i="7"/>
  <c r="A730" i="7"/>
  <c r="L729" i="7"/>
  <c r="K729" i="7"/>
  <c r="J729" i="7"/>
  <c r="H729" i="7"/>
  <c r="G729" i="7"/>
  <c r="A729" i="7"/>
  <c r="L728" i="7"/>
  <c r="K728" i="7"/>
  <c r="J728" i="7"/>
  <c r="H728" i="7"/>
  <c r="G728" i="7"/>
  <c r="A728" i="7"/>
  <c r="L727" i="7"/>
  <c r="K727" i="7"/>
  <c r="J727" i="7"/>
  <c r="H727" i="7"/>
  <c r="G727" i="7"/>
  <c r="A727" i="7"/>
  <c r="L726" i="7"/>
  <c r="K726" i="7"/>
  <c r="J726" i="7"/>
  <c r="H726" i="7"/>
  <c r="G726" i="7"/>
  <c r="A726" i="7"/>
  <c r="L725" i="7"/>
  <c r="K725" i="7"/>
  <c r="J725" i="7"/>
  <c r="H725" i="7"/>
  <c r="G725" i="7"/>
  <c r="A725" i="7"/>
  <c r="L724" i="7"/>
  <c r="K724" i="7"/>
  <c r="J724" i="7"/>
  <c r="H724" i="7"/>
  <c r="G724" i="7"/>
  <c r="A724" i="7"/>
  <c r="L723" i="7"/>
  <c r="K723" i="7"/>
  <c r="J723" i="7"/>
  <c r="H723" i="7"/>
  <c r="G723" i="7"/>
  <c r="A723" i="7"/>
  <c r="L722" i="7"/>
  <c r="K722" i="7"/>
  <c r="J722" i="7"/>
  <c r="H722" i="7"/>
  <c r="G722" i="7"/>
  <c r="A722" i="7"/>
  <c r="L721" i="7"/>
  <c r="K721" i="7"/>
  <c r="J721" i="7"/>
  <c r="H721" i="7"/>
  <c r="G721" i="7"/>
  <c r="A721" i="7"/>
  <c r="L720" i="7"/>
  <c r="K720" i="7"/>
  <c r="J720" i="7"/>
  <c r="H720" i="7"/>
  <c r="G720" i="7"/>
  <c r="A720" i="7"/>
  <c r="L719" i="7"/>
  <c r="K719" i="7"/>
  <c r="J719" i="7"/>
  <c r="H719" i="7"/>
  <c r="G719" i="7"/>
  <c r="A719" i="7"/>
  <c r="L718" i="7"/>
  <c r="K718" i="7"/>
  <c r="J718" i="7"/>
  <c r="H718" i="7"/>
  <c r="G718" i="7"/>
  <c r="A718" i="7"/>
  <c r="L717" i="7"/>
  <c r="K717" i="7"/>
  <c r="J717" i="7"/>
  <c r="H717" i="7"/>
  <c r="G717" i="7"/>
  <c r="A717" i="7"/>
  <c r="L716" i="7"/>
  <c r="K716" i="7"/>
  <c r="J716" i="7"/>
  <c r="H716" i="7"/>
  <c r="G716" i="7"/>
  <c r="A716" i="7"/>
  <c r="L715" i="7"/>
  <c r="K715" i="7"/>
  <c r="J715" i="7"/>
  <c r="H715" i="7"/>
  <c r="G715" i="7"/>
  <c r="A715" i="7"/>
  <c r="L714" i="7"/>
  <c r="K714" i="7"/>
  <c r="J714" i="7"/>
  <c r="H714" i="7"/>
  <c r="G714" i="7"/>
  <c r="A714" i="7"/>
  <c r="L713" i="7"/>
  <c r="K713" i="7"/>
  <c r="J713" i="7"/>
  <c r="H713" i="7"/>
  <c r="G713" i="7"/>
  <c r="A713" i="7"/>
  <c r="L712" i="7"/>
  <c r="K712" i="7"/>
  <c r="J712" i="7"/>
  <c r="H712" i="7"/>
  <c r="G712" i="7"/>
  <c r="A712" i="7"/>
  <c r="L711" i="7"/>
  <c r="K711" i="7"/>
  <c r="J711" i="7"/>
  <c r="H711" i="7"/>
  <c r="G711" i="7"/>
  <c r="A711" i="7"/>
  <c r="L710" i="7"/>
  <c r="K710" i="7"/>
  <c r="J710" i="7"/>
  <c r="H710" i="7"/>
  <c r="G710" i="7"/>
  <c r="A710" i="7"/>
  <c r="L709" i="7"/>
  <c r="K709" i="7"/>
  <c r="J709" i="7"/>
  <c r="H709" i="7"/>
  <c r="G709" i="7"/>
  <c r="A709" i="7"/>
  <c r="L708" i="7"/>
  <c r="K708" i="7"/>
  <c r="J708" i="7"/>
  <c r="H708" i="7"/>
  <c r="G708" i="7"/>
  <c r="A708" i="7"/>
  <c r="L707" i="7"/>
  <c r="K707" i="7"/>
  <c r="J707" i="7"/>
  <c r="H707" i="7"/>
  <c r="G707" i="7"/>
  <c r="A707" i="7"/>
  <c r="L706" i="7"/>
  <c r="K706" i="7"/>
  <c r="J706" i="7"/>
  <c r="H706" i="7"/>
  <c r="G706" i="7"/>
  <c r="A706" i="7"/>
  <c r="L705" i="7"/>
  <c r="K705" i="7"/>
  <c r="J705" i="7"/>
  <c r="H705" i="7"/>
  <c r="G705" i="7"/>
  <c r="A705" i="7"/>
  <c r="L704" i="7"/>
  <c r="K704" i="7"/>
  <c r="J704" i="7"/>
  <c r="H704" i="7"/>
  <c r="G704" i="7"/>
  <c r="A704" i="7"/>
  <c r="L703" i="7"/>
  <c r="K703" i="7"/>
  <c r="J703" i="7"/>
  <c r="H703" i="7"/>
  <c r="G703" i="7"/>
  <c r="A703" i="7"/>
  <c r="L702" i="7"/>
  <c r="K702" i="7"/>
  <c r="J702" i="7"/>
  <c r="H702" i="7"/>
  <c r="G702" i="7"/>
  <c r="A702" i="7"/>
  <c r="L701" i="7"/>
  <c r="K701" i="7"/>
  <c r="J701" i="7"/>
  <c r="H701" i="7"/>
  <c r="G701" i="7"/>
  <c r="A701" i="7"/>
  <c r="L700" i="7"/>
  <c r="K700" i="7"/>
  <c r="J700" i="7"/>
  <c r="H700" i="7"/>
  <c r="G700" i="7"/>
  <c r="A700" i="7"/>
  <c r="L699" i="7"/>
  <c r="K699" i="7"/>
  <c r="J699" i="7"/>
  <c r="H699" i="7"/>
  <c r="G699" i="7"/>
  <c r="A699" i="7"/>
  <c r="L698" i="7"/>
  <c r="K698" i="7"/>
  <c r="J698" i="7"/>
  <c r="H698" i="7"/>
  <c r="G698" i="7"/>
  <c r="A698" i="7"/>
  <c r="L697" i="7"/>
  <c r="K697" i="7"/>
  <c r="J697" i="7"/>
  <c r="H697" i="7"/>
  <c r="G697" i="7"/>
  <c r="A697" i="7"/>
  <c r="L696" i="7"/>
  <c r="K696" i="7"/>
  <c r="J696" i="7"/>
  <c r="H696" i="7"/>
  <c r="G696" i="7"/>
  <c r="A696" i="7"/>
  <c r="L695" i="7"/>
  <c r="K695" i="7"/>
  <c r="J695" i="7"/>
  <c r="H695" i="7"/>
  <c r="G695" i="7"/>
  <c r="A695" i="7"/>
  <c r="L694" i="7"/>
  <c r="K694" i="7"/>
  <c r="J694" i="7"/>
  <c r="H694" i="7"/>
  <c r="G694" i="7"/>
  <c r="A694" i="7"/>
  <c r="L693" i="7"/>
  <c r="K693" i="7"/>
  <c r="J693" i="7"/>
  <c r="H693" i="7"/>
  <c r="G693" i="7"/>
  <c r="A693" i="7"/>
  <c r="L692" i="7"/>
  <c r="K692" i="7"/>
  <c r="J692" i="7"/>
  <c r="H692" i="7"/>
  <c r="G692" i="7"/>
  <c r="A692" i="7"/>
  <c r="L691" i="7"/>
  <c r="K691" i="7"/>
  <c r="J691" i="7"/>
  <c r="H691" i="7"/>
  <c r="G691" i="7"/>
  <c r="A691" i="7"/>
  <c r="L690" i="7"/>
  <c r="K690" i="7"/>
  <c r="J690" i="7"/>
  <c r="H690" i="7"/>
  <c r="G690" i="7"/>
  <c r="A690" i="7"/>
  <c r="L689" i="7"/>
  <c r="K689" i="7"/>
  <c r="J689" i="7"/>
  <c r="H689" i="7"/>
  <c r="G689" i="7"/>
  <c r="A689" i="7"/>
  <c r="L688" i="7"/>
  <c r="K688" i="7"/>
  <c r="J688" i="7"/>
  <c r="H688" i="7"/>
  <c r="G688" i="7"/>
  <c r="A688" i="7"/>
  <c r="L687" i="7"/>
  <c r="K687" i="7"/>
  <c r="J687" i="7"/>
  <c r="H687" i="7"/>
  <c r="G687" i="7"/>
  <c r="A687" i="7"/>
  <c r="L686" i="7"/>
  <c r="K686" i="7"/>
  <c r="J686" i="7"/>
  <c r="H686" i="7"/>
  <c r="G686" i="7"/>
  <c r="A686" i="7"/>
  <c r="L685" i="7"/>
  <c r="K685" i="7"/>
  <c r="J685" i="7"/>
  <c r="H685" i="7"/>
  <c r="G685" i="7"/>
  <c r="A685" i="7"/>
  <c r="L684" i="7"/>
  <c r="K684" i="7"/>
  <c r="J684" i="7"/>
  <c r="H684" i="7"/>
  <c r="G684" i="7"/>
  <c r="A684" i="7"/>
  <c r="L683" i="7"/>
  <c r="K683" i="7"/>
  <c r="J683" i="7"/>
  <c r="H683" i="7"/>
  <c r="G683" i="7"/>
  <c r="A683" i="7"/>
  <c r="L682" i="7"/>
  <c r="K682" i="7"/>
  <c r="J682" i="7"/>
  <c r="H682" i="7"/>
  <c r="G682" i="7"/>
  <c r="A682" i="7"/>
  <c r="L681" i="7"/>
  <c r="K681" i="7"/>
  <c r="J681" i="7"/>
  <c r="H681" i="7"/>
  <c r="G681" i="7"/>
  <c r="A681" i="7"/>
  <c r="L680" i="7"/>
  <c r="K680" i="7"/>
  <c r="J680" i="7"/>
  <c r="H680" i="7"/>
  <c r="G680" i="7"/>
  <c r="A680" i="7"/>
  <c r="L679" i="7"/>
  <c r="K679" i="7"/>
  <c r="J679" i="7"/>
  <c r="H679" i="7"/>
  <c r="G679" i="7"/>
  <c r="A679" i="7"/>
  <c r="L678" i="7"/>
  <c r="K678" i="7"/>
  <c r="J678" i="7"/>
  <c r="H678" i="7"/>
  <c r="G678" i="7"/>
  <c r="A678" i="7"/>
  <c r="L677" i="7"/>
  <c r="K677" i="7"/>
  <c r="J677" i="7"/>
  <c r="H677" i="7"/>
  <c r="G677" i="7"/>
  <c r="A677" i="7"/>
  <c r="L676" i="7"/>
  <c r="K676" i="7"/>
  <c r="J676" i="7"/>
  <c r="H676" i="7"/>
  <c r="G676" i="7"/>
  <c r="A676" i="7"/>
  <c r="L675" i="7"/>
  <c r="K675" i="7"/>
  <c r="J675" i="7"/>
  <c r="H675" i="7"/>
  <c r="G675" i="7"/>
  <c r="A675" i="7"/>
  <c r="L674" i="7"/>
  <c r="K674" i="7"/>
  <c r="J674" i="7"/>
  <c r="H674" i="7"/>
  <c r="G674" i="7"/>
  <c r="A674" i="7"/>
  <c r="L673" i="7"/>
  <c r="K673" i="7"/>
  <c r="J673" i="7"/>
  <c r="H673" i="7"/>
  <c r="G673" i="7"/>
  <c r="A673" i="7"/>
  <c r="L672" i="7"/>
  <c r="K672" i="7"/>
  <c r="J672" i="7"/>
  <c r="H672" i="7"/>
  <c r="G672" i="7"/>
  <c r="A672" i="7"/>
  <c r="L671" i="7"/>
  <c r="K671" i="7"/>
  <c r="J671" i="7"/>
  <c r="H671" i="7"/>
  <c r="G671" i="7"/>
  <c r="A671" i="7"/>
  <c r="L670" i="7"/>
  <c r="K670" i="7"/>
  <c r="J670" i="7"/>
  <c r="H670" i="7"/>
  <c r="G670" i="7"/>
  <c r="A670" i="7"/>
  <c r="L669" i="7"/>
  <c r="K669" i="7"/>
  <c r="J669" i="7"/>
  <c r="H669" i="7"/>
  <c r="G669" i="7"/>
  <c r="A669" i="7"/>
  <c r="L668" i="7"/>
  <c r="K668" i="7"/>
  <c r="J668" i="7"/>
  <c r="H668" i="7"/>
  <c r="G668" i="7"/>
  <c r="A668" i="7"/>
  <c r="L667" i="7"/>
  <c r="K667" i="7"/>
  <c r="J667" i="7"/>
  <c r="H667" i="7"/>
  <c r="G667" i="7"/>
  <c r="A667" i="7"/>
  <c r="L666" i="7"/>
  <c r="K666" i="7"/>
  <c r="J666" i="7"/>
  <c r="H666" i="7"/>
  <c r="G666" i="7"/>
  <c r="A666" i="7"/>
  <c r="L665" i="7"/>
  <c r="K665" i="7"/>
  <c r="J665" i="7"/>
  <c r="H665" i="7"/>
  <c r="G665" i="7"/>
  <c r="A665" i="7"/>
  <c r="L664" i="7"/>
  <c r="K664" i="7"/>
  <c r="J664" i="7"/>
  <c r="H664" i="7"/>
  <c r="G664" i="7"/>
  <c r="A664" i="7"/>
  <c r="L663" i="7"/>
  <c r="K663" i="7"/>
  <c r="J663" i="7"/>
  <c r="H663" i="7"/>
  <c r="G663" i="7"/>
  <c r="A663" i="7"/>
  <c r="L662" i="7"/>
  <c r="K662" i="7"/>
  <c r="J662" i="7"/>
  <c r="H662" i="7"/>
  <c r="G662" i="7"/>
  <c r="A662" i="7"/>
  <c r="L661" i="7"/>
  <c r="K661" i="7"/>
  <c r="J661" i="7"/>
  <c r="H661" i="7"/>
  <c r="G661" i="7"/>
  <c r="A661" i="7"/>
  <c r="L660" i="7"/>
  <c r="K660" i="7"/>
  <c r="J660" i="7"/>
  <c r="H660" i="7"/>
  <c r="G660" i="7"/>
  <c r="A660" i="7"/>
  <c r="L659" i="7"/>
  <c r="K659" i="7"/>
  <c r="J659" i="7"/>
  <c r="H659" i="7"/>
  <c r="G659" i="7"/>
  <c r="A659" i="7"/>
  <c r="L658" i="7"/>
  <c r="K658" i="7"/>
  <c r="J658" i="7"/>
  <c r="H658" i="7"/>
  <c r="G658" i="7"/>
  <c r="A658" i="7"/>
  <c r="L657" i="7"/>
  <c r="K657" i="7"/>
  <c r="J657" i="7"/>
  <c r="H657" i="7"/>
  <c r="G657" i="7"/>
  <c r="A657" i="7"/>
  <c r="L656" i="7"/>
  <c r="K656" i="7"/>
  <c r="J656" i="7"/>
  <c r="H656" i="7"/>
  <c r="G656" i="7"/>
  <c r="A656" i="7"/>
  <c r="L655" i="7"/>
  <c r="K655" i="7"/>
  <c r="J655" i="7"/>
  <c r="H655" i="7"/>
  <c r="G655" i="7"/>
  <c r="A655" i="7"/>
  <c r="L654" i="7"/>
  <c r="K654" i="7"/>
  <c r="J654" i="7"/>
  <c r="H654" i="7"/>
  <c r="G654" i="7"/>
  <c r="A654" i="7"/>
  <c r="L653" i="7"/>
  <c r="K653" i="7"/>
  <c r="J653" i="7"/>
  <c r="H653" i="7"/>
  <c r="G653" i="7"/>
  <c r="A653" i="7"/>
  <c r="L652" i="7"/>
  <c r="K652" i="7"/>
  <c r="J652" i="7"/>
  <c r="H652" i="7"/>
  <c r="G652" i="7"/>
  <c r="A652" i="7"/>
  <c r="L651" i="7"/>
  <c r="K651" i="7"/>
  <c r="J651" i="7"/>
  <c r="H651" i="7"/>
  <c r="G651" i="7"/>
  <c r="A651" i="7"/>
  <c r="L650" i="7"/>
  <c r="K650" i="7"/>
  <c r="J650" i="7"/>
  <c r="H650" i="7"/>
  <c r="G650" i="7"/>
  <c r="A650" i="7"/>
  <c r="L649" i="7"/>
  <c r="K649" i="7"/>
  <c r="J649" i="7"/>
  <c r="H649" i="7"/>
  <c r="G649" i="7"/>
  <c r="A649" i="7"/>
  <c r="L648" i="7"/>
  <c r="K648" i="7"/>
  <c r="J648" i="7"/>
  <c r="H648" i="7"/>
  <c r="G648" i="7"/>
  <c r="A648" i="7"/>
  <c r="L647" i="7"/>
  <c r="K647" i="7"/>
  <c r="J647" i="7"/>
  <c r="H647" i="7"/>
  <c r="G647" i="7"/>
  <c r="A647" i="7"/>
  <c r="L646" i="7"/>
  <c r="K646" i="7"/>
  <c r="J646" i="7"/>
  <c r="H646" i="7"/>
  <c r="G646" i="7"/>
  <c r="A646" i="7"/>
  <c r="L645" i="7"/>
  <c r="K645" i="7"/>
  <c r="J645" i="7"/>
  <c r="H645" i="7"/>
  <c r="G645" i="7"/>
  <c r="A645" i="7"/>
  <c r="L644" i="7"/>
  <c r="K644" i="7"/>
  <c r="J644" i="7"/>
  <c r="H644" i="7"/>
  <c r="G644" i="7"/>
  <c r="A644" i="7"/>
  <c r="L643" i="7"/>
  <c r="K643" i="7"/>
  <c r="J643" i="7"/>
  <c r="H643" i="7"/>
  <c r="G643" i="7"/>
  <c r="A643" i="7"/>
  <c r="L642" i="7"/>
  <c r="K642" i="7"/>
  <c r="J642" i="7"/>
  <c r="H642" i="7"/>
  <c r="G642" i="7"/>
  <c r="A642" i="7"/>
  <c r="L641" i="7"/>
  <c r="K641" i="7"/>
  <c r="J641" i="7"/>
  <c r="H641" i="7"/>
  <c r="G641" i="7"/>
  <c r="A641" i="7"/>
  <c r="L640" i="7"/>
  <c r="K640" i="7"/>
  <c r="J640" i="7"/>
  <c r="H640" i="7"/>
  <c r="G640" i="7"/>
  <c r="A640" i="7"/>
  <c r="L639" i="7"/>
  <c r="K639" i="7"/>
  <c r="J639" i="7"/>
  <c r="H639" i="7"/>
  <c r="G639" i="7"/>
  <c r="A639" i="7"/>
  <c r="L638" i="7"/>
  <c r="K638" i="7"/>
  <c r="J638" i="7"/>
  <c r="H638" i="7"/>
  <c r="G638" i="7"/>
  <c r="A638" i="7"/>
  <c r="L637" i="7"/>
  <c r="K637" i="7"/>
  <c r="J637" i="7"/>
  <c r="H637" i="7"/>
  <c r="G637" i="7"/>
  <c r="A637" i="7"/>
  <c r="L636" i="7"/>
  <c r="K636" i="7"/>
  <c r="J636" i="7"/>
  <c r="H636" i="7"/>
  <c r="G636" i="7"/>
  <c r="A636" i="7"/>
  <c r="L635" i="7"/>
  <c r="K635" i="7"/>
  <c r="J635" i="7"/>
  <c r="H635" i="7"/>
  <c r="G635" i="7"/>
  <c r="A635" i="7"/>
  <c r="L634" i="7"/>
  <c r="K634" i="7"/>
  <c r="J634" i="7"/>
  <c r="H634" i="7"/>
  <c r="G634" i="7"/>
  <c r="A634" i="7"/>
  <c r="L633" i="7"/>
  <c r="K633" i="7"/>
  <c r="J633" i="7"/>
  <c r="H633" i="7"/>
  <c r="G633" i="7"/>
  <c r="A633" i="7"/>
  <c r="L632" i="7"/>
  <c r="K632" i="7"/>
  <c r="J632" i="7"/>
  <c r="H632" i="7"/>
  <c r="G632" i="7"/>
  <c r="A632" i="7"/>
  <c r="L631" i="7"/>
  <c r="K631" i="7"/>
  <c r="J631" i="7"/>
  <c r="H631" i="7"/>
  <c r="G631" i="7"/>
  <c r="A631" i="7"/>
  <c r="L630" i="7"/>
  <c r="K630" i="7"/>
  <c r="J630" i="7"/>
  <c r="H630" i="7"/>
  <c r="G630" i="7"/>
  <c r="A630" i="7"/>
  <c r="L629" i="7"/>
  <c r="K629" i="7"/>
  <c r="J629" i="7"/>
  <c r="H629" i="7"/>
  <c r="G629" i="7"/>
  <c r="A629" i="7"/>
  <c r="L628" i="7"/>
  <c r="K628" i="7"/>
  <c r="J628" i="7"/>
  <c r="H628" i="7"/>
  <c r="G628" i="7"/>
  <c r="A628" i="7"/>
  <c r="L627" i="7"/>
  <c r="K627" i="7"/>
  <c r="J627" i="7"/>
  <c r="H627" i="7"/>
  <c r="G627" i="7"/>
  <c r="A627" i="7"/>
  <c r="L626" i="7"/>
  <c r="K626" i="7"/>
  <c r="J626" i="7"/>
  <c r="H626" i="7"/>
  <c r="G626" i="7"/>
  <c r="A626" i="7"/>
  <c r="L625" i="7"/>
  <c r="K625" i="7"/>
  <c r="J625" i="7"/>
  <c r="H625" i="7"/>
  <c r="G625" i="7"/>
  <c r="A625" i="7"/>
  <c r="L624" i="7"/>
  <c r="K624" i="7"/>
  <c r="J624" i="7"/>
  <c r="H624" i="7"/>
  <c r="G624" i="7"/>
  <c r="A624" i="7"/>
  <c r="L623" i="7"/>
  <c r="K623" i="7"/>
  <c r="J623" i="7"/>
  <c r="H623" i="7"/>
  <c r="G623" i="7"/>
  <c r="A623" i="7"/>
  <c r="L622" i="7"/>
  <c r="K622" i="7"/>
  <c r="J622" i="7"/>
  <c r="H622" i="7"/>
  <c r="G622" i="7"/>
  <c r="A622" i="7"/>
  <c r="L621" i="7"/>
  <c r="K621" i="7"/>
  <c r="J621" i="7"/>
  <c r="H621" i="7"/>
  <c r="G621" i="7"/>
  <c r="A621" i="7"/>
  <c r="L620" i="7"/>
  <c r="K620" i="7"/>
  <c r="J620" i="7"/>
  <c r="H620" i="7"/>
  <c r="G620" i="7"/>
  <c r="A620" i="7"/>
  <c r="L619" i="7"/>
  <c r="K619" i="7"/>
  <c r="J619" i="7"/>
  <c r="H619" i="7"/>
  <c r="G619" i="7"/>
  <c r="A619" i="7"/>
  <c r="L618" i="7"/>
  <c r="K618" i="7"/>
  <c r="J618" i="7"/>
  <c r="H618" i="7"/>
  <c r="G618" i="7"/>
  <c r="A618" i="7"/>
  <c r="L617" i="7"/>
  <c r="K617" i="7"/>
  <c r="J617" i="7"/>
  <c r="H617" i="7"/>
  <c r="G617" i="7"/>
  <c r="A617" i="7"/>
  <c r="L616" i="7"/>
  <c r="K616" i="7"/>
  <c r="J616" i="7"/>
  <c r="H616" i="7"/>
  <c r="G616" i="7"/>
  <c r="A616" i="7"/>
  <c r="L615" i="7"/>
  <c r="K615" i="7"/>
  <c r="J615" i="7"/>
  <c r="H615" i="7"/>
  <c r="G615" i="7"/>
  <c r="A615" i="7"/>
  <c r="L614" i="7"/>
  <c r="K614" i="7"/>
  <c r="J614" i="7"/>
  <c r="H614" i="7"/>
  <c r="G614" i="7"/>
  <c r="A614" i="7"/>
  <c r="L613" i="7"/>
  <c r="K613" i="7"/>
  <c r="J613" i="7"/>
  <c r="H613" i="7"/>
  <c r="G613" i="7"/>
  <c r="A613" i="7"/>
  <c r="L612" i="7"/>
  <c r="K612" i="7"/>
  <c r="J612" i="7"/>
  <c r="H612" i="7"/>
  <c r="G612" i="7"/>
  <c r="A612" i="7"/>
  <c r="L611" i="7"/>
  <c r="K611" i="7"/>
  <c r="J611" i="7"/>
  <c r="H611" i="7"/>
  <c r="G611" i="7"/>
  <c r="A611" i="7"/>
  <c r="L610" i="7"/>
  <c r="K610" i="7"/>
  <c r="J610" i="7"/>
  <c r="H610" i="7"/>
  <c r="G610" i="7"/>
  <c r="A610" i="7"/>
  <c r="L609" i="7"/>
  <c r="K609" i="7"/>
  <c r="J609" i="7"/>
  <c r="H609" i="7"/>
  <c r="G609" i="7"/>
  <c r="A609" i="7"/>
  <c r="L608" i="7"/>
  <c r="K608" i="7"/>
  <c r="J608" i="7"/>
  <c r="H608" i="7"/>
  <c r="G608" i="7"/>
  <c r="A608" i="7"/>
  <c r="L607" i="7"/>
  <c r="K607" i="7"/>
  <c r="J607" i="7"/>
  <c r="H607" i="7"/>
  <c r="G607" i="7"/>
  <c r="A607" i="7"/>
  <c r="L606" i="7"/>
  <c r="K606" i="7"/>
  <c r="J606" i="7"/>
  <c r="H606" i="7"/>
  <c r="G606" i="7"/>
  <c r="A606" i="7"/>
  <c r="L605" i="7"/>
  <c r="K605" i="7"/>
  <c r="J605" i="7"/>
  <c r="H605" i="7"/>
  <c r="G605" i="7"/>
  <c r="A605" i="7"/>
  <c r="L604" i="7"/>
  <c r="K604" i="7"/>
  <c r="J604" i="7"/>
  <c r="H604" i="7"/>
  <c r="G604" i="7"/>
  <c r="A604" i="7"/>
  <c r="L603" i="7"/>
  <c r="K603" i="7"/>
  <c r="J603" i="7"/>
  <c r="H603" i="7"/>
  <c r="G603" i="7"/>
  <c r="A603" i="7"/>
  <c r="L602" i="7"/>
  <c r="K602" i="7"/>
  <c r="J602" i="7"/>
  <c r="H602" i="7"/>
  <c r="G602" i="7"/>
  <c r="A602" i="7"/>
  <c r="L601" i="7"/>
  <c r="K601" i="7"/>
  <c r="J601" i="7"/>
  <c r="H601" i="7"/>
  <c r="G601" i="7"/>
  <c r="A601" i="7"/>
  <c r="L600" i="7"/>
  <c r="K600" i="7"/>
  <c r="J600" i="7"/>
  <c r="H600" i="7"/>
  <c r="G600" i="7"/>
  <c r="A600" i="7"/>
  <c r="L599" i="7"/>
  <c r="K599" i="7"/>
  <c r="J599" i="7"/>
  <c r="H599" i="7"/>
  <c r="G599" i="7"/>
  <c r="A599" i="7"/>
  <c r="L598" i="7"/>
  <c r="K598" i="7"/>
  <c r="J598" i="7"/>
  <c r="H598" i="7"/>
  <c r="G598" i="7"/>
  <c r="A598" i="7"/>
  <c r="L597" i="7"/>
  <c r="K597" i="7"/>
  <c r="J597" i="7"/>
  <c r="H597" i="7"/>
  <c r="G597" i="7"/>
  <c r="A597" i="7"/>
  <c r="L596" i="7"/>
  <c r="K596" i="7"/>
  <c r="J596" i="7"/>
  <c r="H596" i="7"/>
  <c r="G596" i="7"/>
  <c r="A596" i="7"/>
  <c r="L595" i="7"/>
  <c r="K595" i="7"/>
  <c r="J595" i="7"/>
  <c r="H595" i="7"/>
  <c r="G595" i="7"/>
  <c r="A595" i="7"/>
  <c r="L594" i="7"/>
  <c r="K594" i="7"/>
  <c r="J594" i="7"/>
  <c r="H594" i="7"/>
  <c r="G594" i="7"/>
  <c r="A594" i="7"/>
  <c r="L593" i="7"/>
  <c r="K593" i="7"/>
  <c r="J593" i="7"/>
  <c r="H593" i="7"/>
  <c r="G593" i="7"/>
  <c r="A593" i="7"/>
  <c r="L592" i="7"/>
  <c r="K592" i="7"/>
  <c r="J592" i="7"/>
  <c r="H592" i="7"/>
  <c r="G592" i="7"/>
  <c r="A592" i="7"/>
  <c r="L591" i="7"/>
  <c r="K591" i="7"/>
  <c r="J591" i="7"/>
  <c r="H591" i="7"/>
  <c r="G591" i="7"/>
  <c r="A591" i="7"/>
  <c r="L590" i="7"/>
  <c r="K590" i="7"/>
  <c r="J590" i="7"/>
  <c r="H590" i="7"/>
  <c r="G590" i="7"/>
  <c r="A590" i="7"/>
  <c r="L589" i="7"/>
  <c r="K589" i="7"/>
  <c r="J589" i="7"/>
  <c r="H589" i="7"/>
  <c r="G589" i="7"/>
  <c r="A589" i="7"/>
  <c r="L588" i="7"/>
  <c r="K588" i="7"/>
  <c r="J588" i="7"/>
  <c r="H588" i="7"/>
  <c r="G588" i="7"/>
  <c r="A588" i="7"/>
  <c r="L587" i="7"/>
  <c r="K587" i="7"/>
  <c r="J587" i="7"/>
  <c r="H587" i="7"/>
  <c r="G587" i="7"/>
  <c r="A587" i="7"/>
  <c r="L586" i="7"/>
  <c r="K586" i="7"/>
  <c r="J586" i="7"/>
  <c r="H586" i="7"/>
  <c r="G586" i="7"/>
  <c r="A586" i="7"/>
  <c r="L585" i="7"/>
  <c r="K585" i="7"/>
  <c r="J585" i="7"/>
  <c r="H585" i="7"/>
  <c r="G585" i="7"/>
  <c r="A585" i="7"/>
  <c r="L584" i="7"/>
  <c r="K584" i="7"/>
  <c r="J584" i="7"/>
  <c r="H584" i="7"/>
  <c r="G584" i="7"/>
  <c r="A584" i="7"/>
  <c r="L583" i="7"/>
  <c r="K583" i="7"/>
  <c r="J583" i="7"/>
  <c r="H583" i="7"/>
  <c r="G583" i="7"/>
  <c r="A583" i="7"/>
  <c r="L582" i="7"/>
  <c r="K582" i="7"/>
  <c r="J582" i="7"/>
  <c r="H582" i="7"/>
  <c r="G582" i="7"/>
  <c r="A582" i="7"/>
  <c r="L581" i="7"/>
  <c r="K581" i="7"/>
  <c r="J581" i="7"/>
  <c r="H581" i="7"/>
  <c r="G581" i="7"/>
  <c r="A581" i="7"/>
  <c r="L580" i="7"/>
  <c r="K580" i="7"/>
  <c r="J580" i="7"/>
  <c r="H580" i="7"/>
  <c r="G580" i="7"/>
  <c r="A580" i="7"/>
  <c r="L579" i="7"/>
  <c r="K579" i="7"/>
  <c r="J579" i="7"/>
  <c r="H579" i="7"/>
  <c r="G579" i="7"/>
  <c r="A579" i="7"/>
  <c r="L578" i="7"/>
  <c r="K578" i="7"/>
  <c r="J578" i="7"/>
  <c r="H578" i="7"/>
  <c r="G578" i="7"/>
  <c r="A578" i="7"/>
  <c r="L577" i="7"/>
  <c r="K577" i="7"/>
  <c r="J577" i="7"/>
  <c r="H577" i="7"/>
  <c r="G577" i="7"/>
  <c r="A577" i="7"/>
  <c r="L576" i="7"/>
  <c r="K576" i="7"/>
  <c r="J576" i="7"/>
  <c r="H576" i="7"/>
  <c r="G576" i="7"/>
  <c r="A576" i="7"/>
  <c r="L575" i="7"/>
  <c r="K575" i="7"/>
  <c r="J575" i="7"/>
  <c r="H575" i="7"/>
  <c r="G575" i="7"/>
  <c r="A575" i="7"/>
  <c r="L574" i="7"/>
  <c r="K574" i="7"/>
  <c r="J574" i="7"/>
  <c r="H574" i="7"/>
  <c r="G574" i="7"/>
  <c r="A574" i="7"/>
  <c r="L573" i="7"/>
  <c r="K573" i="7"/>
  <c r="J573" i="7"/>
  <c r="H573" i="7"/>
  <c r="G573" i="7"/>
  <c r="A573" i="7"/>
  <c r="L572" i="7"/>
  <c r="K572" i="7"/>
  <c r="J572" i="7"/>
  <c r="H572" i="7"/>
  <c r="G572" i="7"/>
  <c r="A572" i="7"/>
  <c r="L571" i="7"/>
  <c r="K571" i="7"/>
  <c r="J571" i="7"/>
  <c r="H571" i="7"/>
  <c r="G571" i="7"/>
  <c r="A571" i="7"/>
  <c r="L570" i="7"/>
  <c r="K570" i="7"/>
  <c r="J570" i="7"/>
  <c r="H570" i="7"/>
  <c r="G570" i="7"/>
  <c r="A570" i="7"/>
  <c r="L569" i="7"/>
  <c r="K569" i="7"/>
  <c r="J569" i="7"/>
  <c r="H569" i="7"/>
  <c r="G569" i="7"/>
  <c r="A569" i="7"/>
  <c r="L568" i="7"/>
  <c r="K568" i="7"/>
  <c r="J568" i="7"/>
  <c r="H568" i="7"/>
  <c r="G568" i="7"/>
  <c r="A568" i="7"/>
  <c r="L567" i="7"/>
  <c r="K567" i="7"/>
  <c r="J567" i="7"/>
  <c r="H567" i="7"/>
  <c r="G567" i="7"/>
  <c r="A567" i="7"/>
  <c r="L566" i="7"/>
  <c r="K566" i="7"/>
  <c r="J566" i="7"/>
  <c r="H566" i="7"/>
  <c r="G566" i="7"/>
  <c r="A566" i="7"/>
  <c r="L565" i="7"/>
  <c r="K565" i="7"/>
  <c r="J565" i="7"/>
  <c r="H565" i="7"/>
  <c r="G565" i="7"/>
  <c r="A565" i="7"/>
  <c r="L564" i="7"/>
  <c r="K564" i="7"/>
  <c r="J564" i="7"/>
  <c r="H564" i="7"/>
  <c r="G564" i="7"/>
  <c r="A564" i="7"/>
  <c r="L563" i="7"/>
  <c r="K563" i="7"/>
  <c r="J563" i="7"/>
  <c r="H563" i="7"/>
  <c r="G563" i="7"/>
  <c r="A563" i="7"/>
  <c r="L562" i="7"/>
  <c r="K562" i="7"/>
  <c r="J562" i="7"/>
  <c r="H562" i="7"/>
  <c r="G562" i="7"/>
  <c r="A562" i="7"/>
  <c r="L561" i="7"/>
  <c r="K561" i="7"/>
  <c r="J561" i="7"/>
  <c r="H561" i="7"/>
  <c r="G561" i="7"/>
  <c r="A561" i="7"/>
  <c r="L560" i="7"/>
  <c r="K560" i="7"/>
  <c r="J560" i="7"/>
  <c r="H560" i="7"/>
  <c r="G560" i="7"/>
  <c r="A560" i="7"/>
  <c r="L559" i="7"/>
  <c r="K559" i="7"/>
  <c r="J559" i="7"/>
  <c r="H559" i="7"/>
  <c r="G559" i="7"/>
  <c r="A559" i="7"/>
  <c r="L558" i="7"/>
  <c r="K558" i="7"/>
  <c r="J558" i="7"/>
  <c r="H558" i="7"/>
  <c r="G558" i="7"/>
  <c r="A558" i="7"/>
  <c r="L557" i="7"/>
  <c r="K557" i="7"/>
  <c r="J557" i="7"/>
  <c r="H557" i="7"/>
  <c r="G557" i="7"/>
  <c r="A557" i="7"/>
  <c r="L556" i="7"/>
  <c r="K556" i="7"/>
  <c r="J556" i="7"/>
  <c r="H556" i="7"/>
  <c r="G556" i="7"/>
  <c r="A556" i="7"/>
  <c r="L555" i="7"/>
  <c r="K555" i="7"/>
  <c r="J555" i="7"/>
  <c r="H555" i="7"/>
  <c r="G555" i="7"/>
  <c r="A555" i="7"/>
  <c r="L554" i="7"/>
  <c r="K554" i="7"/>
  <c r="J554" i="7"/>
  <c r="H554" i="7"/>
  <c r="G554" i="7"/>
  <c r="A554" i="7"/>
  <c r="L553" i="7"/>
  <c r="K553" i="7"/>
  <c r="J553" i="7"/>
  <c r="H553" i="7"/>
  <c r="G553" i="7"/>
  <c r="A553" i="7"/>
  <c r="L552" i="7"/>
  <c r="K552" i="7"/>
  <c r="J552" i="7"/>
  <c r="H552" i="7"/>
  <c r="G552" i="7"/>
  <c r="A552" i="7"/>
  <c r="L551" i="7"/>
  <c r="K551" i="7"/>
  <c r="J551" i="7"/>
  <c r="H551" i="7"/>
  <c r="G551" i="7"/>
  <c r="A551" i="7"/>
  <c r="L550" i="7"/>
  <c r="K550" i="7"/>
  <c r="J550" i="7"/>
  <c r="H550" i="7"/>
  <c r="G550" i="7"/>
  <c r="A550" i="7"/>
  <c r="L549" i="7"/>
  <c r="K549" i="7"/>
  <c r="J549" i="7"/>
  <c r="H549" i="7"/>
  <c r="G549" i="7"/>
  <c r="A549" i="7"/>
  <c r="L548" i="7"/>
  <c r="K548" i="7"/>
  <c r="J548" i="7"/>
  <c r="H548" i="7"/>
  <c r="G548" i="7"/>
  <c r="A548" i="7"/>
  <c r="L547" i="7"/>
  <c r="K547" i="7"/>
  <c r="J547" i="7"/>
  <c r="H547" i="7"/>
  <c r="G547" i="7"/>
  <c r="A547" i="7"/>
  <c r="L546" i="7"/>
  <c r="K546" i="7"/>
  <c r="J546" i="7"/>
  <c r="H546" i="7"/>
  <c r="G546" i="7"/>
  <c r="A546" i="7"/>
  <c r="L545" i="7"/>
  <c r="K545" i="7"/>
  <c r="J545" i="7"/>
  <c r="H545" i="7"/>
  <c r="G545" i="7"/>
  <c r="A545" i="7"/>
  <c r="L544" i="7"/>
  <c r="K544" i="7"/>
  <c r="J544" i="7"/>
  <c r="H544" i="7"/>
  <c r="G544" i="7"/>
  <c r="A544" i="7"/>
  <c r="L543" i="7"/>
  <c r="K543" i="7"/>
  <c r="J543" i="7"/>
  <c r="H543" i="7"/>
  <c r="G543" i="7"/>
  <c r="A543" i="7"/>
  <c r="L542" i="7"/>
  <c r="K542" i="7"/>
  <c r="J542" i="7"/>
  <c r="H542" i="7"/>
  <c r="G542" i="7"/>
  <c r="A542" i="7"/>
  <c r="L541" i="7"/>
  <c r="K541" i="7"/>
  <c r="J541" i="7"/>
  <c r="H541" i="7"/>
  <c r="G541" i="7"/>
  <c r="A541" i="7"/>
  <c r="L540" i="7"/>
  <c r="K540" i="7"/>
  <c r="J540" i="7"/>
  <c r="H540" i="7"/>
  <c r="G540" i="7"/>
  <c r="A540" i="7"/>
  <c r="L539" i="7"/>
  <c r="K539" i="7"/>
  <c r="J539" i="7"/>
  <c r="H539" i="7"/>
  <c r="G539" i="7"/>
  <c r="A539" i="7"/>
  <c r="L538" i="7"/>
  <c r="K538" i="7"/>
  <c r="J538" i="7"/>
  <c r="H538" i="7"/>
  <c r="G538" i="7"/>
  <c r="A538" i="7"/>
  <c r="L537" i="7"/>
  <c r="K537" i="7"/>
  <c r="J537" i="7"/>
  <c r="H537" i="7"/>
  <c r="G537" i="7"/>
  <c r="A537" i="7"/>
  <c r="L536" i="7"/>
  <c r="K536" i="7"/>
  <c r="J536" i="7"/>
  <c r="H536" i="7"/>
  <c r="G536" i="7"/>
  <c r="A536" i="7"/>
  <c r="L535" i="7"/>
  <c r="K535" i="7"/>
  <c r="J535" i="7"/>
  <c r="H535" i="7"/>
  <c r="G535" i="7"/>
  <c r="A535" i="7"/>
  <c r="L534" i="7"/>
  <c r="K534" i="7"/>
  <c r="J534" i="7"/>
  <c r="H534" i="7"/>
  <c r="G534" i="7"/>
  <c r="A534" i="7"/>
  <c r="L533" i="7"/>
  <c r="K533" i="7"/>
  <c r="J533" i="7"/>
  <c r="H533" i="7"/>
  <c r="G533" i="7"/>
  <c r="A533" i="7"/>
  <c r="L532" i="7"/>
  <c r="K532" i="7"/>
  <c r="J532" i="7"/>
  <c r="H532" i="7"/>
  <c r="G532" i="7"/>
  <c r="A532" i="7"/>
  <c r="L531" i="7"/>
  <c r="K531" i="7"/>
  <c r="J531" i="7"/>
  <c r="H531" i="7"/>
  <c r="G531" i="7"/>
  <c r="A531" i="7"/>
  <c r="L530" i="7"/>
  <c r="K530" i="7"/>
  <c r="J530" i="7"/>
  <c r="H530" i="7"/>
  <c r="G530" i="7"/>
  <c r="A530" i="7"/>
  <c r="L529" i="7"/>
  <c r="K529" i="7"/>
  <c r="J529" i="7"/>
  <c r="H529" i="7"/>
  <c r="G529" i="7"/>
  <c r="A529" i="7"/>
  <c r="L528" i="7"/>
  <c r="K528" i="7"/>
  <c r="J528" i="7"/>
  <c r="H528" i="7"/>
  <c r="G528" i="7"/>
  <c r="A528" i="7"/>
  <c r="L527" i="7"/>
  <c r="K527" i="7"/>
  <c r="J527" i="7"/>
  <c r="H527" i="7"/>
  <c r="G527" i="7"/>
  <c r="A527" i="7"/>
  <c r="L526" i="7"/>
  <c r="K526" i="7"/>
  <c r="J526" i="7"/>
  <c r="H526" i="7"/>
  <c r="G526" i="7"/>
  <c r="A526" i="7"/>
  <c r="L525" i="7"/>
  <c r="K525" i="7"/>
  <c r="J525" i="7"/>
  <c r="H525" i="7"/>
  <c r="G525" i="7"/>
  <c r="A525" i="7"/>
  <c r="L524" i="7"/>
  <c r="K524" i="7"/>
  <c r="J524" i="7"/>
  <c r="H524" i="7"/>
  <c r="G524" i="7"/>
  <c r="A524" i="7"/>
  <c r="L523" i="7"/>
  <c r="K523" i="7"/>
  <c r="J523" i="7"/>
  <c r="H523" i="7"/>
  <c r="G523" i="7"/>
  <c r="A523" i="7"/>
  <c r="L522" i="7"/>
  <c r="K522" i="7"/>
  <c r="J522" i="7"/>
  <c r="H522" i="7"/>
  <c r="G522" i="7"/>
  <c r="A522" i="7"/>
  <c r="L521" i="7"/>
  <c r="K521" i="7"/>
  <c r="J521" i="7"/>
  <c r="H521" i="7"/>
  <c r="G521" i="7"/>
  <c r="A521" i="7"/>
  <c r="L520" i="7"/>
  <c r="K520" i="7"/>
  <c r="J520" i="7"/>
  <c r="H520" i="7"/>
  <c r="G520" i="7"/>
  <c r="A520" i="7"/>
  <c r="L519" i="7"/>
  <c r="K519" i="7"/>
  <c r="J519" i="7"/>
  <c r="H519" i="7"/>
  <c r="G519" i="7"/>
  <c r="A519" i="7"/>
  <c r="L518" i="7"/>
  <c r="K518" i="7"/>
  <c r="J518" i="7"/>
  <c r="H518" i="7"/>
  <c r="G518" i="7"/>
  <c r="A518" i="7"/>
  <c r="L517" i="7"/>
  <c r="K517" i="7"/>
  <c r="J517" i="7"/>
  <c r="H517" i="7"/>
  <c r="G517" i="7"/>
  <c r="A517" i="7"/>
  <c r="L516" i="7"/>
  <c r="K516" i="7"/>
  <c r="J516" i="7"/>
  <c r="H516" i="7"/>
  <c r="G516" i="7"/>
  <c r="A516" i="7"/>
  <c r="L515" i="7"/>
  <c r="K515" i="7"/>
  <c r="J515" i="7"/>
  <c r="H515" i="7"/>
  <c r="G515" i="7"/>
  <c r="A515" i="7"/>
  <c r="L514" i="7"/>
  <c r="K514" i="7"/>
  <c r="J514" i="7"/>
  <c r="H514" i="7"/>
  <c r="G514" i="7"/>
  <c r="A514" i="7"/>
  <c r="L513" i="7"/>
  <c r="K513" i="7"/>
  <c r="J513" i="7"/>
  <c r="H513" i="7"/>
  <c r="G513" i="7"/>
  <c r="A513" i="7"/>
  <c r="L512" i="7"/>
  <c r="K512" i="7"/>
  <c r="J512" i="7"/>
  <c r="H512" i="7"/>
  <c r="G512" i="7"/>
  <c r="A512" i="7"/>
  <c r="L511" i="7"/>
  <c r="K511" i="7"/>
  <c r="J511" i="7"/>
  <c r="H511" i="7"/>
  <c r="G511" i="7"/>
  <c r="A511" i="7"/>
  <c r="L510" i="7"/>
  <c r="K510" i="7"/>
  <c r="J510" i="7"/>
  <c r="H510" i="7"/>
  <c r="G510" i="7"/>
  <c r="A510" i="7"/>
  <c r="L509" i="7"/>
  <c r="K509" i="7"/>
  <c r="J509" i="7"/>
  <c r="H509" i="7"/>
  <c r="G509" i="7"/>
  <c r="A509" i="7"/>
  <c r="L508" i="7"/>
  <c r="K508" i="7"/>
  <c r="J508" i="7"/>
  <c r="H508" i="7"/>
  <c r="G508" i="7"/>
  <c r="A508" i="7"/>
  <c r="L507" i="7"/>
  <c r="K507" i="7"/>
  <c r="J507" i="7"/>
  <c r="H507" i="7"/>
  <c r="G507" i="7"/>
  <c r="A507" i="7"/>
  <c r="L506" i="7"/>
  <c r="K506" i="7"/>
  <c r="J506" i="7"/>
  <c r="H506" i="7"/>
  <c r="G506" i="7"/>
  <c r="A506" i="7"/>
  <c r="L505" i="7"/>
  <c r="K505" i="7"/>
  <c r="J505" i="7"/>
  <c r="H505" i="7"/>
  <c r="G505" i="7"/>
  <c r="A505" i="7"/>
  <c r="L504" i="7"/>
  <c r="K504" i="7"/>
  <c r="J504" i="7"/>
  <c r="H504" i="7"/>
  <c r="G504" i="7"/>
  <c r="A504" i="7"/>
  <c r="L503" i="7"/>
  <c r="K503" i="7"/>
  <c r="J503" i="7"/>
  <c r="H503" i="7"/>
  <c r="G503" i="7"/>
  <c r="A503" i="7"/>
  <c r="L502" i="7"/>
  <c r="K502" i="7"/>
  <c r="J502" i="7"/>
  <c r="H502" i="7"/>
  <c r="G502" i="7"/>
  <c r="A502" i="7"/>
  <c r="L501" i="7"/>
  <c r="K501" i="7"/>
  <c r="J501" i="7"/>
  <c r="H501" i="7"/>
  <c r="G501" i="7"/>
  <c r="A501" i="7"/>
  <c r="L500" i="7"/>
  <c r="K500" i="7"/>
  <c r="J500" i="7"/>
  <c r="H500" i="7"/>
  <c r="G500" i="7"/>
  <c r="A500" i="7"/>
  <c r="L499" i="7"/>
  <c r="K499" i="7"/>
  <c r="J499" i="7"/>
  <c r="H499" i="7"/>
  <c r="G499" i="7"/>
  <c r="A499" i="7"/>
  <c r="L498" i="7"/>
  <c r="K498" i="7"/>
  <c r="J498" i="7"/>
  <c r="H498" i="7"/>
  <c r="G498" i="7"/>
  <c r="A498" i="7"/>
  <c r="L497" i="7"/>
  <c r="K497" i="7"/>
  <c r="J497" i="7"/>
  <c r="H497" i="7"/>
  <c r="G497" i="7"/>
  <c r="A497" i="7"/>
  <c r="L496" i="7"/>
  <c r="K496" i="7"/>
  <c r="J496" i="7"/>
  <c r="H496" i="7"/>
  <c r="G496" i="7"/>
  <c r="A496" i="7"/>
  <c r="L495" i="7"/>
  <c r="K495" i="7"/>
  <c r="J495" i="7"/>
  <c r="H495" i="7"/>
  <c r="G495" i="7"/>
  <c r="A495" i="7"/>
  <c r="L494" i="7"/>
  <c r="K494" i="7"/>
  <c r="J494" i="7"/>
  <c r="H494" i="7"/>
  <c r="G494" i="7"/>
  <c r="A494" i="7"/>
  <c r="L493" i="7"/>
  <c r="K493" i="7"/>
  <c r="J493" i="7"/>
  <c r="H493" i="7"/>
  <c r="G493" i="7"/>
  <c r="A493" i="7"/>
  <c r="L492" i="7"/>
  <c r="K492" i="7"/>
  <c r="J492" i="7"/>
  <c r="H492" i="7"/>
  <c r="G492" i="7"/>
  <c r="A492" i="7"/>
  <c r="L491" i="7"/>
  <c r="K491" i="7"/>
  <c r="J491" i="7"/>
  <c r="H491" i="7"/>
  <c r="G491" i="7"/>
  <c r="A491" i="7"/>
  <c r="L490" i="7"/>
  <c r="K490" i="7"/>
  <c r="J490" i="7"/>
  <c r="H490" i="7"/>
  <c r="G490" i="7"/>
  <c r="A490" i="7"/>
  <c r="L489" i="7"/>
  <c r="K489" i="7"/>
  <c r="J489" i="7"/>
  <c r="H489" i="7"/>
  <c r="G489" i="7"/>
  <c r="A489" i="7"/>
  <c r="L488" i="7"/>
  <c r="K488" i="7"/>
  <c r="J488" i="7"/>
  <c r="H488" i="7"/>
  <c r="G488" i="7"/>
  <c r="A488" i="7"/>
  <c r="L487" i="7"/>
  <c r="K487" i="7"/>
  <c r="J487" i="7"/>
  <c r="H487" i="7"/>
  <c r="G487" i="7"/>
  <c r="A487" i="7"/>
  <c r="L486" i="7"/>
  <c r="K486" i="7"/>
  <c r="J486" i="7"/>
  <c r="H486" i="7"/>
  <c r="G486" i="7"/>
  <c r="A486" i="7"/>
  <c r="L485" i="7"/>
  <c r="K485" i="7"/>
  <c r="J485" i="7"/>
  <c r="H485" i="7"/>
  <c r="G485" i="7"/>
  <c r="A485" i="7"/>
  <c r="L484" i="7"/>
  <c r="K484" i="7"/>
  <c r="J484" i="7"/>
  <c r="H484" i="7"/>
  <c r="G484" i="7"/>
  <c r="A484" i="7"/>
  <c r="L483" i="7"/>
  <c r="K483" i="7"/>
  <c r="J483" i="7"/>
  <c r="H483" i="7"/>
  <c r="G483" i="7"/>
  <c r="A483" i="7"/>
  <c r="L482" i="7"/>
  <c r="K482" i="7"/>
  <c r="J482" i="7"/>
  <c r="H482" i="7"/>
  <c r="G482" i="7"/>
  <c r="A482" i="7"/>
  <c r="L481" i="7"/>
  <c r="K481" i="7"/>
  <c r="J481" i="7"/>
  <c r="H481" i="7"/>
  <c r="G481" i="7"/>
  <c r="A481" i="7"/>
  <c r="L480" i="7"/>
  <c r="K480" i="7"/>
  <c r="J480" i="7"/>
  <c r="H480" i="7"/>
  <c r="G480" i="7"/>
  <c r="A480" i="7"/>
  <c r="L479" i="7"/>
  <c r="K479" i="7"/>
  <c r="J479" i="7"/>
  <c r="H479" i="7"/>
  <c r="G479" i="7"/>
  <c r="A479" i="7"/>
  <c r="L478" i="7"/>
  <c r="K478" i="7"/>
  <c r="J478" i="7"/>
  <c r="H478" i="7"/>
  <c r="G478" i="7"/>
  <c r="A478" i="7"/>
  <c r="L477" i="7"/>
  <c r="K477" i="7"/>
  <c r="J477" i="7"/>
  <c r="H477" i="7"/>
  <c r="G477" i="7"/>
  <c r="A477" i="7"/>
  <c r="L476" i="7"/>
  <c r="K476" i="7"/>
  <c r="J476" i="7"/>
  <c r="H476" i="7"/>
  <c r="G476" i="7"/>
  <c r="A476" i="7"/>
  <c r="L475" i="7"/>
  <c r="K475" i="7"/>
  <c r="J475" i="7"/>
  <c r="H475" i="7"/>
  <c r="G475" i="7"/>
  <c r="A475" i="7"/>
  <c r="L474" i="7"/>
  <c r="K474" i="7"/>
  <c r="J474" i="7"/>
  <c r="H474" i="7"/>
  <c r="G474" i="7"/>
  <c r="A474" i="7"/>
  <c r="L473" i="7"/>
  <c r="K473" i="7"/>
  <c r="J473" i="7"/>
  <c r="H473" i="7"/>
  <c r="G473" i="7"/>
  <c r="A473" i="7"/>
  <c r="L472" i="7"/>
  <c r="K472" i="7"/>
  <c r="J472" i="7"/>
  <c r="H472" i="7"/>
  <c r="G472" i="7"/>
  <c r="A472" i="7"/>
  <c r="L471" i="7"/>
  <c r="K471" i="7"/>
  <c r="J471" i="7"/>
  <c r="H471" i="7"/>
  <c r="G471" i="7"/>
  <c r="A471" i="7"/>
  <c r="L470" i="7"/>
  <c r="K470" i="7"/>
  <c r="J470" i="7"/>
  <c r="H470" i="7"/>
  <c r="G470" i="7"/>
  <c r="A470" i="7"/>
  <c r="L469" i="7"/>
  <c r="K469" i="7"/>
  <c r="J469" i="7"/>
  <c r="H469" i="7"/>
  <c r="G469" i="7"/>
  <c r="A469" i="7"/>
  <c r="L468" i="7"/>
  <c r="K468" i="7"/>
  <c r="J468" i="7"/>
  <c r="H468" i="7"/>
  <c r="G468" i="7"/>
  <c r="A468" i="7"/>
  <c r="L467" i="7"/>
  <c r="K467" i="7"/>
  <c r="J467" i="7"/>
  <c r="H467" i="7"/>
  <c r="G467" i="7"/>
  <c r="A467" i="7"/>
  <c r="L466" i="7"/>
  <c r="K466" i="7"/>
  <c r="J466" i="7"/>
  <c r="H466" i="7"/>
  <c r="G466" i="7"/>
  <c r="A466" i="7"/>
  <c r="L465" i="7"/>
  <c r="K465" i="7"/>
  <c r="J465" i="7"/>
  <c r="H465" i="7"/>
  <c r="G465" i="7"/>
  <c r="A465" i="7"/>
  <c r="L464" i="7"/>
  <c r="K464" i="7"/>
  <c r="J464" i="7"/>
  <c r="H464" i="7"/>
  <c r="G464" i="7"/>
  <c r="A464" i="7"/>
  <c r="L463" i="7"/>
  <c r="K463" i="7"/>
  <c r="J463" i="7"/>
  <c r="H463" i="7"/>
  <c r="G463" i="7"/>
  <c r="A463" i="7"/>
  <c r="L462" i="7"/>
  <c r="K462" i="7"/>
  <c r="J462" i="7"/>
  <c r="H462" i="7"/>
  <c r="G462" i="7"/>
  <c r="A462" i="7"/>
  <c r="L461" i="7"/>
  <c r="K461" i="7"/>
  <c r="J461" i="7"/>
  <c r="H461" i="7"/>
  <c r="G461" i="7"/>
  <c r="A461" i="7"/>
  <c r="L460" i="7"/>
  <c r="K460" i="7"/>
  <c r="J460" i="7"/>
  <c r="H460" i="7"/>
  <c r="G460" i="7"/>
  <c r="A460" i="7"/>
  <c r="L459" i="7"/>
  <c r="K459" i="7"/>
  <c r="J459" i="7"/>
  <c r="H459" i="7"/>
  <c r="G459" i="7"/>
  <c r="A459" i="7"/>
  <c r="L458" i="7"/>
  <c r="K458" i="7"/>
  <c r="J458" i="7"/>
  <c r="H458" i="7"/>
  <c r="G458" i="7"/>
  <c r="A458" i="7"/>
  <c r="L457" i="7"/>
  <c r="K457" i="7"/>
  <c r="J457" i="7"/>
  <c r="H457" i="7"/>
  <c r="G457" i="7"/>
  <c r="A457" i="7"/>
  <c r="L456" i="7"/>
  <c r="K456" i="7"/>
  <c r="J456" i="7"/>
  <c r="H456" i="7"/>
  <c r="G456" i="7"/>
  <c r="A456" i="7"/>
  <c r="L455" i="7"/>
  <c r="K455" i="7"/>
  <c r="J455" i="7"/>
  <c r="H455" i="7"/>
  <c r="G455" i="7"/>
  <c r="A455" i="7"/>
  <c r="L454" i="7"/>
  <c r="K454" i="7"/>
  <c r="J454" i="7"/>
  <c r="H454" i="7"/>
  <c r="G454" i="7"/>
  <c r="A454" i="7"/>
  <c r="L453" i="7"/>
  <c r="K453" i="7"/>
  <c r="J453" i="7"/>
  <c r="H453" i="7"/>
  <c r="G453" i="7"/>
  <c r="A453" i="7"/>
  <c r="L452" i="7"/>
  <c r="K452" i="7"/>
  <c r="J452" i="7"/>
  <c r="H452" i="7"/>
  <c r="G452" i="7"/>
  <c r="A452" i="7"/>
  <c r="L451" i="7"/>
  <c r="K451" i="7"/>
  <c r="J451" i="7"/>
  <c r="H451" i="7"/>
  <c r="G451" i="7"/>
  <c r="A451" i="7"/>
  <c r="L450" i="7"/>
  <c r="K450" i="7"/>
  <c r="J450" i="7"/>
  <c r="H450" i="7"/>
  <c r="G450" i="7"/>
  <c r="A450" i="7"/>
  <c r="L449" i="7"/>
  <c r="K449" i="7"/>
  <c r="J449" i="7"/>
  <c r="H449" i="7"/>
  <c r="G449" i="7"/>
  <c r="A449" i="7"/>
  <c r="L448" i="7"/>
  <c r="K448" i="7"/>
  <c r="J448" i="7"/>
  <c r="H448" i="7"/>
  <c r="G448" i="7"/>
  <c r="A448" i="7"/>
  <c r="L447" i="7"/>
  <c r="K447" i="7"/>
  <c r="J447" i="7"/>
  <c r="H447" i="7"/>
  <c r="G447" i="7"/>
  <c r="A447" i="7"/>
  <c r="L446" i="7"/>
  <c r="K446" i="7"/>
  <c r="J446" i="7"/>
  <c r="H446" i="7"/>
  <c r="G446" i="7"/>
  <c r="A446" i="7"/>
  <c r="L445" i="7"/>
  <c r="K445" i="7"/>
  <c r="J445" i="7"/>
  <c r="H445" i="7"/>
  <c r="G445" i="7"/>
  <c r="A445" i="7"/>
  <c r="L444" i="7"/>
  <c r="K444" i="7"/>
  <c r="J444" i="7"/>
  <c r="H444" i="7"/>
  <c r="G444" i="7"/>
  <c r="A444" i="7"/>
  <c r="L443" i="7"/>
  <c r="K443" i="7"/>
  <c r="J443" i="7"/>
  <c r="H443" i="7"/>
  <c r="G443" i="7"/>
  <c r="A443" i="7"/>
  <c r="L442" i="7"/>
  <c r="K442" i="7"/>
  <c r="J442" i="7"/>
  <c r="H442" i="7"/>
  <c r="G442" i="7"/>
  <c r="A442" i="7"/>
  <c r="L441" i="7"/>
  <c r="K441" i="7"/>
  <c r="J441" i="7"/>
  <c r="H441" i="7"/>
  <c r="G441" i="7"/>
  <c r="A441" i="7"/>
  <c r="L440" i="7"/>
  <c r="K440" i="7"/>
  <c r="J440" i="7"/>
  <c r="H440" i="7"/>
  <c r="G440" i="7"/>
  <c r="A440" i="7"/>
  <c r="L439" i="7"/>
  <c r="K439" i="7"/>
  <c r="J439" i="7"/>
  <c r="H439" i="7"/>
  <c r="G439" i="7"/>
  <c r="A439" i="7"/>
  <c r="L438" i="7"/>
  <c r="K438" i="7"/>
  <c r="J438" i="7"/>
  <c r="H438" i="7"/>
  <c r="G438" i="7"/>
  <c r="A438" i="7"/>
  <c r="L437" i="7"/>
  <c r="K437" i="7"/>
  <c r="J437" i="7"/>
  <c r="H437" i="7"/>
  <c r="G437" i="7"/>
  <c r="A437" i="7"/>
  <c r="L436" i="7"/>
  <c r="K436" i="7"/>
  <c r="J436" i="7"/>
  <c r="H436" i="7"/>
  <c r="G436" i="7"/>
  <c r="A436" i="7"/>
  <c r="L435" i="7"/>
  <c r="K435" i="7"/>
  <c r="J435" i="7"/>
  <c r="H435" i="7"/>
  <c r="G435" i="7"/>
  <c r="A435" i="7"/>
  <c r="L434" i="7"/>
  <c r="K434" i="7"/>
  <c r="J434" i="7"/>
  <c r="H434" i="7"/>
  <c r="G434" i="7"/>
  <c r="A434" i="7"/>
  <c r="L433" i="7"/>
  <c r="K433" i="7"/>
  <c r="J433" i="7"/>
  <c r="H433" i="7"/>
  <c r="G433" i="7"/>
  <c r="A433" i="7"/>
  <c r="L432" i="7"/>
  <c r="K432" i="7"/>
  <c r="J432" i="7"/>
  <c r="H432" i="7"/>
  <c r="G432" i="7"/>
  <c r="A432" i="7"/>
  <c r="L431" i="7"/>
  <c r="K431" i="7"/>
  <c r="J431" i="7"/>
  <c r="H431" i="7"/>
  <c r="G431" i="7"/>
  <c r="A431" i="7"/>
  <c r="L430" i="7"/>
  <c r="K430" i="7"/>
  <c r="J430" i="7"/>
  <c r="H430" i="7"/>
  <c r="G430" i="7"/>
  <c r="A430" i="7"/>
  <c r="L429" i="7"/>
  <c r="K429" i="7"/>
  <c r="J429" i="7"/>
  <c r="H429" i="7"/>
  <c r="G429" i="7"/>
  <c r="A429" i="7"/>
  <c r="L428" i="7"/>
  <c r="K428" i="7"/>
  <c r="J428" i="7"/>
  <c r="H428" i="7"/>
  <c r="G428" i="7"/>
  <c r="A428" i="7"/>
  <c r="L427" i="7"/>
  <c r="K427" i="7"/>
  <c r="J427" i="7"/>
  <c r="H427" i="7"/>
  <c r="G427" i="7"/>
  <c r="A427" i="7"/>
  <c r="L426" i="7"/>
  <c r="K426" i="7"/>
  <c r="J426" i="7"/>
  <c r="H426" i="7"/>
  <c r="G426" i="7"/>
  <c r="A426" i="7"/>
  <c r="L425" i="7"/>
  <c r="K425" i="7"/>
  <c r="J425" i="7"/>
  <c r="H425" i="7"/>
  <c r="G425" i="7"/>
  <c r="A425" i="7"/>
  <c r="L424" i="7"/>
  <c r="K424" i="7"/>
  <c r="J424" i="7"/>
  <c r="H424" i="7"/>
  <c r="G424" i="7"/>
  <c r="A424" i="7"/>
  <c r="L423" i="7"/>
  <c r="K423" i="7"/>
  <c r="J423" i="7"/>
  <c r="H423" i="7"/>
  <c r="G423" i="7"/>
  <c r="A423" i="7"/>
  <c r="L422" i="7"/>
  <c r="K422" i="7"/>
  <c r="J422" i="7"/>
  <c r="H422" i="7"/>
  <c r="G422" i="7"/>
  <c r="A422" i="7"/>
  <c r="L421" i="7"/>
  <c r="K421" i="7"/>
  <c r="J421" i="7"/>
  <c r="H421" i="7"/>
  <c r="G421" i="7"/>
  <c r="A421" i="7"/>
  <c r="L420" i="7"/>
  <c r="K420" i="7"/>
  <c r="J420" i="7"/>
  <c r="H420" i="7"/>
  <c r="G420" i="7"/>
  <c r="A420" i="7"/>
  <c r="L419" i="7"/>
  <c r="K419" i="7"/>
  <c r="J419" i="7"/>
  <c r="H419" i="7"/>
  <c r="G419" i="7"/>
  <c r="A419" i="7"/>
  <c r="L418" i="7"/>
  <c r="K418" i="7"/>
  <c r="J418" i="7"/>
  <c r="H418" i="7"/>
  <c r="G418" i="7"/>
  <c r="A418" i="7"/>
  <c r="L417" i="7"/>
  <c r="K417" i="7"/>
  <c r="J417" i="7"/>
  <c r="H417" i="7"/>
  <c r="G417" i="7"/>
  <c r="A417" i="7"/>
  <c r="L416" i="7"/>
  <c r="K416" i="7"/>
  <c r="J416" i="7"/>
  <c r="H416" i="7"/>
  <c r="G416" i="7"/>
  <c r="A416" i="7"/>
  <c r="L415" i="7"/>
  <c r="K415" i="7"/>
  <c r="J415" i="7"/>
  <c r="H415" i="7"/>
  <c r="G415" i="7"/>
  <c r="A415" i="7"/>
  <c r="L414" i="7"/>
  <c r="K414" i="7"/>
  <c r="J414" i="7"/>
  <c r="H414" i="7"/>
  <c r="G414" i="7"/>
  <c r="A414" i="7"/>
  <c r="L413" i="7"/>
  <c r="K413" i="7"/>
  <c r="J413" i="7"/>
  <c r="H413" i="7"/>
  <c r="G413" i="7"/>
  <c r="A413" i="7"/>
  <c r="L412" i="7"/>
  <c r="K412" i="7"/>
  <c r="J412" i="7"/>
  <c r="H412" i="7"/>
  <c r="G412" i="7"/>
  <c r="A412" i="7"/>
  <c r="L411" i="7"/>
  <c r="K411" i="7"/>
  <c r="J411" i="7"/>
  <c r="H411" i="7"/>
  <c r="G411" i="7"/>
  <c r="A411" i="7"/>
  <c r="L410" i="7"/>
  <c r="K410" i="7"/>
  <c r="J410" i="7"/>
  <c r="H410" i="7"/>
  <c r="G410" i="7"/>
  <c r="A410" i="7"/>
  <c r="L409" i="7"/>
  <c r="K409" i="7"/>
  <c r="J409" i="7"/>
  <c r="H409" i="7"/>
  <c r="G409" i="7"/>
  <c r="A409" i="7"/>
  <c r="L408" i="7"/>
  <c r="K408" i="7"/>
  <c r="J408" i="7"/>
  <c r="H408" i="7"/>
  <c r="G408" i="7"/>
  <c r="A408" i="7"/>
  <c r="L407" i="7"/>
  <c r="K407" i="7"/>
  <c r="J407" i="7"/>
  <c r="H407" i="7"/>
  <c r="G407" i="7"/>
  <c r="A407" i="7"/>
  <c r="L406" i="7"/>
  <c r="K406" i="7"/>
  <c r="J406" i="7"/>
  <c r="H406" i="7"/>
  <c r="G406" i="7"/>
  <c r="A406" i="7"/>
  <c r="L405" i="7"/>
  <c r="K405" i="7"/>
  <c r="J405" i="7"/>
  <c r="H405" i="7"/>
  <c r="G405" i="7"/>
  <c r="A405" i="7"/>
  <c r="L404" i="7"/>
  <c r="K404" i="7"/>
  <c r="J404" i="7"/>
  <c r="H404" i="7"/>
  <c r="G404" i="7"/>
  <c r="A404" i="7"/>
  <c r="L403" i="7"/>
  <c r="K403" i="7"/>
  <c r="J403" i="7"/>
  <c r="H403" i="7"/>
  <c r="G403" i="7"/>
  <c r="A403" i="7"/>
  <c r="L402" i="7"/>
  <c r="K402" i="7"/>
  <c r="J402" i="7"/>
  <c r="H402" i="7"/>
  <c r="G402" i="7"/>
  <c r="A402" i="7"/>
  <c r="L401" i="7"/>
  <c r="K401" i="7"/>
  <c r="J401" i="7"/>
  <c r="H401" i="7"/>
  <c r="G401" i="7"/>
  <c r="A401" i="7"/>
  <c r="L400" i="7"/>
  <c r="K400" i="7"/>
  <c r="J400" i="7"/>
  <c r="H400" i="7"/>
  <c r="G400" i="7"/>
  <c r="A400" i="7"/>
  <c r="L399" i="7"/>
  <c r="K399" i="7"/>
  <c r="J399" i="7"/>
  <c r="H399" i="7"/>
  <c r="G399" i="7"/>
  <c r="A399" i="7"/>
  <c r="L398" i="7"/>
  <c r="K398" i="7"/>
  <c r="J398" i="7"/>
  <c r="H398" i="7"/>
  <c r="G398" i="7"/>
  <c r="A398" i="7"/>
  <c r="L397" i="7"/>
  <c r="K397" i="7"/>
  <c r="J397" i="7"/>
  <c r="H397" i="7"/>
  <c r="G397" i="7"/>
  <c r="A397" i="7"/>
  <c r="L396" i="7"/>
  <c r="K396" i="7"/>
  <c r="J396" i="7"/>
  <c r="H396" i="7"/>
  <c r="G396" i="7"/>
  <c r="A396" i="7"/>
  <c r="L395" i="7"/>
  <c r="K395" i="7"/>
  <c r="J395" i="7"/>
  <c r="H395" i="7"/>
  <c r="G395" i="7"/>
  <c r="A395" i="7"/>
  <c r="L394" i="7"/>
  <c r="K394" i="7"/>
  <c r="J394" i="7"/>
  <c r="H394" i="7"/>
  <c r="G394" i="7"/>
  <c r="A394" i="7"/>
  <c r="L393" i="7"/>
  <c r="K393" i="7"/>
  <c r="J393" i="7"/>
  <c r="H393" i="7"/>
  <c r="G393" i="7"/>
  <c r="A393" i="7"/>
  <c r="L392" i="7"/>
  <c r="K392" i="7"/>
  <c r="J392" i="7"/>
  <c r="H392" i="7"/>
  <c r="G392" i="7"/>
  <c r="A392" i="7"/>
  <c r="L391" i="7"/>
  <c r="K391" i="7"/>
  <c r="J391" i="7"/>
  <c r="H391" i="7"/>
  <c r="G391" i="7"/>
  <c r="A391" i="7"/>
  <c r="L390" i="7"/>
  <c r="K390" i="7"/>
  <c r="J390" i="7"/>
  <c r="H390" i="7"/>
  <c r="G390" i="7"/>
  <c r="A390" i="7"/>
  <c r="L389" i="7"/>
  <c r="K389" i="7"/>
  <c r="J389" i="7"/>
  <c r="H389" i="7"/>
  <c r="G389" i="7"/>
  <c r="A389" i="7"/>
  <c r="L388" i="7"/>
  <c r="K388" i="7"/>
  <c r="J388" i="7"/>
  <c r="H388" i="7"/>
  <c r="G388" i="7"/>
  <c r="A388" i="7"/>
  <c r="L387" i="7"/>
  <c r="K387" i="7"/>
  <c r="J387" i="7"/>
  <c r="H387" i="7"/>
  <c r="G387" i="7"/>
  <c r="A387" i="7"/>
  <c r="L386" i="7"/>
  <c r="K386" i="7"/>
  <c r="J386" i="7"/>
  <c r="H386" i="7"/>
  <c r="G386" i="7"/>
  <c r="A386" i="7"/>
  <c r="L385" i="7"/>
  <c r="K385" i="7"/>
  <c r="J385" i="7"/>
  <c r="H385" i="7"/>
  <c r="G385" i="7"/>
  <c r="A385" i="7"/>
  <c r="L384" i="7"/>
  <c r="K384" i="7"/>
  <c r="J384" i="7"/>
  <c r="H384" i="7"/>
  <c r="G384" i="7"/>
  <c r="A384" i="7"/>
  <c r="L383" i="7"/>
  <c r="K383" i="7"/>
  <c r="J383" i="7"/>
  <c r="H383" i="7"/>
  <c r="G383" i="7"/>
  <c r="A383" i="7"/>
  <c r="L382" i="7"/>
  <c r="K382" i="7"/>
  <c r="J382" i="7"/>
  <c r="H382" i="7"/>
  <c r="G382" i="7"/>
  <c r="A382" i="7"/>
  <c r="L381" i="7"/>
  <c r="K381" i="7"/>
  <c r="J381" i="7"/>
  <c r="H381" i="7"/>
  <c r="G381" i="7"/>
  <c r="A381" i="7"/>
  <c r="L380" i="7"/>
  <c r="K380" i="7"/>
  <c r="J380" i="7"/>
  <c r="H380" i="7"/>
  <c r="G380" i="7"/>
  <c r="A380" i="7"/>
  <c r="L379" i="7"/>
  <c r="K379" i="7"/>
  <c r="J379" i="7"/>
  <c r="H379" i="7"/>
  <c r="G379" i="7"/>
  <c r="A379" i="7"/>
  <c r="L378" i="7"/>
  <c r="K378" i="7"/>
  <c r="J378" i="7"/>
  <c r="H378" i="7"/>
  <c r="G378" i="7"/>
  <c r="A378" i="7"/>
  <c r="L377" i="7"/>
  <c r="K377" i="7"/>
  <c r="J377" i="7"/>
  <c r="H377" i="7"/>
  <c r="G377" i="7"/>
  <c r="A377" i="7"/>
  <c r="L376" i="7"/>
  <c r="K376" i="7"/>
  <c r="J376" i="7"/>
  <c r="H376" i="7"/>
  <c r="G376" i="7"/>
  <c r="A376" i="7"/>
  <c r="L375" i="7"/>
  <c r="K375" i="7"/>
  <c r="J375" i="7"/>
  <c r="H375" i="7"/>
  <c r="G375" i="7"/>
  <c r="A375" i="7"/>
  <c r="L374" i="7"/>
  <c r="K374" i="7"/>
  <c r="J374" i="7"/>
  <c r="H374" i="7"/>
  <c r="G374" i="7"/>
  <c r="A374" i="7"/>
  <c r="L373" i="7"/>
  <c r="K373" i="7"/>
  <c r="J373" i="7"/>
  <c r="H373" i="7"/>
  <c r="G373" i="7"/>
  <c r="A373" i="7"/>
  <c r="L372" i="7"/>
  <c r="K372" i="7"/>
  <c r="J372" i="7"/>
  <c r="H372" i="7"/>
  <c r="G372" i="7"/>
  <c r="A372" i="7"/>
  <c r="L371" i="7"/>
  <c r="K371" i="7"/>
  <c r="J371" i="7"/>
  <c r="H371" i="7"/>
  <c r="G371" i="7"/>
  <c r="A371" i="7"/>
  <c r="L370" i="7"/>
  <c r="K370" i="7"/>
  <c r="J370" i="7"/>
  <c r="H370" i="7"/>
  <c r="G370" i="7"/>
  <c r="A370" i="7"/>
  <c r="L369" i="7"/>
  <c r="K369" i="7"/>
  <c r="J369" i="7"/>
  <c r="H369" i="7"/>
  <c r="G369" i="7"/>
  <c r="A369" i="7"/>
  <c r="L368" i="7"/>
  <c r="K368" i="7"/>
  <c r="J368" i="7"/>
  <c r="H368" i="7"/>
  <c r="G368" i="7"/>
  <c r="A368" i="7"/>
  <c r="L367" i="7"/>
  <c r="K367" i="7"/>
  <c r="J367" i="7"/>
  <c r="H367" i="7"/>
  <c r="G367" i="7"/>
  <c r="A367" i="7"/>
  <c r="L366" i="7"/>
  <c r="K366" i="7"/>
  <c r="J366" i="7"/>
  <c r="H366" i="7"/>
  <c r="G366" i="7"/>
  <c r="A366" i="7"/>
  <c r="L365" i="7"/>
  <c r="K365" i="7"/>
  <c r="J365" i="7"/>
  <c r="H365" i="7"/>
  <c r="G365" i="7"/>
  <c r="A365" i="7"/>
  <c r="L364" i="7"/>
  <c r="K364" i="7"/>
  <c r="J364" i="7"/>
  <c r="H364" i="7"/>
  <c r="G364" i="7"/>
  <c r="A364" i="7"/>
  <c r="L363" i="7"/>
  <c r="K363" i="7"/>
  <c r="J363" i="7"/>
  <c r="H363" i="7"/>
  <c r="G363" i="7"/>
  <c r="A363" i="7"/>
  <c r="L362" i="7"/>
  <c r="K362" i="7"/>
  <c r="J362" i="7"/>
  <c r="H362" i="7"/>
  <c r="G362" i="7"/>
  <c r="A362" i="7"/>
  <c r="L361" i="7"/>
  <c r="K361" i="7"/>
  <c r="J361" i="7"/>
  <c r="H361" i="7"/>
  <c r="G361" i="7"/>
  <c r="A361" i="7"/>
  <c r="L360" i="7"/>
  <c r="K360" i="7"/>
  <c r="J360" i="7"/>
  <c r="H360" i="7"/>
  <c r="G360" i="7"/>
  <c r="A360" i="7"/>
  <c r="L359" i="7"/>
  <c r="K359" i="7"/>
  <c r="J359" i="7"/>
  <c r="H359" i="7"/>
  <c r="G359" i="7"/>
  <c r="A359" i="7"/>
  <c r="L358" i="7"/>
  <c r="K358" i="7"/>
  <c r="J358" i="7"/>
  <c r="H358" i="7"/>
  <c r="G358" i="7"/>
  <c r="A358" i="7"/>
  <c r="L357" i="7"/>
  <c r="K357" i="7"/>
  <c r="J357" i="7"/>
  <c r="H357" i="7"/>
  <c r="G357" i="7"/>
  <c r="A357" i="7"/>
  <c r="L356" i="7"/>
  <c r="K356" i="7"/>
  <c r="J356" i="7"/>
  <c r="H356" i="7"/>
  <c r="G356" i="7"/>
  <c r="A356" i="7"/>
  <c r="L355" i="7"/>
  <c r="K355" i="7"/>
  <c r="J355" i="7"/>
  <c r="H355" i="7"/>
  <c r="G355" i="7"/>
  <c r="A355" i="7"/>
  <c r="L354" i="7"/>
  <c r="K354" i="7"/>
  <c r="J354" i="7"/>
  <c r="H354" i="7"/>
  <c r="G354" i="7"/>
  <c r="A354" i="7"/>
  <c r="L353" i="7"/>
  <c r="K353" i="7"/>
  <c r="J353" i="7"/>
  <c r="H353" i="7"/>
  <c r="G353" i="7"/>
  <c r="A353" i="7"/>
  <c r="L352" i="7"/>
  <c r="K352" i="7"/>
  <c r="J352" i="7"/>
  <c r="H352" i="7"/>
  <c r="G352" i="7"/>
  <c r="A352" i="7"/>
  <c r="L351" i="7"/>
  <c r="K351" i="7"/>
  <c r="J351" i="7"/>
  <c r="H351" i="7"/>
  <c r="G351" i="7"/>
  <c r="A351" i="7"/>
  <c r="L350" i="7"/>
  <c r="K350" i="7"/>
  <c r="J350" i="7"/>
  <c r="H350" i="7"/>
  <c r="G350" i="7"/>
  <c r="A350" i="7"/>
  <c r="L349" i="7"/>
  <c r="K349" i="7"/>
  <c r="J349" i="7"/>
  <c r="H349" i="7"/>
  <c r="G349" i="7"/>
  <c r="A349" i="7"/>
  <c r="L348" i="7"/>
  <c r="K348" i="7"/>
  <c r="J348" i="7"/>
  <c r="H348" i="7"/>
  <c r="G348" i="7"/>
  <c r="A348" i="7"/>
  <c r="L347" i="7"/>
  <c r="K347" i="7"/>
  <c r="J347" i="7"/>
  <c r="H347" i="7"/>
  <c r="G347" i="7"/>
  <c r="A347" i="7"/>
  <c r="L346" i="7"/>
  <c r="K346" i="7"/>
  <c r="J346" i="7"/>
  <c r="H346" i="7"/>
  <c r="G346" i="7"/>
  <c r="A346" i="7"/>
  <c r="L345" i="7"/>
  <c r="K345" i="7"/>
  <c r="J345" i="7"/>
  <c r="H345" i="7"/>
  <c r="G345" i="7"/>
  <c r="A345" i="7"/>
  <c r="L344" i="7"/>
  <c r="K344" i="7"/>
  <c r="J344" i="7"/>
  <c r="H344" i="7"/>
  <c r="G344" i="7"/>
  <c r="A344" i="7"/>
  <c r="L343" i="7"/>
  <c r="K343" i="7"/>
  <c r="J343" i="7"/>
  <c r="H343" i="7"/>
  <c r="G343" i="7"/>
  <c r="A343" i="7"/>
  <c r="L342" i="7"/>
  <c r="K342" i="7"/>
  <c r="J342" i="7"/>
  <c r="H342" i="7"/>
  <c r="G342" i="7"/>
  <c r="A342" i="7"/>
  <c r="L341" i="7"/>
  <c r="K341" i="7"/>
  <c r="J341" i="7"/>
  <c r="H341" i="7"/>
  <c r="G341" i="7"/>
  <c r="A341" i="7"/>
  <c r="L340" i="7"/>
  <c r="K340" i="7"/>
  <c r="J340" i="7"/>
  <c r="H340" i="7"/>
  <c r="G340" i="7"/>
  <c r="A340" i="7"/>
  <c r="L339" i="7"/>
  <c r="K339" i="7"/>
  <c r="J339" i="7"/>
  <c r="H339" i="7"/>
  <c r="G339" i="7"/>
  <c r="A339" i="7"/>
  <c r="L338" i="7"/>
  <c r="K338" i="7"/>
  <c r="J338" i="7"/>
  <c r="H338" i="7"/>
  <c r="G338" i="7"/>
  <c r="A338" i="7"/>
  <c r="L337" i="7"/>
  <c r="K337" i="7"/>
  <c r="J337" i="7"/>
  <c r="H337" i="7"/>
  <c r="G337" i="7"/>
  <c r="A337" i="7"/>
  <c r="L336" i="7"/>
  <c r="K336" i="7"/>
  <c r="J336" i="7"/>
  <c r="H336" i="7"/>
  <c r="G336" i="7"/>
  <c r="A336" i="7"/>
  <c r="L335" i="7"/>
  <c r="K335" i="7"/>
  <c r="J335" i="7"/>
  <c r="H335" i="7"/>
  <c r="G335" i="7"/>
  <c r="A335" i="7"/>
  <c r="L334" i="7"/>
  <c r="K334" i="7"/>
  <c r="J334" i="7"/>
  <c r="H334" i="7"/>
  <c r="G334" i="7"/>
  <c r="A334" i="7"/>
  <c r="L333" i="7"/>
  <c r="K333" i="7"/>
  <c r="J333" i="7"/>
  <c r="H333" i="7"/>
  <c r="G333" i="7"/>
  <c r="A333" i="7"/>
  <c r="L332" i="7"/>
  <c r="K332" i="7"/>
  <c r="J332" i="7"/>
  <c r="H332" i="7"/>
  <c r="G332" i="7"/>
  <c r="A332" i="7"/>
  <c r="L331" i="7"/>
  <c r="K331" i="7"/>
  <c r="J331" i="7"/>
  <c r="H331" i="7"/>
  <c r="G331" i="7"/>
  <c r="A331" i="7"/>
  <c r="L330" i="7"/>
  <c r="K330" i="7"/>
  <c r="J330" i="7"/>
  <c r="H330" i="7"/>
  <c r="G330" i="7"/>
  <c r="A330" i="7"/>
  <c r="L329" i="7"/>
  <c r="K329" i="7"/>
  <c r="J329" i="7"/>
  <c r="H329" i="7"/>
  <c r="G329" i="7"/>
  <c r="A329" i="7"/>
  <c r="L328" i="7"/>
  <c r="K328" i="7"/>
  <c r="J328" i="7"/>
  <c r="H328" i="7"/>
  <c r="G328" i="7"/>
  <c r="A328" i="7"/>
  <c r="L327" i="7"/>
  <c r="K327" i="7"/>
  <c r="J327" i="7"/>
  <c r="H327" i="7"/>
  <c r="G327" i="7"/>
  <c r="A327" i="7"/>
  <c r="L326" i="7"/>
  <c r="K326" i="7"/>
  <c r="J326" i="7"/>
  <c r="H326" i="7"/>
  <c r="G326" i="7"/>
  <c r="A326" i="7"/>
  <c r="L325" i="7"/>
  <c r="K325" i="7"/>
  <c r="J325" i="7"/>
  <c r="H325" i="7"/>
  <c r="G325" i="7"/>
  <c r="A325" i="7"/>
  <c r="L324" i="7"/>
  <c r="K324" i="7"/>
  <c r="J324" i="7"/>
  <c r="H324" i="7"/>
  <c r="G324" i="7"/>
  <c r="A324" i="7"/>
  <c r="L323" i="7"/>
  <c r="K323" i="7"/>
  <c r="J323" i="7"/>
  <c r="H323" i="7"/>
  <c r="G323" i="7"/>
  <c r="A323" i="7"/>
  <c r="L322" i="7"/>
  <c r="K322" i="7"/>
  <c r="J322" i="7"/>
  <c r="H322" i="7"/>
  <c r="G322" i="7"/>
  <c r="A322" i="7"/>
  <c r="L321" i="7"/>
  <c r="K321" i="7"/>
  <c r="J321" i="7"/>
  <c r="H321" i="7"/>
  <c r="G321" i="7"/>
  <c r="A321" i="7"/>
  <c r="L320" i="7"/>
  <c r="K320" i="7"/>
  <c r="J320" i="7"/>
  <c r="H320" i="7"/>
  <c r="G320" i="7"/>
  <c r="A320" i="7"/>
  <c r="L319" i="7"/>
  <c r="K319" i="7"/>
  <c r="J319" i="7"/>
  <c r="H319" i="7"/>
  <c r="G319" i="7"/>
  <c r="A319" i="7"/>
  <c r="L318" i="7"/>
  <c r="K318" i="7"/>
  <c r="J318" i="7"/>
  <c r="H318" i="7"/>
  <c r="G318" i="7"/>
  <c r="A318" i="7"/>
  <c r="L317" i="7"/>
  <c r="K317" i="7"/>
  <c r="J317" i="7"/>
  <c r="H317" i="7"/>
  <c r="G317" i="7"/>
  <c r="A317" i="7"/>
  <c r="L316" i="7"/>
  <c r="K316" i="7"/>
  <c r="J316" i="7"/>
  <c r="H316" i="7"/>
  <c r="G316" i="7"/>
  <c r="A316" i="7"/>
  <c r="L315" i="7"/>
  <c r="K315" i="7"/>
  <c r="J315" i="7"/>
  <c r="H315" i="7"/>
  <c r="G315" i="7"/>
  <c r="A315" i="7"/>
  <c r="L314" i="7"/>
  <c r="K314" i="7"/>
  <c r="J314" i="7"/>
  <c r="H314" i="7"/>
  <c r="G314" i="7"/>
  <c r="A314" i="7"/>
  <c r="L313" i="7"/>
  <c r="K313" i="7"/>
  <c r="J313" i="7"/>
  <c r="H313" i="7"/>
  <c r="G313" i="7"/>
  <c r="A313" i="7"/>
  <c r="L312" i="7"/>
  <c r="K312" i="7"/>
  <c r="J312" i="7"/>
  <c r="H312" i="7"/>
  <c r="G312" i="7"/>
  <c r="A312" i="7"/>
  <c r="L311" i="7"/>
  <c r="K311" i="7"/>
  <c r="J311" i="7"/>
  <c r="H311" i="7"/>
  <c r="G311" i="7"/>
  <c r="A311" i="7"/>
  <c r="L310" i="7"/>
  <c r="K310" i="7"/>
  <c r="J310" i="7"/>
  <c r="H310" i="7"/>
  <c r="G310" i="7"/>
  <c r="A310" i="7"/>
  <c r="L309" i="7"/>
  <c r="K309" i="7"/>
  <c r="J309" i="7"/>
  <c r="H309" i="7"/>
  <c r="G309" i="7"/>
  <c r="A309" i="7"/>
  <c r="L308" i="7"/>
  <c r="K308" i="7"/>
  <c r="J308" i="7"/>
  <c r="H308" i="7"/>
  <c r="G308" i="7"/>
  <c r="A308" i="7"/>
  <c r="L307" i="7"/>
  <c r="K307" i="7"/>
  <c r="J307" i="7"/>
  <c r="H307" i="7"/>
  <c r="G307" i="7"/>
  <c r="A307" i="7"/>
  <c r="L306" i="7"/>
  <c r="K306" i="7"/>
  <c r="J306" i="7"/>
  <c r="H306" i="7"/>
  <c r="G306" i="7"/>
  <c r="A306" i="7"/>
  <c r="L305" i="7"/>
  <c r="K305" i="7"/>
  <c r="J305" i="7"/>
  <c r="H305" i="7"/>
  <c r="G305" i="7"/>
  <c r="A305" i="7"/>
  <c r="L304" i="7"/>
  <c r="K304" i="7"/>
  <c r="J304" i="7"/>
  <c r="H304" i="7"/>
  <c r="G304" i="7"/>
  <c r="A304" i="7"/>
  <c r="L303" i="7"/>
  <c r="K303" i="7"/>
  <c r="J303" i="7"/>
  <c r="H303" i="7"/>
  <c r="G303" i="7"/>
  <c r="A303" i="7"/>
  <c r="L302" i="7"/>
  <c r="K302" i="7"/>
  <c r="J302" i="7"/>
  <c r="H302" i="7"/>
  <c r="G302" i="7"/>
  <c r="A302" i="7"/>
  <c r="L301" i="7"/>
  <c r="K301" i="7"/>
  <c r="J301" i="7"/>
  <c r="H301" i="7"/>
  <c r="G301" i="7"/>
  <c r="A301" i="7"/>
  <c r="L300" i="7"/>
  <c r="K300" i="7"/>
  <c r="J300" i="7"/>
  <c r="H300" i="7"/>
  <c r="G300" i="7"/>
  <c r="A300" i="7"/>
  <c r="L299" i="7"/>
  <c r="K299" i="7"/>
  <c r="J299" i="7"/>
  <c r="H299" i="7"/>
  <c r="G299" i="7"/>
  <c r="A299" i="7"/>
  <c r="L298" i="7"/>
  <c r="K298" i="7"/>
  <c r="J298" i="7"/>
  <c r="H298" i="7"/>
  <c r="G298" i="7"/>
  <c r="A298" i="7"/>
  <c r="L297" i="7"/>
  <c r="K297" i="7"/>
  <c r="J297" i="7"/>
  <c r="H297" i="7"/>
  <c r="G297" i="7"/>
  <c r="A297" i="7"/>
  <c r="L296" i="7"/>
  <c r="K296" i="7"/>
  <c r="J296" i="7"/>
  <c r="H296" i="7"/>
  <c r="G296" i="7"/>
  <c r="A296" i="7"/>
  <c r="L295" i="7"/>
  <c r="K295" i="7"/>
  <c r="J295" i="7"/>
  <c r="H295" i="7"/>
  <c r="G295" i="7"/>
  <c r="A295" i="7"/>
  <c r="L294" i="7"/>
  <c r="K294" i="7"/>
  <c r="J294" i="7"/>
  <c r="H294" i="7"/>
  <c r="G294" i="7"/>
  <c r="A294" i="7"/>
  <c r="L293" i="7"/>
  <c r="K293" i="7"/>
  <c r="J293" i="7"/>
  <c r="H293" i="7"/>
  <c r="G293" i="7"/>
  <c r="A293" i="7"/>
  <c r="L292" i="7"/>
  <c r="K292" i="7"/>
  <c r="J292" i="7"/>
  <c r="H292" i="7"/>
  <c r="G292" i="7"/>
  <c r="A292" i="7"/>
  <c r="L291" i="7"/>
  <c r="K291" i="7"/>
  <c r="J291" i="7"/>
  <c r="H291" i="7"/>
  <c r="G291" i="7"/>
  <c r="A291" i="7"/>
  <c r="L290" i="7"/>
  <c r="K290" i="7"/>
  <c r="J290" i="7"/>
  <c r="H290" i="7"/>
  <c r="G290" i="7"/>
  <c r="A290" i="7"/>
  <c r="L289" i="7"/>
  <c r="K289" i="7"/>
  <c r="J289" i="7"/>
  <c r="H289" i="7"/>
  <c r="G289" i="7"/>
  <c r="A289" i="7"/>
  <c r="L288" i="7"/>
  <c r="K288" i="7"/>
  <c r="J288" i="7"/>
  <c r="H288" i="7"/>
  <c r="G288" i="7"/>
  <c r="A288" i="7"/>
  <c r="L287" i="7"/>
  <c r="K287" i="7"/>
  <c r="J287" i="7"/>
  <c r="H287" i="7"/>
  <c r="G287" i="7"/>
  <c r="A287" i="7"/>
  <c r="L286" i="7"/>
  <c r="K286" i="7"/>
  <c r="J286" i="7"/>
  <c r="H286" i="7"/>
  <c r="G286" i="7"/>
  <c r="A286" i="7"/>
  <c r="L285" i="7"/>
  <c r="K285" i="7"/>
  <c r="J285" i="7"/>
  <c r="H285" i="7"/>
  <c r="G285" i="7"/>
  <c r="A285" i="7"/>
  <c r="L284" i="7"/>
  <c r="K284" i="7"/>
  <c r="J284" i="7"/>
  <c r="H284" i="7"/>
  <c r="G284" i="7"/>
  <c r="A284" i="7"/>
  <c r="L283" i="7"/>
  <c r="K283" i="7"/>
  <c r="J283" i="7"/>
  <c r="H283" i="7"/>
  <c r="G283" i="7"/>
  <c r="A283" i="7"/>
  <c r="L282" i="7"/>
  <c r="K282" i="7"/>
  <c r="J282" i="7"/>
  <c r="H282" i="7"/>
  <c r="G282" i="7"/>
  <c r="A282" i="7"/>
  <c r="L281" i="7"/>
  <c r="K281" i="7"/>
  <c r="J281" i="7"/>
  <c r="H281" i="7"/>
  <c r="G281" i="7"/>
  <c r="A281" i="7"/>
  <c r="L280" i="7"/>
  <c r="K280" i="7"/>
  <c r="J280" i="7"/>
  <c r="H280" i="7"/>
  <c r="G280" i="7"/>
  <c r="A280" i="7"/>
  <c r="L279" i="7"/>
  <c r="K279" i="7"/>
  <c r="J279" i="7"/>
  <c r="H279" i="7"/>
  <c r="G279" i="7"/>
  <c r="A279" i="7"/>
  <c r="L278" i="7"/>
  <c r="K278" i="7"/>
  <c r="J278" i="7"/>
  <c r="H278" i="7"/>
  <c r="G278" i="7"/>
  <c r="A278" i="7"/>
  <c r="L277" i="7"/>
  <c r="K277" i="7"/>
  <c r="J277" i="7"/>
  <c r="H277" i="7"/>
  <c r="G277" i="7"/>
  <c r="A277" i="7"/>
  <c r="L276" i="7"/>
  <c r="K276" i="7"/>
  <c r="J276" i="7"/>
  <c r="H276" i="7"/>
  <c r="G276" i="7"/>
  <c r="A276" i="7"/>
  <c r="L275" i="7"/>
  <c r="K275" i="7"/>
  <c r="J275" i="7"/>
  <c r="H275" i="7"/>
  <c r="G275" i="7"/>
  <c r="A275" i="7"/>
  <c r="L274" i="7"/>
  <c r="K274" i="7"/>
  <c r="J274" i="7"/>
  <c r="H274" i="7"/>
  <c r="G274" i="7"/>
  <c r="A274" i="7"/>
  <c r="L273" i="7"/>
  <c r="K273" i="7"/>
  <c r="J273" i="7"/>
  <c r="H273" i="7"/>
  <c r="G273" i="7"/>
  <c r="A273" i="7"/>
  <c r="L272" i="7"/>
  <c r="K272" i="7"/>
  <c r="J272" i="7"/>
  <c r="H272" i="7"/>
  <c r="G272" i="7"/>
  <c r="A272" i="7"/>
  <c r="L271" i="7"/>
  <c r="K271" i="7"/>
  <c r="J271" i="7"/>
  <c r="H271" i="7"/>
  <c r="G271" i="7"/>
  <c r="A271" i="7"/>
  <c r="L270" i="7"/>
  <c r="K270" i="7"/>
  <c r="J270" i="7"/>
  <c r="H270" i="7"/>
  <c r="G270" i="7"/>
  <c r="A270" i="7"/>
  <c r="L269" i="7"/>
  <c r="K269" i="7"/>
  <c r="J269" i="7"/>
  <c r="H269" i="7"/>
  <c r="G269" i="7"/>
  <c r="A269" i="7"/>
  <c r="L268" i="7"/>
  <c r="K268" i="7"/>
  <c r="J268" i="7"/>
  <c r="H268" i="7"/>
  <c r="G268" i="7"/>
  <c r="A268" i="7"/>
  <c r="L267" i="7"/>
  <c r="K267" i="7"/>
  <c r="J267" i="7"/>
  <c r="H267" i="7"/>
  <c r="G267" i="7"/>
  <c r="A267" i="7"/>
  <c r="L266" i="7"/>
  <c r="K266" i="7"/>
  <c r="J266" i="7"/>
  <c r="H266" i="7"/>
  <c r="G266" i="7"/>
  <c r="A266" i="7"/>
  <c r="L265" i="7"/>
  <c r="K265" i="7"/>
  <c r="J265" i="7"/>
  <c r="H265" i="7"/>
  <c r="G265" i="7"/>
  <c r="A265" i="7"/>
  <c r="L264" i="7"/>
  <c r="K264" i="7"/>
  <c r="J264" i="7"/>
  <c r="H264" i="7"/>
  <c r="G264" i="7"/>
  <c r="A264" i="7"/>
  <c r="L263" i="7"/>
  <c r="K263" i="7"/>
  <c r="J263" i="7"/>
  <c r="H263" i="7"/>
  <c r="G263" i="7"/>
  <c r="A263" i="7"/>
  <c r="L262" i="7"/>
  <c r="K262" i="7"/>
  <c r="J262" i="7"/>
  <c r="H262" i="7"/>
  <c r="G262" i="7"/>
  <c r="A262" i="7"/>
  <c r="L261" i="7"/>
  <c r="K261" i="7"/>
  <c r="J261" i="7"/>
  <c r="H261" i="7"/>
  <c r="G261" i="7"/>
  <c r="A261" i="7"/>
  <c r="L260" i="7"/>
  <c r="K260" i="7"/>
  <c r="J260" i="7"/>
  <c r="H260" i="7"/>
  <c r="G260" i="7"/>
  <c r="A260" i="7"/>
  <c r="L259" i="7"/>
  <c r="K259" i="7"/>
  <c r="J259" i="7"/>
  <c r="H259" i="7"/>
  <c r="G259" i="7"/>
  <c r="A259" i="7"/>
  <c r="L258" i="7"/>
  <c r="K258" i="7"/>
  <c r="J258" i="7"/>
  <c r="H258" i="7"/>
  <c r="G258" i="7"/>
  <c r="A258" i="7"/>
  <c r="L257" i="7"/>
  <c r="K257" i="7"/>
  <c r="J257" i="7"/>
  <c r="H257" i="7"/>
  <c r="G257" i="7"/>
  <c r="A257" i="7"/>
  <c r="L256" i="7"/>
  <c r="K256" i="7"/>
  <c r="J256" i="7"/>
  <c r="H256" i="7"/>
  <c r="G256" i="7"/>
  <c r="A256" i="7"/>
  <c r="L255" i="7"/>
  <c r="K255" i="7"/>
  <c r="J255" i="7"/>
  <c r="H255" i="7"/>
  <c r="G255" i="7"/>
  <c r="A255" i="7"/>
  <c r="L254" i="7"/>
  <c r="K254" i="7"/>
  <c r="J254" i="7"/>
  <c r="H254" i="7"/>
  <c r="G254" i="7"/>
  <c r="A254" i="7"/>
  <c r="L253" i="7"/>
  <c r="K253" i="7"/>
  <c r="J253" i="7"/>
  <c r="H253" i="7"/>
  <c r="G253" i="7"/>
  <c r="A253" i="7"/>
  <c r="L252" i="7"/>
  <c r="K252" i="7"/>
  <c r="J252" i="7"/>
  <c r="H252" i="7"/>
  <c r="G252" i="7"/>
  <c r="A252" i="7"/>
  <c r="L251" i="7"/>
  <c r="K251" i="7"/>
  <c r="J251" i="7"/>
  <c r="H251" i="7"/>
  <c r="G251" i="7"/>
  <c r="A251" i="7"/>
  <c r="L250" i="7"/>
  <c r="K250" i="7"/>
  <c r="J250" i="7"/>
  <c r="H250" i="7"/>
  <c r="G250" i="7"/>
  <c r="A250" i="7"/>
  <c r="L249" i="7"/>
  <c r="K249" i="7"/>
  <c r="J249" i="7"/>
  <c r="H249" i="7"/>
  <c r="G249" i="7"/>
  <c r="A249" i="7"/>
  <c r="L248" i="7"/>
  <c r="K248" i="7"/>
  <c r="J248" i="7"/>
  <c r="H248" i="7"/>
  <c r="G248" i="7"/>
  <c r="A248" i="7"/>
  <c r="L247" i="7"/>
  <c r="K247" i="7"/>
  <c r="J247" i="7"/>
  <c r="H247" i="7"/>
  <c r="G247" i="7"/>
  <c r="A247" i="7"/>
  <c r="L246" i="7"/>
  <c r="K246" i="7"/>
  <c r="J246" i="7"/>
  <c r="H246" i="7"/>
  <c r="G246" i="7"/>
  <c r="A246" i="7"/>
  <c r="L245" i="7"/>
  <c r="K245" i="7"/>
  <c r="J245" i="7"/>
  <c r="H245" i="7"/>
  <c r="G245" i="7"/>
  <c r="A245" i="7"/>
  <c r="L244" i="7"/>
  <c r="K244" i="7"/>
  <c r="J244" i="7"/>
  <c r="H244" i="7"/>
  <c r="G244" i="7"/>
  <c r="A244" i="7"/>
  <c r="L243" i="7"/>
  <c r="K243" i="7"/>
  <c r="J243" i="7"/>
  <c r="H243" i="7"/>
  <c r="G243" i="7"/>
  <c r="A243" i="7"/>
  <c r="L242" i="7"/>
  <c r="K242" i="7"/>
  <c r="J242" i="7"/>
  <c r="H242" i="7"/>
  <c r="G242" i="7"/>
  <c r="A242" i="7"/>
  <c r="L241" i="7"/>
  <c r="K241" i="7"/>
  <c r="J241" i="7"/>
  <c r="H241" i="7"/>
  <c r="G241" i="7"/>
  <c r="A241" i="7"/>
  <c r="L240" i="7"/>
  <c r="K240" i="7"/>
  <c r="J240" i="7"/>
  <c r="H240" i="7"/>
  <c r="G240" i="7"/>
  <c r="A240" i="7"/>
  <c r="L239" i="7"/>
  <c r="K239" i="7"/>
  <c r="J239" i="7"/>
  <c r="H239" i="7"/>
  <c r="G239" i="7"/>
  <c r="A239" i="7"/>
  <c r="L238" i="7"/>
  <c r="K238" i="7"/>
  <c r="J238" i="7"/>
  <c r="H238" i="7"/>
  <c r="G238" i="7"/>
  <c r="A238" i="7"/>
  <c r="L237" i="7"/>
  <c r="K237" i="7"/>
  <c r="J237" i="7"/>
  <c r="H237" i="7"/>
  <c r="G237" i="7"/>
  <c r="A237" i="7"/>
  <c r="L236" i="7"/>
  <c r="K236" i="7"/>
  <c r="J236" i="7"/>
  <c r="H236" i="7"/>
  <c r="G236" i="7"/>
  <c r="A236" i="7"/>
  <c r="L235" i="7"/>
  <c r="K235" i="7"/>
  <c r="J235" i="7"/>
  <c r="H235" i="7"/>
  <c r="G235" i="7"/>
  <c r="A235" i="7"/>
  <c r="L234" i="7"/>
  <c r="K234" i="7"/>
  <c r="J234" i="7"/>
  <c r="H234" i="7"/>
  <c r="G234" i="7"/>
  <c r="A234" i="7"/>
  <c r="L233" i="7"/>
  <c r="K233" i="7"/>
  <c r="J233" i="7"/>
  <c r="H233" i="7"/>
  <c r="G233" i="7"/>
  <c r="A233" i="7"/>
  <c r="L232" i="7"/>
  <c r="K232" i="7"/>
  <c r="J232" i="7"/>
  <c r="H232" i="7"/>
  <c r="G232" i="7"/>
  <c r="A232" i="7"/>
  <c r="L231" i="7"/>
  <c r="K231" i="7"/>
  <c r="J231" i="7"/>
  <c r="H231" i="7"/>
  <c r="G231" i="7"/>
  <c r="A231" i="7"/>
  <c r="L230" i="7"/>
  <c r="K230" i="7"/>
  <c r="J230" i="7"/>
  <c r="H230" i="7"/>
  <c r="G230" i="7"/>
  <c r="A230" i="7"/>
  <c r="L229" i="7"/>
  <c r="K229" i="7"/>
  <c r="J229" i="7"/>
  <c r="H229" i="7"/>
  <c r="G229" i="7"/>
  <c r="A229" i="7"/>
  <c r="L228" i="7"/>
  <c r="K228" i="7"/>
  <c r="J228" i="7"/>
  <c r="H228" i="7"/>
  <c r="G228" i="7"/>
  <c r="A228" i="7"/>
  <c r="L227" i="7"/>
  <c r="K227" i="7"/>
  <c r="J227" i="7"/>
  <c r="H227" i="7"/>
  <c r="G227" i="7"/>
  <c r="A227" i="7"/>
  <c r="L226" i="7"/>
  <c r="K226" i="7"/>
  <c r="J226" i="7"/>
  <c r="H226" i="7"/>
  <c r="G226" i="7"/>
  <c r="A226" i="7"/>
  <c r="L225" i="7"/>
  <c r="K225" i="7"/>
  <c r="J225" i="7"/>
  <c r="H225" i="7"/>
  <c r="G225" i="7"/>
  <c r="A225" i="7"/>
  <c r="L224" i="7"/>
  <c r="K224" i="7"/>
  <c r="J224" i="7"/>
  <c r="H224" i="7"/>
  <c r="G224" i="7"/>
  <c r="A224" i="7"/>
  <c r="L223" i="7"/>
  <c r="K223" i="7"/>
  <c r="J223" i="7"/>
  <c r="H223" i="7"/>
  <c r="G223" i="7"/>
  <c r="A223" i="7"/>
  <c r="L222" i="7"/>
  <c r="K222" i="7"/>
  <c r="J222" i="7"/>
  <c r="H222" i="7"/>
  <c r="G222" i="7"/>
  <c r="A222" i="7"/>
  <c r="L221" i="7"/>
  <c r="K221" i="7"/>
  <c r="J221" i="7"/>
  <c r="H221" i="7"/>
  <c r="G221" i="7"/>
  <c r="A221" i="7"/>
  <c r="L220" i="7"/>
  <c r="K220" i="7"/>
  <c r="J220" i="7"/>
  <c r="H220" i="7"/>
  <c r="G220" i="7"/>
  <c r="A220" i="7"/>
  <c r="L219" i="7"/>
  <c r="K219" i="7"/>
  <c r="J219" i="7"/>
  <c r="H219" i="7"/>
  <c r="G219" i="7"/>
  <c r="A219" i="7"/>
  <c r="L218" i="7"/>
  <c r="K218" i="7"/>
  <c r="J218" i="7"/>
  <c r="H218" i="7"/>
  <c r="G218" i="7"/>
  <c r="A218" i="7"/>
  <c r="L217" i="7"/>
  <c r="K217" i="7"/>
  <c r="J217" i="7"/>
  <c r="H217" i="7"/>
  <c r="G217" i="7"/>
  <c r="A217" i="7"/>
  <c r="L216" i="7"/>
  <c r="K216" i="7"/>
  <c r="J216" i="7"/>
  <c r="H216" i="7"/>
  <c r="G216" i="7"/>
  <c r="A216" i="7"/>
  <c r="L215" i="7"/>
  <c r="K215" i="7"/>
  <c r="J215" i="7"/>
  <c r="H215" i="7"/>
  <c r="G215" i="7"/>
  <c r="A215" i="7"/>
  <c r="L214" i="7"/>
  <c r="K214" i="7"/>
  <c r="J214" i="7"/>
  <c r="H214" i="7"/>
  <c r="G214" i="7"/>
  <c r="A214" i="7"/>
  <c r="L213" i="7"/>
  <c r="K213" i="7"/>
  <c r="J213" i="7"/>
  <c r="H213" i="7"/>
  <c r="G213" i="7"/>
  <c r="A213" i="7"/>
  <c r="L212" i="7"/>
  <c r="K212" i="7"/>
  <c r="J212" i="7"/>
  <c r="H212" i="7"/>
  <c r="G212" i="7"/>
  <c r="A212" i="7"/>
  <c r="L211" i="7"/>
  <c r="K211" i="7"/>
  <c r="J211" i="7"/>
  <c r="H211" i="7"/>
  <c r="G211" i="7"/>
  <c r="A211" i="7"/>
  <c r="L210" i="7"/>
  <c r="K210" i="7"/>
  <c r="J210" i="7"/>
  <c r="H210" i="7"/>
  <c r="G210" i="7"/>
  <c r="A210" i="7"/>
  <c r="L209" i="7"/>
  <c r="K209" i="7"/>
  <c r="J209" i="7"/>
  <c r="H209" i="7"/>
  <c r="G209" i="7"/>
  <c r="A209" i="7"/>
  <c r="L208" i="7"/>
  <c r="K208" i="7"/>
  <c r="J208" i="7"/>
  <c r="H208" i="7"/>
  <c r="G208" i="7"/>
  <c r="A208" i="7"/>
  <c r="L207" i="7"/>
  <c r="K207" i="7"/>
  <c r="J207" i="7"/>
  <c r="H207" i="7"/>
  <c r="G207" i="7"/>
  <c r="A207" i="7"/>
  <c r="L206" i="7"/>
  <c r="K206" i="7"/>
  <c r="J206" i="7"/>
  <c r="H206" i="7"/>
  <c r="G206" i="7"/>
  <c r="A206" i="7"/>
  <c r="L205" i="7"/>
  <c r="K205" i="7"/>
  <c r="J205" i="7"/>
  <c r="H205" i="7"/>
  <c r="G205" i="7"/>
  <c r="A205" i="7"/>
  <c r="L204" i="7"/>
  <c r="K204" i="7"/>
  <c r="J204" i="7"/>
  <c r="H204" i="7"/>
  <c r="G204" i="7"/>
  <c r="A204" i="7"/>
  <c r="L203" i="7"/>
  <c r="K203" i="7"/>
  <c r="J203" i="7"/>
  <c r="H203" i="7"/>
  <c r="G203" i="7"/>
  <c r="A203" i="7"/>
  <c r="L202" i="7"/>
  <c r="K202" i="7"/>
  <c r="J202" i="7"/>
  <c r="H202" i="7"/>
  <c r="G202" i="7"/>
  <c r="A202" i="7"/>
  <c r="L201" i="7"/>
  <c r="K201" i="7"/>
  <c r="J201" i="7"/>
  <c r="H201" i="7"/>
  <c r="G201" i="7"/>
  <c r="A201" i="7"/>
  <c r="L200" i="7"/>
  <c r="K200" i="7"/>
  <c r="J200" i="7"/>
  <c r="H200" i="7"/>
  <c r="G200" i="7"/>
  <c r="A200" i="7"/>
  <c r="L199" i="7"/>
  <c r="K199" i="7"/>
  <c r="J199" i="7"/>
  <c r="H199" i="7"/>
  <c r="G199" i="7"/>
  <c r="A199" i="7"/>
  <c r="L198" i="7"/>
  <c r="K198" i="7"/>
  <c r="J198" i="7"/>
  <c r="H198" i="7"/>
  <c r="G198" i="7"/>
  <c r="A198" i="7"/>
  <c r="L197" i="7"/>
  <c r="K197" i="7"/>
  <c r="J197" i="7"/>
  <c r="H197" i="7"/>
  <c r="G197" i="7"/>
  <c r="A197" i="7"/>
  <c r="L196" i="7"/>
  <c r="K196" i="7"/>
  <c r="J196" i="7"/>
  <c r="H196" i="7"/>
  <c r="G196" i="7"/>
  <c r="A196" i="7"/>
  <c r="L195" i="7"/>
  <c r="K195" i="7"/>
  <c r="J195" i="7"/>
  <c r="H195" i="7"/>
  <c r="G195" i="7"/>
  <c r="A195" i="7"/>
  <c r="L194" i="7"/>
  <c r="K194" i="7"/>
  <c r="J194" i="7"/>
  <c r="H194" i="7"/>
  <c r="G194" i="7"/>
  <c r="A194" i="7"/>
  <c r="L193" i="7"/>
  <c r="K193" i="7"/>
  <c r="J193" i="7"/>
  <c r="H193" i="7"/>
  <c r="G193" i="7"/>
  <c r="A193" i="7"/>
  <c r="L192" i="7"/>
  <c r="K192" i="7"/>
  <c r="J192" i="7"/>
  <c r="H192" i="7"/>
  <c r="G192" i="7"/>
  <c r="A192" i="7"/>
  <c r="L191" i="7"/>
  <c r="K191" i="7"/>
  <c r="J191" i="7"/>
  <c r="H191" i="7"/>
  <c r="G191" i="7"/>
  <c r="A191" i="7"/>
  <c r="L190" i="7"/>
  <c r="K190" i="7"/>
  <c r="J190" i="7"/>
  <c r="H190" i="7"/>
  <c r="G190" i="7"/>
  <c r="A190" i="7"/>
  <c r="L189" i="7"/>
  <c r="K189" i="7"/>
  <c r="J189" i="7"/>
  <c r="H189" i="7"/>
  <c r="G189" i="7"/>
  <c r="A189" i="7"/>
  <c r="L188" i="7"/>
  <c r="K188" i="7"/>
  <c r="J188" i="7"/>
  <c r="H188" i="7"/>
  <c r="G188" i="7"/>
  <c r="A188" i="7"/>
  <c r="L187" i="7"/>
  <c r="K187" i="7"/>
  <c r="J187" i="7"/>
  <c r="H187" i="7"/>
  <c r="G187" i="7"/>
  <c r="A187" i="7"/>
  <c r="L186" i="7"/>
  <c r="K186" i="7"/>
  <c r="J186" i="7"/>
  <c r="H186" i="7"/>
  <c r="G186" i="7"/>
  <c r="A186" i="7"/>
  <c r="L185" i="7"/>
  <c r="K185" i="7"/>
  <c r="J185" i="7"/>
  <c r="H185" i="7"/>
  <c r="G185" i="7"/>
  <c r="A185" i="7"/>
  <c r="L184" i="7"/>
  <c r="K184" i="7"/>
  <c r="J184" i="7"/>
  <c r="H184" i="7"/>
  <c r="G184" i="7"/>
  <c r="A184" i="7"/>
  <c r="L183" i="7"/>
  <c r="K183" i="7"/>
  <c r="J183" i="7"/>
  <c r="H183" i="7"/>
  <c r="G183" i="7"/>
  <c r="A183" i="7"/>
  <c r="L182" i="7"/>
  <c r="K182" i="7"/>
  <c r="J182" i="7"/>
  <c r="H182" i="7"/>
  <c r="G182" i="7"/>
  <c r="A182" i="7"/>
  <c r="L181" i="7"/>
  <c r="K181" i="7"/>
  <c r="J181" i="7"/>
  <c r="H181" i="7"/>
  <c r="G181" i="7"/>
  <c r="A181" i="7"/>
  <c r="L180" i="7"/>
  <c r="K180" i="7"/>
  <c r="J180" i="7"/>
  <c r="H180" i="7"/>
  <c r="G180" i="7"/>
  <c r="A180" i="7"/>
  <c r="L179" i="7"/>
  <c r="K179" i="7"/>
  <c r="J179" i="7"/>
  <c r="H179" i="7"/>
  <c r="G179" i="7"/>
  <c r="A179" i="7"/>
  <c r="L178" i="7"/>
  <c r="K178" i="7"/>
  <c r="J178" i="7"/>
  <c r="H178" i="7"/>
  <c r="G178" i="7"/>
  <c r="A178" i="7"/>
  <c r="L177" i="7"/>
  <c r="K177" i="7"/>
  <c r="J177" i="7"/>
  <c r="H177" i="7"/>
  <c r="G177" i="7"/>
  <c r="A177" i="7"/>
  <c r="L176" i="7"/>
  <c r="K176" i="7"/>
  <c r="J176" i="7"/>
  <c r="H176" i="7"/>
  <c r="G176" i="7"/>
  <c r="A176" i="7"/>
  <c r="L175" i="7"/>
  <c r="K175" i="7"/>
  <c r="J175" i="7"/>
  <c r="H175" i="7"/>
  <c r="G175" i="7"/>
  <c r="A175" i="7"/>
  <c r="L174" i="7"/>
  <c r="K174" i="7"/>
  <c r="J174" i="7"/>
  <c r="H174" i="7"/>
  <c r="G174" i="7"/>
  <c r="A174" i="7"/>
  <c r="L173" i="7"/>
  <c r="K173" i="7"/>
  <c r="J173" i="7"/>
  <c r="H173" i="7"/>
  <c r="G173" i="7"/>
  <c r="A173" i="7"/>
  <c r="L172" i="7"/>
  <c r="K172" i="7"/>
  <c r="J172" i="7"/>
  <c r="H172" i="7"/>
  <c r="G172" i="7"/>
  <c r="A172" i="7"/>
  <c r="L171" i="7"/>
  <c r="K171" i="7"/>
  <c r="J171" i="7"/>
  <c r="H171" i="7"/>
  <c r="G171" i="7"/>
  <c r="A171" i="7"/>
  <c r="L170" i="7"/>
  <c r="K170" i="7"/>
  <c r="J170" i="7"/>
  <c r="H170" i="7"/>
  <c r="G170" i="7"/>
  <c r="A170" i="7"/>
  <c r="L169" i="7"/>
  <c r="K169" i="7"/>
  <c r="J169" i="7"/>
  <c r="H169" i="7"/>
  <c r="G169" i="7"/>
  <c r="A169" i="7"/>
  <c r="L168" i="7"/>
  <c r="K168" i="7"/>
  <c r="J168" i="7"/>
  <c r="H168" i="7"/>
  <c r="G168" i="7"/>
  <c r="A168" i="7"/>
  <c r="L167" i="7"/>
  <c r="K167" i="7"/>
  <c r="J167" i="7"/>
  <c r="H167" i="7"/>
  <c r="G167" i="7"/>
  <c r="A167" i="7"/>
  <c r="L166" i="7"/>
  <c r="K166" i="7"/>
  <c r="J166" i="7"/>
  <c r="H166" i="7"/>
  <c r="G166" i="7"/>
  <c r="A166" i="7"/>
  <c r="L165" i="7"/>
  <c r="K165" i="7"/>
  <c r="J165" i="7"/>
  <c r="H165" i="7"/>
  <c r="G165" i="7"/>
  <c r="A165" i="7"/>
  <c r="L164" i="7"/>
  <c r="K164" i="7"/>
  <c r="J164" i="7"/>
  <c r="H164" i="7"/>
  <c r="G164" i="7"/>
  <c r="A164" i="7"/>
  <c r="L163" i="7"/>
  <c r="K163" i="7"/>
  <c r="J163" i="7"/>
  <c r="H163" i="7"/>
  <c r="G163" i="7"/>
  <c r="A163" i="7"/>
  <c r="L162" i="7"/>
  <c r="K162" i="7"/>
  <c r="J162" i="7"/>
  <c r="H162" i="7"/>
  <c r="G162" i="7"/>
  <c r="A162" i="7"/>
  <c r="L161" i="7"/>
  <c r="K161" i="7"/>
  <c r="J161" i="7"/>
  <c r="H161" i="7"/>
  <c r="G161" i="7"/>
  <c r="A161" i="7"/>
  <c r="L160" i="7"/>
  <c r="K160" i="7"/>
  <c r="J160" i="7"/>
  <c r="H160" i="7"/>
  <c r="G160" i="7"/>
  <c r="A160" i="7"/>
  <c r="L159" i="7"/>
  <c r="K159" i="7"/>
  <c r="J159" i="7"/>
  <c r="H159" i="7"/>
  <c r="G159" i="7"/>
  <c r="A159" i="7"/>
  <c r="L158" i="7"/>
  <c r="K158" i="7"/>
  <c r="J158" i="7"/>
  <c r="H158" i="7"/>
  <c r="G158" i="7"/>
  <c r="A158" i="7"/>
  <c r="L157" i="7"/>
  <c r="K157" i="7"/>
  <c r="J157" i="7"/>
  <c r="H157" i="7"/>
  <c r="G157" i="7"/>
  <c r="A157" i="7"/>
  <c r="L156" i="7"/>
  <c r="K156" i="7"/>
  <c r="J156" i="7"/>
  <c r="H156" i="7"/>
  <c r="G156" i="7"/>
  <c r="A156" i="7"/>
  <c r="L155" i="7"/>
  <c r="K155" i="7"/>
  <c r="J155" i="7"/>
  <c r="H155" i="7"/>
  <c r="G155" i="7"/>
  <c r="A155" i="7"/>
  <c r="L154" i="7"/>
  <c r="K154" i="7"/>
  <c r="J154" i="7"/>
  <c r="H154" i="7"/>
  <c r="G154" i="7"/>
  <c r="A154" i="7"/>
  <c r="L153" i="7"/>
  <c r="K153" i="7"/>
  <c r="J153" i="7"/>
  <c r="H153" i="7"/>
  <c r="G153" i="7"/>
  <c r="A153" i="7"/>
  <c r="L152" i="7"/>
  <c r="K152" i="7"/>
  <c r="J152" i="7"/>
  <c r="H152" i="7"/>
  <c r="G152" i="7"/>
  <c r="A152" i="7"/>
  <c r="L151" i="7"/>
  <c r="K151" i="7"/>
  <c r="J151" i="7"/>
  <c r="H151" i="7"/>
  <c r="G151" i="7"/>
  <c r="A151" i="7"/>
  <c r="L150" i="7"/>
  <c r="K150" i="7"/>
  <c r="J150" i="7"/>
  <c r="H150" i="7"/>
  <c r="G150" i="7"/>
  <c r="A150" i="7"/>
  <c r="L149" i="7"/>
  <c r="K149" i="7"/>
  <c r="J149" i="7"/>
  <c r="H149" i="7"/>
  <c r="G149" i="7"/>
  <c r="A149" i="7"/>
  <c r="L148" i="7"/>
  <c r="K148" i="7"/>
  <c r="J148" i="7"/>
  <c r="H148" i="7"/>
  <c r="G148" i="7"/>
  <c r="A148" i="7"/>
  <c r="L147" i="7"/>
  <c r="K147" i="7"/>
  <c r="J147" i="7"/>
  <c r="H147" i="7"/>
  <c r="G147" i="7"/>
  <c r="A147" i="7"/>
  <c r="L146" i="7"/>
  <c r="K146" i="7"/>
  <c r="J146" i="7"/>
  <c r="H146" i="7"/>
  <c r="G146" i="7"/>
  <c r="A146" i="7"/>
  <c r="L145" i="7"/>
  <c r="K145" i="7"/>
  <c r="J145" i="7"/>
  <c r="H145" i="7"/>
  <c r="G145" i="7"/>
  <c r="A145" i="7"/>
  <c r="L144" i="7"/>
  <c r="K144" i="7"/>
  <c r="J144" i="7"/>
  <c r="H144" i="7"/>
  <c r="G144" i="7"/>
  <c r="A144" i="7"/>
  <c r="L143" i="7"/>
  <c r="K143" i="7"/>
  <c r="J143" i="7"/>
  <c r="H143" i="7"/>
  <c r="G143" i="7"/>
  <c r="A143" i="7"/>
  <c r="L142" i="7"/>
  <c r="K142" i="7"/>
  <c r="J142" i="7"/>
  <c r="H142" i="7"/>
  <c r="G142" i="7"/>
  <c r="A142" i="7"/>
  <c r="L141" i="7"/>
  <c r="K141" i="7"/>
  <c r="J141" i="7"/>
  <c r="H141" i="7"/>
  <c r="G141" i="7"/>
  <c r="A141" i="7"/>
  <c r="L140" i="7"/>
  <c r="K140" i="7"/>
  <c r="J140" i="7"/>
  <c r="H140" i="7"/>
  <c r="G140" i="7"/>
  <c r="A140" i="7"/>
  <c r="L139" i="7"/>
  <c r="K139" i="7"/>
  <c r="J139" i="7"/>
  <c r="H139" i="7"/>
  <c r="G139" i="7"/>
  <c r="A139" i="7"/>
  <c r="L138" i="7"/>
  <c r="K138" i="7"/>
  <c r="J138" i="7"/>
  <c r="H138" i="7"/>
  <c r="G138" i="7"/>
  <c r="A138" i="7"/>
  <c r="L137" i="7"/>
  <c r="K137" i="7"/>
  <c r="J137" i="7"/>
  <c r="H137" i="7"/>
  <c r="G137" i="7"/>
  <c r="A137" i="7"/>
  <c r="L136" i="7"/>
  <c r="K136" i="7"/>
  <c r="J136" i="7"/>
  <c r="H136" i="7"/>
  <c r="G136" i="7"/>
  <c r="A136" i="7"/>
  <c r="L135" i="7"/>
  <c r="K135" i="7"/>
  <c r="J135" i="7"/>
  <c r="H135" i="7"/>
  <c r="G135" i="7"/>
  <c r="A135" i="7"/>
  <c r="L134" i="7"/>
  <c r="K134" i="7"/>
  <c r="J134" i="7"/>
  <c r="H134" i="7"/>
  <c r="G134" i="7"/>
  <c r="A134" i="7"/>
  <c r="L133" i="7"/>
  <c r="K133" i="7"/>
  <c r="J133" i="7"/>
  <c r="H133" i="7"/>
  <c r="G133" i="7"/>
  <c r="A133" i="7"/>
  <c r="L132" i="7"/>
  <c r="K132" i="7"/>
  <c r="J132" i="7"/>
  <c r="H132" i="7"/>
  <c r="G132" i="7"/>
  <c r="A132" i="7"/>
  <c r="L131" i="7"/>
  <c r="K131" i="7"/>
  <c r="J131" i="7"/>
  <c r="H131" i="7"/>
  <c r="G131" i="7"/>
  <c r="A131" i="7"/>
  <c r="L130" i="7"/>
  <c r="K130" i="7"/>
  <c r="J130" i="7"/>
  <c r="H130" i="7"/>
  <c r="G130" i="7"/>
  <c r="A130" i="7"/>
  <c r="L129" i="7"/>
  <c r="K129" i="7"/>
  <c r="J129" i="7"/>
  <c r="H129" i="7"/>
  <c r="G129" i="7"/>
  <c r="A129" i="7"/>
  <c r="L128" i="7"/>
  <c r="K128" i="7"/>
  <c r="J128" i="7"/>
  <c r="H128" i="7"/>
  <c r="G128" i="7"/>
  <c r="A128" i="7"/>
  <c r="L127" i="7"/>
  <c r="K127" i="7"/>
  <c r="J127" i="7"/>
  <c r="H127" i="7"/>
  <c r="G127" i="7"/>
  <c r="A127" i="7"/>
  <c r="L126" i="7"/>
  <c r="K126" i="7"/>
  <c r="J126" i="7"/>
  <c r="H126" i="7"/>
  <c r="G126" i="7"/>
  <c r="A126" i="7"/>
  <c r="L125" i="7"/>
  <c r="K125" i="7"/>
  <c r="J125" i="7"/>
  <c r="H125" i="7"/>
  <c r="G125" i="7"/>
  <c r="A125" i="7"/>
  <c r="L124" i="7"/>
  <c r="K124" i="7"/>
  <c r="J124" i="7"/>
  <c r="H124" i="7"/>
  <c r="G124" i="7"/>
  <c r="A124" i="7"/>
  <c r="L123" i="7"/>
  <c r="K123" i="7"/>
  <c r="J123" i="7"/>
  <c r="H123" i="7"/>
  <c r="G123" i="7"/>
  <c r="A123" i="7"/>
  <c r="L122" i="7"/>
  <c r="K122" i="7"/>
  <c r="J122" i="7"/>
  <c r="H122" i="7"/>
  <c r="G122" i="7"/>
  <c r="A122" i="7"/>
  <c r="L121" i="7"/>
  <c r="K121" i="7"/>
  <c r="J121" i="7"/>
  <c r="H121" i="7"/>
  <c r="G121" i="7"/>
  <c r="A121" i="7"/>
  <c r="L120" i="7"/>
  <c r="K120" i="7"/>
  <c r="J120" i="7"/>
  <c r="H120" i="7"/>
  <c r="G120" i="7"/>
  <c r="A120" i="7"/>
  <c r="L119" i="7"/>
  <c r="K119" i="7"/>
  <c r="J119" i="7"/>
  <c r="H119" i="7"/>
  <c r="G119" i="7"/>
  <c r="A119" i="7"/>
  <c r="L118" i="7"/>
  <c r="K118" i="7"/>
  <c r="J118" i="7"/>
  <c r="H118" i="7"/>
  <c r="G118" i="7"/>
  <c r="A118" i="7"/>
  <c r="L117" i="7"/>
  <c r="K117" i="7"/>
  <c r="J117" i="7"/>
  <c r="H117" i="7"/>
  <c r="G117" i="7"/>
  <c r="A117" i="7"/>
  <c r="L116" i="7"/>
  <c r="K116" i="7"/>
  <c r="J116" i="7"/>
  <c r="H116" i="7"/>
  <c r="G116" i="7"/>
  <c r="A116" i="7"/>
  <c r="L115" i="7"/>
  <c r="K115" i="7"/>
  <c r="J115" i="7"/>
  <c r="H115" i="7"/>
  <c r="G115" i="7"/>
  <c r="A115" i="7"/>
  <c r="L114" i="7"/>
  <c r="K114" i="7"/>
  <c r="J114" i="7"/>
  <c r="H114" i="7"/>
  <c r="G114" i="7"/>
  <c r="A114" i="7"/>
  <c r="L113" i="7"/>
  <c r="K113" i="7"/>
  <c r="J113" i="7"/>
  <c r="H113" i="7"/>
  <c r="G113" i="7"/>
  <c r="A113" i="7"/>
  <c r="L112" i="7"/>
  <c r="K112" i="7"/>
  <c r="J112" i="7"/>
  <c r="H112" i="7"/>
  <c r="G112" i="7"/>
  <c r="A112" i="7"/>
  <c r="L111" i="7"/>
  <c r="K111" i="7"/>
  <c r="J111" i="7"/>
  <c r="H111" i="7"/>
  <c r="G111" i="7"/>
  <c r="A111" i="7"/>
  <c r="L110" i="7"/>
  <c r="K110" i="7"/>
  <c r="J110" i="7"/>
  <c r="H110" i="7"/>
  <c r="G110" i="7"/>
  <c r="A110" i="7"/>
  <c r="L109" i="7"/>
  <c r="K109" i="7"/>
  <c r="J109" i="7"/>
  <c r="H109" i="7"/>
  <c r="G109" i="7"/>
  <c r="A109" i="7"/>
  <c r="L108" i="7"/>
  <c r="K108" i="7"/>
  <c r="J108" i="7"/>
  <c r="H108" i="7"/>
  <c r="G108" i="7"/>
  <c r="A108" i="7"/>
  <c r="L107" i="7"/>
  <c r="K107" i="7"/>
  <c r="J107" i="7"/>
  <c r="H107" i="7"/>
  <c r="G107" i="7"/>
  <c r="A107" i="7"/>
  <c r="L106" i="7"/>
  <c r="K106" i="7"/>
  <c r="J106" i="7"/>
  <c r="H106" i="7"/>
  <c r="G106" i="7"/>
  <c r="A106" i="7"/>
  <c r="L105" i="7"/>
  <c r="K105" i="7"/>
  <c r="J105" i="7"/>
  <c r="H105" i="7"/>
  <c r="G105" i="7"/>
  <c r="A105" i="7"/>
  <c r="L104" i="7"/>
  <c r="K104" i="7"/>
  <c r="J104" i="7"/>
  <c r="H104" i="7"/>
  <c r="G104" i="7"/>
  <c r="A104" i="7"/>
  <c r="L103" i="7"/>
  <c r="K103" i="7"/>
  <c r="J103" i="7"/>
  <c r="H103" i="7"/>
  <c r="G103" i="7"/>
  <c r="A103" i="7"/>
  <c r="H102" i="7"/>
  <c r="A102" i="7"/>
  <c r="H101" i="7"/>
  <c r="A101" i="7"/>
  <c r="H100" i="7"/>
  <c r="A100" i="7"/>
  <c r="H99" i="7"/>
  <c r="A99" i="7"/>
  <c r="H98" i="7"/>
  <c r="A98" i="7"/>
  <c r="H97" i="7"/>
  <c r="A97" i="7"/>
  <c r="H96" i="7"/>
  <c r="A96" i="7"/>
  <c r="H95" i="7"/>
  <c r="A95" i="7"/>
  <c r="H94" i="7"/>
  <c r="A94" i="7"/>
  <c r="H93" i="7"/>
  <c r="A93" i="7"/>
  <c r="H92" i="7"/>
  <c r="A92" i="7"/>
  <c r="H91" i="7"/>
  <c r="A91" i="7"/>
  <c r="H90" i="7"/>
  <c r="A90" i="7"/>
  <c r="H89" i="7"/>
  <c r="A89" i="7"/>
  <c r="H88" i="7"/>
  <c r="A88" i="7"/>
  <c r="H87" i="7"/>
  <c r="A87" i="7"/>
  <c r="H86" i="7"/>
  <c r="A86" i="7"/>
  <c r="H85" i="7"/>
  <c r="A85" i="7"/>
  <c r="H84" i="7"/>
  <c r="A84" i="7"/>
  <c r="H83" i="7"/>
  <c r="A83" i="7"/>
  <c r="H82" i="7"/>
  <c r="A82" i="7"/>
  <c r="H81" i="7"/>
  <c r="A81" i="7"/>
  <c r="H80" i="7"/>
  <c r="A80" i="7"/>
  <c r="H79" i="7"/>
  <c r="A79" i="7"/>
  <c r="H78" i="7"/>
  <c r="A78" i="7"/>
  <c r="H77" i="7"/>
  <c r="A77" i="7"/>
  <c r="H76" i="7"/>
  <c r="A76" i="7"/>
  <c r="H75" i="7"/>
  <c r="A75" i="7"/>
  <c r="H74" i="7"/>
  <c r="A74" i="7"/>
  <c r="H73" i="7"/>
  <c r="A73" i="7"/>
  <c r="H72" i="7"/>
  <c r="A72" i="7"/>
  <c r="H71" i="7"/>
  <c r="A71" i="7"/>
  <c r="H70" i="7"/>
  <c r="A70" i="7"/>
  <c r="H69" i="7"/>
  <c r="A69" i="7"/>
  <c r="H68" i="7"/>
  <c r="A68" i="7"/>
  <c r="H67" i="7"/>
  <c r="A67" i="7"/>
  <c r="H66" i="7"/>
  <c r="A66" i="7"/>
  <c r="H65" i="7"/>
  <c r="A65" i="7"/>
  <c r="H64" i="7"/>
  <c r="A64" i="7"/>
  <c r="H63" i="7"/>
  <c r="A63" i="7"/>
  <c r="H62" i="7"/>
  <c r="A62" i="7"/>
  <c r="H61" i="7"/>
  <c r="A61" i="7"/>
  <c r="H60" i="7"/>
  <c r="A60" i="7"/>
  <c r="H59" i="7"/>
  <c r="A59" i="7"/>
  <c r="H58" i="7"/>
  <c r="A58" i="7"/>
  <c r="H57" i="7"/>
  <c r="A57" i="7"/>
  <c r="H56" i="7"/>
  <c r="A56" i="7"/>
  <c r="H55" i="7"/>
  <c r="A55" i="7"/>
  <c r="H54" i="7"/>
  <c r="A54" i="7"/>
  <c r="H53" i="7"/>
  <c r="A53" i="7"/>
  <c r="H52" i="7"/>
  <c r="A52" i="7"/>
  <c r="H51" i="7"/>
  <c r="A51" i="7"/>
  <c r="H50" i="7"/>
  <c r="A50" i="7"/>
  <c r="H49" i="7"/>
  <c r="A49" i="7"/>
  <c r="H48" i="7"/>
  <c r="A48" i="7"/>
  <c r="H47" i="7"/>
  <c r="A47" i="7"/>
  <c r="H46" i="7"/>
  <c r="A46" i="7"/>
  <c r="H45" i="7"/>
  <c r="A45" i="7"/>
  <c r="H44" i="7"/>
  <c r="A44" i="7"/>
  <c r="H43" i="7"/>
  <c r="A43" i="7"/>
  <c r="H42" i="7"/>
  <c r="A42" i="7"/>
  <c r="H41" i="7"/>
  <c r="A41" i="7"/>
  <c r="H40" i="7"/>
  <c r="A40" i="7"/>
  <c r="H39" i="7"/>
  <c r="A39" i="7"/>
  <c r="H38" i="7"/>
  <c r="A38" i="7"/>
  <c r="H37" i="7"/>
  <c r="A37" i="7"/>
  <c r="H36" i="7"/>
  <c r="A36" i="7"/>
  <c r="H35" i="7"/>
  <c r="A35" i="7"/>
  <c r="H34" i="7"/>
  <c r="A34" i="7"/>
  <c r="H33" i="7"/>
  <c r="A33" i="7"/>
  <c r="H32" i="7"/>
  <c r="A32" i="7"/>
  <c r="H31" i="7"/>
  <c r="A31" i="7"/>
  <c r="H30" i="7"/>
  <c r="A30" i="7"/>
  <c r="H29" i="7"/>
  <c r="A29" i="7"/>
  <c r="H28" i="7"/>
  <c r="A28" i="7"/>
  <c r="A27" i="7"/>
  <c r="A26" i="7"/>
  <c r="A25" i="7"/>
  <c r="A24" i="7"/>
  <c r="A23" i="7"/>
  <c r="A22" i="7"/>
  <c r="A21" i="7"/>
  <c r="H20" i="7"/>
  <c r="A20" i="7"/>
  <c r="H19" i="7"/>
  <c r="A19" i="7"/>
  <c r="H18" i="7"/>
  <c r="A18" i="7"/>
  <c r="H17" i="7"/>
  <c r="A17" i="7"/>
  <c r="H16" i="7"/>
  <c r="A16" i="7"/>
  <c r="H15" i="7"/>
  <c r="A15" i="7"/>
  <c r="H14" i="7"/>
  <c r="A14" i="7"/>
  <c r="H13" i="7"/>
  <c r="A13" i="7"/>
  <c r="H12" i="7"/>
  <c r="A12" i="7"/>
  <c r="H11" i="7"/>
  <c r="A11" i="7"/>
  <c r="H10" i="7"/>
  <c r="A10" i="7"/>
  <c r="H9" i="7"/>
  <c r="A9" i="7"/>
  <c r="H8" i="7"/>
  <c r="A8" i="7"/>
  <c r="H7" i="7"/>
  <c r="A7" i="7"/>
  <c r="H6" i="7"/>
  <c r="G6" i="7"/>
  <c r="G7" i="7" s="1"/>
  <c r="A6" i="7"/>
  <c r="G5" i="7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J103" i="3"/>
  <c r="K103" i="3"/>
  <c r="L103" i="3"/>
  <c r="J104" i="3"/>
  <c r="K104" i="3"/>
  <c r="L104" i="3"/>
  <c r="J105" i="3"/>
  <c r="K105" i="3"/>
  <c r="L105" i="3"/>
  <c r="J106" i="3"/>
  <c r="K106" i="3"/>
  <c r="L106" i="3"/>
  <c r="J107" i="3"/>
  <c r="K107" i="3"/>
  <c r="L107" i="3"/>
  <c r="J108" i="3"/>
  <c r="K108" i="3"/>
  <c r="L108" i="3"/>
  <c r="J109" i="3"/>
  <c r="K109" i="3"/>
  <c r="L109" i="3"/>
  <c r="J110" i="3"/>
  <c r="K110" i="3"/>
  <c r="L110" i="3"/>
  <c r="J111" i="3"/>
  <c r="K111" i="3"/>
  <c r="L111" i="3"/>
  <c r="J112" i="3"/>
  <c r="K112" i="3"/>
  <c r="L112" i="3"/>
  <c r="J113" i="3"/>
  <c r="K113" i="3"/>
  <c r="L113" i="3"/>
  <c r="J114" i="3"/>
  <c r="K114" i="3"/>
  <c r="L114" i="3"/>
  <c r="J115" i="3"/>
  <c r="K115" i="3"/>
  <c r="L115" i="3"/>
  <c r="J116" i="3"/>
  <c r="K116" i="3"/>
  <c r="L116" i="3"/>
  <c r="J117" i="3"/>
  <c r="K117" i="3"/>
  <c r="L117" i="3"/>
  <c r="J118" i="3"/>
  <c r="K118" i="3"/>
  <c r="L118" i="3"/>
  <c r="J119" i="3"/>
  <c r="K119" i="3"/>
  <c r="L119" i="3"/>
  <c r="J120" i="3"/>
  <c r="K120" i="3"/>
  <c r="L120" i="3"/>
  <c r="J121" i="3"/>
  <c r="K121" i="3"/>
  <c r="L121" i="3"/>
  <c r="J122" i="3"/>
  <c r="K122" i="3"/>
  <c r="L122" i="3"/>
  <c r="J123" i="3"/>
  <c r="K123" i="3"/>
  <c r="L123" i="3"/>
  <c r="J124" i="3"/>
  <c r="K124" i="3"/>
  <c r="L124" i="3"/>
  <c r="J125" i="3"/>
  <c r="K125" i="3"/>
  <c r="L125" i="3"/>
  <c r="J126" i="3"/>
  <c r="K126" i="3"/>
  <c r="L126" i="3"/>
  <c r="J127" i="3"/>
  <c r="K127" i="3"/>
  <c r="L127" i="3"/>
  <c r="J128" i="3"/>
  <c r="K128" i="3"/>
  <c r="L128" i="3"/>
  <c r="J129" i="3"/>
  <c r="K129" i="3"/>
  <c r="L129" i="3"/>
  <c r="J130" i="3"/>
  <c r="K130" i="3"/>
  <c r="L130" i="3"/>
  <c r="J131" i="3"/>
  <c r="K131" i="3"/>
  <c r="L131" i="3"/>
  <c r="J132" i="3"/>
  <c r="K132" i="3"/>
  <c r="L132" i="3"/>
  <c r="J133" i="3"/>
  <c r="K133" i="3"/>
  <c r="L133" i="3"/>
  <c r="J134" i="3"/>
  <c r="K134" i="3"/>
  <c r="L134" i="3"/>
  <c r="J135" i="3"/>
  <c r="K135" i="3"/>
  <c r="L135" i="3"/>
  <c r="J136" i="3"/>
  <c r="K136" i="3"/>
  <c r="L136" i="3"/>
  <c r="J137" i="3"/>
  <c r="K137" i="3"/>
  <c r="L137" i="3"/>
  <c r="J138" i="3"/>
  <c r="K138" i="3"/>
  <c r="L138" i="3"/>
  <c r="J139" i="3"/>
  <c r="K139" i="3"/>
  <c r="L139" i="3"/>
  <c r="J140" i="3"/>
  <c r="K140" i="3"/>
  <c r="L140" i="3"/>
  <c r="J141" i="3"/>
  <c r="K141" i="3"/>
  <c r="L141" i="3"/>
  <c r="J142" i="3"/>
  <c r="K142" i="3"/>
  <c r="L142" i="3"/>
  <c r="J143" i="3"/>
  <c r="K143" i="3"/>
  <c r="L143" i="3"/>
  <c r="J144" i="3"/>
  <c r="K144" i="3"/>
  <c r="L144" i="3"/>
  <c r="J145" i="3"/>
  <c r="K145" i="3"/>
  <c r="L145" i="3"/>
  <c r="J146" i="3"/>
  <c r="K146" i="3"/>
  <c r="L146" i="3"/>
  <c r="J147" i="3"/>
  <c r="K147" i="3"/>
  <c r="L147" i="3"/>
  <c r="J148" i="3"/>
  <c r="K148" i="3"/>
  <c r="L148" i="3"/>
  <c r="J149" i="3"/>
  <c r="K149" i="3"/>
  <c r="L149" i="3"/>
  <c r="J150" i="3"/>
  <c r="K150" i="3"/>
  <c r="L150" i="3"/>
  <c r="J151" i="3"/>
  <c r="K151" i="3"/>
  <c r="L151" i="3"/>
  <c r="J152" i="3"/>
  <c r="K152" i="3"/>
  <c r="L152" i="3"/>
  <c r="J153" i="3"/>
  <c r="K153" i="3"/>
  <c r="L153" i="3"/>
  <c r="J154" i="3"/>
  <c r="K154" i="3"/>
  <c r="L154" i="3"/>
  <c r="J155" i="3"/>
  <c r="K155" i="3"/>
  <c r="L155" i="3"/>
  <c r="J156" i="3"/>
  <c r="K156" i="3"/>
  <c r="L156" i="3"/>
  <c r="J157" i="3"/>
  <c r="K157" i="3"/>
  <c r="L157" i="3"/>
  <c r="J158" i="3"/>
  <c r="K158" i="3"/>
  <c r="L158" i="3"/>
  <c r="J159" i="3"/>
  <c r="K159" i="3"/>
  <c r="L159" i="3"/>
  <c r="J160" i="3"/>
  <c r="K160" i="3"/>
  <c r="L160" i="3"/>
  <c r="J161" i="3"/>
  <c r="K161" i="3"/>
  <c r="L161" i="3"/>
  <c r="J162" i="3"/>
  <c r="K162" i="3"/>
  <c r="L162" i="3"/>
  <c r="J163" i="3"/>
  <c r="K163" i="3"/>
  <c r="L163" i="3"/>
  <c r="J164" i="3"/>
  <c r="K164" i="3"/>
  <c r="L164" i="3"/>
  <c r="J165" i="3"/>
  <c r="K165" i="3"/>
  <c r="L165" i="3"/>
  <c r="J166" i="3"/>
  <c r="K166" i="3"/>
  <c r="L166" i="3"/>
  <c r="J167" i="3"/>
  <c r="K167" i="3"/>
  <c r="L167" i="3"/>
  <c r="J168" i="3"/>
  <c r="K168" i="3"/>
  <c r="L168" i="3"/>
  <c r="J169" i="3"/>
  <c r="K169" i="3"/>
  <c r="L169" i="3"/>
  <c r="J170" i="3"/>
  <c r="K170" i="3"/>
  <c r="L170" i="3"/>
  <c r="J171" i="3"/>
  <c r="K171" i="3"/>
  <c r="L171" i="3"/>
  <c r="J172" i="3"/>
  <c r="K172" i="3"/>
  <c r="L172" i="3"/>
  <c r="J173" i="3"/>
  <c r="K173" i="3"/>
  <c r="L173" i="3"/>
  <c r="J174" i="3"/>
  <c r="K174" i="3"/>
  <c r="L174" i="3"/>
  <c r="J175" i="3"/>
  <c r="K175" i="3"/>
  <c r="L175" i="3"/>
  <c r="J176" i="3"/>
  <c r="K176" i="3"/>
  <c r="L176" i="3"/>
  <c r="J177" i="3"/>
  <c r="K177" i="3"/>
  <c r="L177" i="3"/>
  <c r="J178" i="3"/>
  <c r="K178" i="3"/>
  <c r="L178" i="3"/>
  <c r="J179" i="3"/>
  <c r="K179" i="3"/>
  <c r="L179" i="3"/>
  <c r="J180" i="3"/>
  <c r="K180" i="3"/>
  <c r="L180" i="3"/>
  <c r="J181" i="3"/>
  <c r="K181" i="3"/>
  <c r="L181" i="3"/>
  <c r="J182" i="3"/>
  <c r="K182" i="3"/>
  <c r="L182" i="3"/>
  <c r="J183" i="3"/>
  <c r="K183" i="3"/>
  <c r="L183" i="3"/>
  <c r="J184" i="3"/>
  <c r="K184" i="3"/>
  <c r="L184" i="3"/>
  <c r="J185" i="3"/>
  <c r="K185" i="3"/>
  <c r="L185" i="3"/>
  <c r="J186" i="3"/>
  <c r="K186" i="3"/>
  <c r="L186" i="3"/>
  <c r="J187" i="3"/>
  <c r="K187" i="3"/>
  <c r="L187" i="3"/>
  <c r="J188" i="3"/>
  <c r="K188" i="3"/>
  <c r="L188" i="3"/>
  <c r="J189" i="3"/>
  <c r="K189" i="3"/>
  <c r="L189" i="3"/>
  <c r="J190" i="3"/>
  <c r="K190" i="3"/>
  <c r="L190" i="3"/>
  <c r="J191" i="3"/>
  <c r="K191" i="3"/>
  <c r="L191" i="3"/>
  <c r="J192" i="3"/>
  <c r="K192" i="3"/>
  <c r="L192" i="3"/>
  <c r="J193" i="3"/>
  <c r="K193" i="3"/>
  <c r="L193" i="3"/>
  <c r="J194" i="3"/>
  <c r="K194" i="3"/>
  <c r="L194" i="3"/>
  <c r="J195" i="3"/>
  <c r="K195" i="3"/>
  <c r="L195" i="3"/>
  <c r="J196" i="3"/>
  <c r="K196" i="3"/>
  <c r="L196" i="3"/>
  <c r="J197" i="3"/>
  <c r="K197" i="3"/>
  <c r="L197" i="3"/>
  <c r="J198" i="3"/>
  <c r="K198" i="3"/>
  <c r="L198" i="3"/>
  <c r="J199" i="3"/>
  <c r="K199" i="3"/>
  <c r="L199" i="3"/>
  <c r="J200" i="3"/>
  <c r="K200" i="3"/>
  <c r="L200" i="3"/>
  <c r="J201" i="3"/>
  <c r="K201" i="3"/>
  <c r="L201" i="3"/>
  <c r="J202" i="3"/>
  <c r="K202" i="3"/>
  <c r="L202" i="3"/>
  <c r="J203" i="3"/>
  <c r="K203" i="3"/>
  <c r="L203" i="3"/>
  <c r="J204" i="3"/>
  <c r="K204" i="3"/>
  <c r="L204" i="3"/>
  <c r="J205" i="3"/>
  <c r="K205" i="3"/>
  <c r="L205" i="3"/>
  <c r="J206" i="3"/>
  <c r="K206" i="3"/>
  <c r="L206" i="3"/>
  <c r="J207" i="3"/>
  <c r="K207" i="3"/>
  <c r="L207" i="3"/>
  <c r="J208" i="3"/>
  <c r="K208" i="3"/>
  <c r="L208" i="3"/>
  <c r="J209" i="3"/>
  <c r="K209" i="3"/>
  <c r="L209" i="3"/>
  <c r="J210" i="3"/>
  <c r="K210" i="3"/>
  <c r="L210" i="3"/>
  <c r="J211" i="3"/>
  <c r="K211" i="3"/>
  <c r="L211" i="3"/>
  <c r="J212" i="3"/>
  <c r="K212" i="3"/>
  <c r="L212" i="3"/>
  <c r="J213" i="3"/>
  <c r="K213" i="3"/>
  <c r="L213" i="3"/>
  <c r="J214" i="3"/>
  <c r="K214" i="3"/>
  <c r="L214" i="3"/>
  <c r="J215" i="3"/>
  <c r="K215" i="3"/>
  <c r="L215" i="3"/>
  <c r="J216" i="3"/>
  <c r="K216" i="3"/>
  <c r="L216" i="3"/>
  <c r="J217" i="3"/>
  <c r="K217" i="3"/>
  <c r="L217" i="3"/>
  <c r="J218" i="3"/>
  <c r="K218" i="3"/>
  <c r="L218" i="3"/>
  <c r="J219" i="3"/>
  <c r="K219" i="3"/>
  <c r="L219" i="3"/>
  <c r="J220" i="3"/>
  <c r="K220" i="3"/>
  <c r="L220" i="3"/>
  <c r="J221" i="3"/>
  <c r="K221" i="3"/>
  <c r="L221" i="3"/>
  <c r="J222" i="3"/>
  <c r="K222" i="3"/>
  <c r="L222" i="3"/>
  <c r="J223" i="3"/>
  <c r="K223" i="3"/>
  <c r="L223" i="3"/>
  <c r="J224" i="3"/>
  <c r="K224" i="3"/>
  <c r="L224" i="3"/>
  <c r="J225" i="3"/>
  <c r="K225" i="3"/>
  <c r="L225" i="3"/>
  <c r="J226" i="3"/>
  <c r="K226" i="3"/>
  <c r="L226" i="3"/>
  <c r="J227" i="3"/>
  <c r="K227" i="3"/>
  <c r="L227" i="3"/>
  <c r="J228" i="3"/>
  <c r="K228" i="3"/>
  <c r="L228" i="3"/>
  <c r="J229" i="3"/>
  <c r="K229" i="3"/>
  <c r="L229" i="3"/>
  <c r="J230" i="3"/>
  <c r="K230" i="3"/>
  <c r="L230" i="3"/>
  <c r="J231" i="3"/>
  <c r="K231" i="3"/>
  <c r="L231" i="3"/>
  <c r="J232" i="3"/>
  <c r="K232" i="3"/>
  <c r="L232" i="3"/>
  <c r="J233" i="3"/>
  <c r="K233" i="3"/>
  <c r="L233" i="3"/>
  <c r="J234" i="3"/>
  <c r="K234" i="3"/>
  <c r="L234" i="3"/>
  <c r="J235" i="3"/>
  <c r="K235" i="3"/>
  <c r="L235" i="3"/>
  <c r="J236" i="3"/>
  <c r="K236" i="3"/>
  <c r="L236" i="3"/>
  <c r="J237" i="3"/>
  <c r="K237" i="3"/>
  <c r="L237" i="3"/>
  <c r="J238" i="3"/>
  <c r="K238" i="3"/>
  <c r="L238" i="3"/>
  <c r="J239" i="3"/>
  <c r="K239" i="3"/>
  <c r="L239" i="3"/>
  <c r="J240" i="3"/>
  <c r="K240" i="3"/>
  <c r="L240" i="3"/>
  <c r="J241" i="3"/>
  <c r="K241" i="3"/>
  <c r="L241" i="3"/>
  <c r="J242" i="3"/>
  <c r="K242" i="3"/>
  <c r="L242" i="3"/>
  <c r="J243" i="3"/>
  <c r="K243" i="3"/>
  <c r="L243" i="3"/>
  <c r="J244" i="3"/>
  <c r="K244" i="3"/>
  <c r="L244" i="3"/>
  <c r="J245" i="3"/>
  <c r="K245" i="3"/>
  <c r="L245" i="3"/>
  <c r="J246" i="3"/>
  <c r="K246" i="3"/>
  <c r="L246" i="3"/>
  <c r="J247" i="3"/>
  <c r="K247" i="3"/>
  <c r="L247" i="3"/>
  <c r="J248" i="3"/>
  <c r="K248" i="3"/>
  <c r="L248" i="3"/>
  <c r="J249" i="3"/>
  <c r="K249" i="3"/>
  <c r="L249" i="3"/>
  <c r="J250" i="3"/>
  <c r="K250" i="3"/>
  <c r="L250" i="3"/>
  <c r="J251" i="3"/>
  <c r="K251" i="3"/>
  <c r="L251" i="3"/>
  <c r="J252" i="3"/>
  <c r="K252" i="3"/>
  <c r="L252" i="3"/>
  <c r="J253" i="3"/>
  <c r="K253" i="3"/>
  <c r="L253" i="3"/>
  <c r="J254" i="3"/>
  <c r="K254" i="3"/>
  <c r="L254" i="3"/>
  <c r="J255" i="3"/>
  <c r="K255" i="3"/>
  <c r="L255" i="3"/>
  <c r="J256" i="3"/>
  <c r="K256" i="3"/>
  <c r="L256" i="3"/>
  <c r="J257" i="3"/>
  <c r="K257" i="3"/>
  <c r="L257" i="3"/>
  <c r="J258" i="3"/>
  <c r="K258" i="3"/>
  <c r="L258" i="3"/>
  <c r="J259" i="3"/>
  <c r="K259" i="3"/>
  <c r="L259" i="3"/>
  <c r="J260" i="3"/>
  <c r="K260" i="3"/>
  <c r="L260" i="3"/>
  <c r="J261" i="3"/>
  <c r="K261" i="3"/>
  <c r="L261" i="3"/>
  <c r="J262" i="3"/>
  <c r="K262" i="3"/>
  <c r="L262" i="3"/>
  <c r="J263" i="3"/>
  <c r="K263" i="3"/>
  <c r="L263" i="3"/>
  <c r="J264" i="3"/>
  <c r="K264" i="3"/>
  <c r="L264" i="3"/>
  <c r="J265" i="3"/>
  <c r="K265" i="3"/>
  <c r="L265" i="3"/>
  <c r="J266" i="3"/>
  <c r="K266" i="3"/>
  <c r="L266" i="3"/>
  <c r="J267" i="3"/>
  <c r="K267" i="3"/>
  <c r="L267" i="3"/>
  <c r="J268" i="3"/>
  <c r="K268" i="3"/>
  <c r="L268" i="3"/>
  <c r="J269" i="3"/>
  <c r="K269" i="3"/>
  <c r="L269" i="3"/>
  <c r="J270" i="3"/>
  <c r="K270" i="3"/>
  <c r="L270" i="3"/>
  <c r="J271" i="3"/>
  <c r="K271" i="3"/>
  <c r="L271" i="3"/>
  <c r="J272" i="3"/>
  <c r="K272" i="3"/>
  <c r="L272" i="3"/>
  <c r="J273" i="3"/>
  <c r="K273" i="3"/>
  <c r="L273" i="3"/>
  <c r="J274" i="3"/>
  <c r="K274" i="3"/>
  <c r="L274" i="3"/>
  <c r="J275" i="3"/>
  <c r="K275" i="3"/>
  <c r="L275" i="3"/>
  <c r="J276" i="3"/>
  <c r="K276" i="3"/>
  <c r="L276" i="3"/>
  <c r="J277" i="3"/>
  <c r="K277" i="3"/>
  <c r="L277" i="3"/>
  <c r="J278" i="3"/>
  <c r="K278" i="3"/>
  <c r="L278" i="3"/>
  <c r="J279" i="3"/>
  <c r="K279" i="3"/>
  <c r="L279" i="3"/>
  <c r="J280" i="3"/>
  <c r="K280" i="3"/>
  <c r="L280" i="3"/>
  <c r="J281" i="3"/>
  <c r="K281" i="3"/>
  <c r="L281" i="3"/>
  <c r="J282" i="3"/>
  <c r="K282" i="3"/>
  <c r="L282" i="3"/>
  <c r="J283" i="3"/>
  <c r="K283" i="3"/>
  <c r="L283" i="3"/>
  <c r="J284" i="3"/>
  <c r="K284" i="3"/>
  <c r="L284" i="3"/>
  <c r="J285" i="3"/>
  <c r="K285" i="3"/>
  <c r="L285" i="3"/>
  <c r="J286" i="3"/>
  <c r="K286" i="3"/>
  <c r="L286" i="3"/>
  <c r="J287" i="3"/>
  <c r="K287" i="3"/>
  <c r="L287" i="3"/>
  <c r="J288" i="3"/>
  <c r="K288" i="3"/>
  <c r="L288" i="3"/>
  <c r="J289" i="3"/>
  <c r="K289" i="3"/>
  <c r="L289" i="3"/>
  <c r="J290" i="3"/>
  <c r="K290" i="3"/>
  <c r="L290" i="3"/>
  <c r="J291" i="3"/>
  <c r="K291" i="3"/>
  <c r="L291" i="3"/>
  <c r="J292" i="3"/>
  <c r="K292" i="3"/>
  <c r="L292" i="3"/>
  <c r="J293" i="3"/>
  <c r="K293" i="3"/>
  <c r="L293" i="3"/>
  <c r="J294" i="3"/>
  <c r="K294" i="3"/>
  <c r="L294" i="3"/>
  <c r="J295" i="3"/>
  <c r="K295" i="3"/>
  <c r="L295" i="3"/>
  <c r="J296" i="3"/>
  <c r="K296" i="3"/>
  <c r="L296" i="3"/>
  <c r="J297" i="3"/>
  <c r="K297" i="3"/>
  <c r="L297" i="3"/>
  <c r="J298" i="3"/>
  <c r="K298" i="3"/>
  <c r="L298" i="3"/>
  <c r="J299" i="3"/>
  <c r="K299" i="3"/>
  <c r="L299" i="3"/>
  <c r="J300" i="3"/>
  <c r="K300" i="3"/>
  <c r="L300" i="3"/>
  <c r="J301" i="3"/>
  <c r="K301" i="3"/>
  <c r="L301" i="3"/>
  <c r="J302" i="3"/>
  <c r="K302" i="3"/>
  <c r="L302" i="3"/>
  <c r="J303" i="3"/>
  <c r="K303" i="3"/>
  <c r="L303" i="3"/>
  <c r="J304" i="3"/>
  <c r="K304" i="3"/>
  <c r="L304" i="3"/>
  <c r="J305" i="3"/>
  <c r="K305" i="3"/>
  <c r="L305" i="3"/>
  <c r="J306" i="3"/>
  <c r="K306" i="3"/>
  <c r="L306" i="3"/>
  <c r="J307" i="3"/>
  <c r="K307" i="3"/>
  <c r="L307" i="3"/>
  <c r="J308" i="3"/>
  <c r="K308" i="3"/>
  <c r="L308" i="3"/>
  <c r="J309" i="3"/>
  <c r="K309" i="3"/>
  <c r="L309" i="3"/>
  <c r="J310" i="3"/>
  <c r="K310" i="3"/>
  <c r="L310" i="3"/>
  <c r="J311" i="3"/>
  <c r="K311" i="3"/>
  <c r="L311" i="3"/>
  <c r="J312" i="3"/>
  <c r="K312" i="3"/>
  <c r="L312" i="3"/>
  <c r="J313" i="3"/>
  <c r="K313" i="3"/>
  <c r="L313" i="3"/>
  <c r="J314" i="3"/>
  <c r="K314" i="3"/>
  <c r="L314" i="3"/>
  <c r="J315" i="3"/>
  <c r="K315" i="3"/>
  <c r="L315" i="3"/>
  <c r="J316" i="3"/>
  <c r="K316" i="3"/>
  <c r="L316" i="3"/>
  <c r="J317" i="3"/>
  <c r="K317" i="3"/>
  <c r="L317" i="3"/>
  <c r="J318" i="3"/>
  <c r="K318" i="3"/>
  <c r="L318" i="3"/>
  <c r="J319" i="3"/>
  <c r="K319" i="3"/>
  <c r="L319" i="3"/>
  <c r="J320" i="3"/>
  <c r="K320" i="3"/>
  <c r="L320" i="3"/>
  <c r="J321" i="3"/>
  <c r="K321" i="3"/>
  <c r="L321" i="3"/>
  <c r="J322" i="3"/>
  <c r="K322" i="3"/>
  <c r="L322" i="3"/>
  <c r="J323" i="3"/>
  <c r="K323" i="3"/>
  <c r="L323" i="3"/>
  <c r="J324" i="3"/>
  <c r="K324" i="3"/>
  <c r="L324" i="3"/>
  <c r="J325" i="3"/>
  <c r="K325" i="3"/>
  <c r="L325" i="3"/>
  <c r="J326" i="3"/>
  <c r="K326" i="3"/>
  <c r="L326" i="3"/>
  <c r="J327" i="3"/>
  <c r="K327" i="3"/>
  <c r="L327" i="3"/>
  <c r="J328" i="3"/>
  <c r="K328" i="3"/>
  <c r="L328" i="3"/>
  <c r="J329" i="3"/>
  <c r="K329" i="3"/>
  <c r="L329" i="3"/>
  <c r="J330" i="3"/>
  <c r="K330" i="3"/>
  <c r="L330" i="3"/>
  <c r="J331" i="3"/>
  <c r="K331" i="3"/>
  <c r="L331" i="3"/>
  <c r="J332" i="3"/>
  <c r="K332" i="3"/>
  <c r="L332" i="3"/>
  <c r="J333" i="3"/>
  <c r="K333" i="3"/>
  <c r="L333" i="3"/>
  <c r="J334" i="3"/>
  <c r="K334" i="3"/>
  <c r="L334" i="3"/>
  <c r="J335" i="3"/>
  <c r="K335" i="3"/>
  <c r="L335" i="3"/>
  <c r="J336" i="3"/>
  <c r="K336" i="3"/>
  <c r="L336" i="3"/>
  <c r="J337" i="3"/>
  <c r="K337" i="3"/>
  <c r="L337" i="3"/>
  <c r="J338" i="3"/>
  <c r="K338" i="3"/>
  <c r="L338" i="3"/>
  <c r="J339" i="3"/>
  <c r="K339" i="3"/>
  <c r="L339" i="3"/>
  <c r="J340" i="3"/>
  <c r="K340" i="3"/>
  <c r="L340" i="3"/>
  <c r="J341" i="3"/>
  <c r="K341" i="3"/>
  <c r="L341" i="3"/>
  <c r="J342" i="3"/>
  <c r="K342" i="3"/>
  <c r="L342" i="3"/>
  <c r="J343" i="3"/>
  <c r="K343" i="3"/>
  <c r="L343" i="3"/>
  <c r="J344" i="3"/>
  <c r="K344" i="3"/>
  <c r="L344" i="3"/>
  <c r="J345" i="3"/>
  <c r="K345" i="3"/>
  <c r="L345" i="3"/>
  <c r="J346" i="3"/>
  <c r="K346" i="3"/>
  <c r="L346" i="3"/>
  <c r="J347" i="3"/>
  <c r="K347" i="3"/>
  <c r="L347" i="3"/>
  <c r="J348" i="3"/>
  <c r="K348" i="3"/>
  <c r="L348" i="3"/>
  <c r="J349" i="3"/>
  <c r="K349" i="3"/>
  <c r="L349" i="3"/>
  <c r="J350" i="3"/>
  <c r="K350" i="3"/>
  <c r="L350" i="3"/>
  <c r="J351" i="3"/>
  <c r="K351" i="3"/>
  <c r="L351" i="3"/>
  <c r="J352" i="3"/>
  <c r="K352" i="3"/>
  <c r="L352" i="3"/>
  <c r="J353" i="3"/>
  <c r="K353" i="3"/>
  <c r="L353" i="3"/>
  <c r="J354" i="3"/>
  <c r="K354" i="3"/>
  <c r="L354" i="3"/>
  <c r="J355" i="3"/>
  <c r="K355" i="3"/>
  <c r="L355" i="3"/>
  <c r="J356" i="3"/>
  <c r="K356" i="3"/>
  <c r="L356" i="3"/>
  <c r="J357" i="3"/>
  <c r="K357" i="3"/>
  <c r="L357" i="3"/>
  <c r="J358" i="3"/>
  <c r="K358" i="3"/>
  <c r="L358" i="3"/>
  <c r="J359" i="3"/>
  <c r="K359" i="3"/>
  <c r="L359" i="3"/>
  <c r="J360" i="3"/>
  <c r="K360" i="3"/>
  <c r="L360" i="3"/>
  <c r="J361" i="3"/>
  <c r="K361" i="3"/>
  <c r="L361" i="3"/>
  <c r="J362" i="3"/>
  <c r="K362" i="3"/>
  <c r="L362" i="3"/>
  <c r="J363" i="3"/>
  <c r="K363" i="3"/>
  <c r="L363" i="3"/>
  <c r="J364" i="3"/>
  <c r="K364" i="3"/>
  <c r="L364" i="3"/>
  <c r="J365" i="3"/>
  <c r="K365" i="3"/>
  <c r="L365" i="3"/>
  <c r="J366" i="3"/>
  <c r="K366" i="3"/>
  <c r="L366" i="3"/>
  <c r="J367" i="3"/>
  <c r="K367" i="3"/>
  <c r="L367" i="3"/>
  <c r="J368" i="3"/>
  <c r="K368" i="3"/>
  <c r="L368" i="3"/>
  <c r="J369" i="3"/>
  <c r="K369" i="3"/>
  <c r="L369" i="3"/>
  <c r="J370" i="3"/>
  <c r="K370" i="3"/>
  <c r="L370" i="3"/>
  <c r="J371" i="3"/>
  <c r="K371" i="3"/>
  <c r="L371" i="3"/>
  <c r="J372" i="3"/>
  <c r="K372" i="3"/>
  <c r="L372" i="3"/>
  <c r="J373" i="3"/>
  <c r="K373" i="3"/>
  <c r="L373" i="3"/>
  <c r="J374" i="3"/>
  <c r="K374" i="3"/>
  <c r="L374" i="3"/>
  <c r="J375" i="3"/>
  <c r="K375" i="3"/>
  <c r="L375" i="3"/>
  <c r="J376" i="3"/>
  <c r="K376" i="3"/>
  <c r="L376" i="3"/>
  <c r="J377" i="3"/>
  <c r="K377" i="3"/>
  <c r="L377" i="3"/>
  <c r="J378" i="3"/>
  <c r="K378" i="3"/>
  <c r="L378" i="3"/>
  <c r="J379" i="3"/>
  <c r="K379" i="3"/>
  <c r="L379" i="3"/>
  <c r="J380" i="3"/>
  <c r="K380" i="3"/>
  <c r="L380" i="3"/>
  <c r="J381" i="3"/>
  <c r="K381" i="3"/>
  <c r="L381" i="3"/>
  <c r="J382" i="3"/>
  <c r="K382" i="3"/>
  <c r="L382" i="3"/>
  <c r="J383" i="3"/>
  <c r="K383" i="3"/>
  <c r="L383" i="3"/>
  <c r="J384" i="3"/>
  <c r="K384" i="3"/>
  <c r="L384" i="3"/>
  <c r="J385" i="3"/>
  <c r="K385" i="3"/>
  <c r="L385" i="3"/>
  <c r="J386" i="3"/>
  <c r="K386" i="3"/>
  <c r="L386" i="3"/>
  <c r="J387" i="3"/>
  <c r="K387" i="3"/>
  <c r="L387" i="3"/>
  <c r="J388" i="3"/>
  <c r="K388" i="3"/>
  <c r="L388" i="3"/>
  <c r="J389" i="3"/>
  <c r="K389" i="3"/>
  <c r="L389" i="3"/>
  <c r="J390" i="3"/>
  <c r="K390" i="3"/>
  <c r="L390" i="3"/>
  <c r="J391" i="3"/>
  <c r="K391" i="3"/>
  <c r="L391" i="3"/>
  <c r="J392" i="3"/>
  <c r="K392" i="3"/>
  <c r="L392" i="3"/>
  <c r="J393" i="3"/>
  <c r="K393" i="3"/>
  <c r="L393" i="3"/>
  <c r="J394" i="3"/>
  <c r="K394" i="3"/>
  <c r="L394" i="3"/>
  <c r="J395" i="3"/>
  <c r="K395" i="3"/>
  <c r="L395" i="3"/>
  <c r="J396" i="3"/>
  <c r="K396" i="3"/>
  <c r="L396" i="3"/>
  <c r="J397" i="3"/>
  <c r="K397" i="3"/>
  <c r="L397" i="3"/>
  <c r="J398" i="3"/>
  <c r="K398" i="3"/>
  <c r="L398" i="3"/>
  <c r="J399" i="3"/>
  <c r="K399" i="3"/>
  <c r="L399" i="3"/>
  <c r="J400" i="3"/>
  <c r="K400" i="3"/>
  <c r="L400" i="3"/>
  <c r="J401" i="3"/>
  <c r="K401" i="3"/>
  <c r="L401" i="3"/>
  <c r="J402" i="3"/>
  <c r="K402" i="3"/>
  <c r="L402" i="3"/>
  <c r="J403" i="3"/>
  <c r="K403" i="3"/>
  <c r="L403" i="3"/>
  <c r="J404" i="3"/>
  <c r="K404" i="3"/>
  <c r="L404" i="3"/>
  <c r="J405" i="3"/>
  <c r="K405" i="3"/>
  <c r="L405" i="3"/>
  <c r="J406" i="3"/>
  <c r="K406" i="3"/>
  <c r="L406" i="3"/>
  <c r="J407" i="3"/>
  <c r="K407" i="3"/>
  <c r="L407" i="3"/>
  <c r="J408" i="3"/>
  <c r="K408" i="3"/>
  <c r="L408" i="3"/>
  <c r="J409" i="3"/>
  <c r="K409" i="3"/>
  <c r="L409" i="3"/>
  <c r="J410" i="3"/>
  <c r="K410" i="3"/>
  <c r="L410" i="3"/>
  <c r="J411" i="3"/>
  <c r="K411" i="3"/>
  <c r="L411" i="3"/>
  <c r="J412" i="3"/>
  <c r="K412" i="3"/>
  <c r="L412" i="3"/>
  <c r="J413" i="3"/>
  <c r="K413" i="3"/>
  <c r="L413" i="3"/>
  <c r="J414" i="3"/>
  <c r="K414" i="3"/>
  <c r="L414" i="3"/>
  <c r="J415" i="3"/>
  <c r="K415" i="3"/>
  <c r="L415" i="3"/>
  <c r="J416" i="3"/>
  <c r="K416" i="3"/>
  <c r="L416" i="3"/>
  <c r="J417" i="3"/>
  <c r="K417" i="3"/>
  <c r="L417" i="3"/>
  <c r="J418" i="3"/>
  <c r="K418" i="3"/>
  <c r="L418" i="3"/>
  <c r="J419" i="3"/>
  <c r="K419" i="3"/>
  <c r="L419" i="3"/>
  <c r="J420" i="3"/>
  <c r="K420" i="3"/>
  <c r="L420" i="3"/>
  <c r="J421" i="3"/>
  <c r="K421" i="3"/>
  <c r="L421" i="3"/>
  <c r="J422" i="3"/>
  <c r="K422" i="3"/>
  <c r="L422" i="3"/>
  <c r="J423" i="3"/>
  <c r="K423" i="3"/>
  <c r="L423" i="3"/>
  <c r="J424" i="3"/>
  <c r="K424" i="3"/>
  <c r="L424" i="3"/>
  <c r="J425" i="3"/>
  <c r="K425" i="3"/>
  <c r="L425" i="3"/>
  <c r="J426" i="3"/>
  <c r="K426" i="3"/>
  <c r="L426" i="3"/>
  <c r="J427" i="3"/>
  <c r="K427" i="3"/>
  <c r="L427" i="3"/>
  <c r="J428" i="3"/>
  <c r="K428" i="3"/>
  <c r="L428" i="3"/>
  <c r="J429" i="3"/>
  <c r="K429" i="3"/>
  <c r="L429" i="3"/>
  <c r="J430" i="3"/>
  <c r="K430" i="3"/>
  <c r="L430" i="3"/>
  <c r="J431" i="3"/>
  <c r="K431" i="3"/>
  <c r="L431" i="3"/>
  <c r="J432" i="3"/>
  <c r="K432" i="3"/>
  <c r="L432" i="3"/>
  <c r="J433" i="3"/>
  <c r="K433" i="3"/>
  <c r="L433" i="3"/>
  <c r="J434" i="3"/>
  <c r="K434" i="3"/>
  <c r="L434" i="3"/>
  <c r="J435" i="3"/>
  <c r="K435" i="3"/>
  <c r="L435" i="3"/>
  <c r="J436" i="3"/>
  <c r="K436" i="3"/>
  <c r="L436" i="3"/>
  <c r="J437" i="3"/>
  <c r="K437" i="3"/>
  <c r="L437" i="3"/>
  <c r="J438" i="3"/>
  <c r="K438" i="3"/>
  <c r="L438" i="3"/>
  <c r="J439" i="3"/>
  <c r="K439" i="3"/>
  <c r="L439" i="3"/>
  <c r="J440" i="3"/>
  <c r="K440" i="3"/>
  <c r="L440" i="3"/>
  <c r="J441" i="3"/>
  <c r="K441" i="3"/>
  <c r="L441" i="3"/>
  <c r="J442" i="3"/>
  <c r="K442" i="3"/>
  <c r="L442" i="3"/>
  <c r="J443" i="3"/>
  <c r="K443" i="3"/>
  <c r="L443" i="3"/>
  <c r="J444" i="3"/>
  <c r="K444" i="3"/>
  <c r="L444" i="3"/>
  <c r="J445" i="3"/>
  <c r="K445" i="3"/>
  <c r="L445" i="3"/>
  <c r="J446" i="3"/>
  <c r="K446" i="3"/>
  <c r="L446" i="3"/>
  <c r="J447" i="3"/>
  <c r="K447" i="3"/>
  <c r="L447" i="3"/>
  <c r="J448" i="3"/>
  <c r="K448" i="3"/>
  <c r="L448" i="3"/>
  <c r="J449" i="3"/>
  <c r="K449" i="3"/>
  <c r="L449" i="3"/>
  <c r="J450" i="3"/>
  <c r="K450" i="3"/>
  <c r="L450" i="3"/>
  <c r="J451" i="3"/>
  <c r="K451" i="3"/>
  <c r="L451" i="3"/>
  <c r="J452" i="3"/>
  <c r="K452" i="3"/>
  <c r="L452" i="3"/>
  <c r="J453" i="3"/>
  <c r="K453" i="3"/>
  <c r="L453" i="3"/>
  <c r="J454" i="3"/>
  <c r="K454" i="3"/>
  <c r="L454" i="3"/>
  <c r="J455" i="3"/>
  <c r="K455" i="3"/>
  <c r="L455" i="3"/>
  <c r="J456" i="3"/>
  <c r="K456" i="3"/>
  <c r="L456" i="3"/>
  <c r="J457" i="3"/>
  <c r="K457" i="3"/>
  <c r="L457" i="3"/>
  <c r="J458" i="3"/>
  <c r="K458" i="3"/>
  <c r="L458" i="3"/>
  <c r="J459" i="3"/>
  <c r="K459" i="3"/>
  <c r="L459" i="3"/>
  <c r="J460" i="3"/>
  <c r="K460" i="3"/>
  <c r="L460" i="3"/>
  <c r="J461" i="3"/>
  <c r="K461" i="3"/>
  <c r="L461" i="3"/>
  <c r="J462" i="3"/>
  <c r="K462" i="3"/>
  <c r="L462" i="3"/>
  <c r="J463" i="3"/>
  <c r="K463" i="3"/>
  <c r="L463" i="3"/>
  <c r="J464" i="3"/>
  <c r="K464" i="3"/>
  <c r="L464" i="3"/>
  <c r="J465" i="3"/>
  <c r="K465" i="3"/>
  <c r="L465" i="3"/>
  <c r="J466" i="3"/>
  <c r="K466" i="3"/>
  <c r="L466" i="3"/>
  <c r="J467" i="3"/>
  <c r="K467" i="3"/>
  <c r="L467" i="3"/>
  <c r="J468" i="3"/>
  <c r="K468" i="3"/>
  <c r="L468" i="3"/>
  <c r="J469" i="3"/>
  <c r="K469" i="3"/>
  <c r="L469" i="3"/>
  <c r="J470" i="3"/>
  <c r="K470" i="3"/>
  <c r="L470" i="3"/>
  <c r="J471" i="3"/>
  <c r="K471" i="3"/>
  <c r="L471" i="3"/>
  <c r="J472" i="3"/>
  <c r="K472" i="3"/>
  <c r="L472" i="3"/>
  <c r="J473" i="3"/>
  <c r="K473" i="3"/>
  <c r="L473" i="3"/>
  <c r="J474" i="3"/>
  <c r="K474" i="3"/>
  <c r="L474" i="3"/>
  <c r="J475" i="3"/>
  <c r="K475" i="3"/>
  <c r="L475" i="3"/>
  <c r="J476" i="3"/>
  <c r="K476" i="3"/>
  <c r="L476" i="3"/>
  <c r="J477" i="3"/>
  <c r="K477" i="3"/>
  <c r="L477" i="3"/>
  <c r="J478" i="3"/>
  <c r="K478" i="3"/>
  <c r="L478" i="3"/>
  <c r="J479" i="3"/>
  <c r="K479" i="3"/>
  <c r="L479" i="3"/>
  <c r="J480" i="3"/>
  <c r="K480" i="3"/>
  <c r="L480" i="3"/>
  <c r="J481" i="3"/>
  <c r="K481" i="3"/>
  <c r="L481" i="3"/>
  <c r="J482" i="3"/>
  <c r="K482" i="3"/>
  <c r="L482" i="3"/>
  <c r="J483" i="3"/>
  <c r="K483" i="3"/>
  <c r="L483" i="3"/>
  <c r="J484" i="3"/>
  <c r="K484" i="3"/>
  <c r="L484" i="3"/>
  <c r="J485" i="3"/>
  <c r="K485" i="3"/>
  <c r="L485" i="3"/>
  <c r="J486" i="3"/>
  <c r="K486" i="3"/>
  <c r="L486" i="3"/>
  <c r="J487" i="3"/>
  <c r="K487" i="3"/>
  <c r="L487" i="3"/>
  <c r="J488" i="3"/>
  <c r="K488" i="3"/>
  <c r="L488" i="3"/>
  <c r="J489" i="3"/>
  <c r="K489" i="3"/>
  <c r="L489" i="3"/>
  <c r="J490" i="3"/>
  <c r="K490" i="3"/>
  <c r="L490" i="3"/>
  <c r="J491" i="3"/>
  <c r="K491" i="3"/>
  <c r="L491" i="3"/>
  <c r="J492" i="3"/>
  <c r="K492" i="3"/>
  <c r="L492" i="3"/>
  <c r="J493" i="3"/>
  <c r="K493" i="3"/>
  <c r="L493" i="3"/>
  <c r="J494" i="3"/>
  <c r="K494" i="3"/>
  <c r="L494" i="3"/>
  <c r="J495" i="3"/>
  <c r="K495" i="3"/>
  <c r="L495" i="3"/>
  <c r="J496" i="3"/>
  <c r="K496" i="3"/>
  <c r="L496" i="3"/>
  <c r="J497" i="3"/>
  <c r="K497" i="3"/>
  <c r="L497" i="3"/>
  <c r="J498" i="3"/>
  <c r="K498" i="3"/>
  <c r="L498" i="3"/>
  <c r="J499" i="3"/>
  <c r="K499" i="3"/>
  <c r="L499" i="3"/>
  <c r="J500" i="3"/>
  <c r="K500" i="3"/>
  <c r="L500" i="3"/>
  <c r="J501" i="3"/>
  <c r="K501" i="3"/>
  <c r="L501" i="3"/>
  <c r="J502" i="3"/>
  <c r="K502" i="3"/>
  <c r="L502" i="3"/>
  <c r="J503" i="3"/>
  <c r="K503" i="3"/>
  <c r="L503" i="3"/>
  <c r="J504" i="3"/>
  <c r="K504" i="3"/>
  <c r="L504" i="3"/>
  <c r="J505" i="3"/>
  <c r="K505" i="3"/>
  <c r="L505" i="3"/>
  <c r="J506" i="3"/>
  <c r="K506" i="3"/>
  <c r="L506" i="3"/>
  <c r="J507" i="3"/>
  <c r="K507" i="3"/>
  <c r="L507" i="3"/>
  <c r="J508" i="3"/>
  <c r="K508" i="3"/>
  <c r="L508" i="3"/>
  <c r="J509" i="3"/>
  <c r="K509" i="3"/>
  <c r="L509" i="3"/>
  <c r="J510" i="3"/>
  <c r="K510" i="3"/>
  <c r="L510" i="3"/>
  <c r="J511" i="3"/>
  <c r="K511" i="3"/>
  <c r="L511" i="3"/>
  <c r="J512" i="3"/>
  <c r="K512" i="3"/>
  <c r="L512" i="3"/>
  <c r="J513" i="3"/>
  <c r="K513" i="3"/>
  <c r="L513" i="3"/>
  <c r="J514" i="3"/>
  <c r="K514" i="3"/>
  <c r="L514" i="3"/>
  <c r="J515" i="3"/>
  <c r="K515" i="3"/>
  <c r="L515" i="3"/>
  <c r="J516" i="3"/>
  <c r="K516" i="3"/>
  <c r="L516" i="3"/>
  <c r="J517" i="3"/>
  <c r="K517" i="3"/>
  <c r="L517" i="3"/>
  <c r="J518" i="3"/>
  <c r="K518" i="3"/>
  <c r="L518" i="3"/>
  <c r="J519" i="3"/>
  <c r="K519" i="3"/>
  <c r="L519" i="3"/>
  <c r="J520" i="3"/>
  <c r="K520" i="3"/>
  <c r="L520" i="3"/>
  <c r="J521" i="3"/>
  <c r="K521" i="3"/>
  <c r="L521" i="3"/>
  <c r="J522" i="3"/>
  <c r="K522" i="3"/>
  <c r="L522" i="3"/>
  <c r="J523" i="3"/>
  <c r="K523" i="3"/>
  <c r="L523" i="3"/>
  <c r="J524" i="3"/>
  <c r="K524" i="3"/>
  <c r="L524" i="3"/>
  <c r="J525" i="3"/>
  <c r="K525" i="3"/>
  <c r="L525" i="3"/>
  <c r="J526" i="3"/>
  <c r="K526" i="3"/>
  <c r="L526" i="3"/>
  <c r="J527" i="3"/>
  <c r="K527" i="3"/>
  <c r="L527" i="3"/>
  <c r="J528" i="3"/>
  <c r="K528" i="3"/>
  <c r="L528" i="3"/>
  <c r="J529" i="3"/>
  <c r="K529" i="3"/>
  <c r="L529" i="3"/>
  <c r="J530" i="3"/>
  <c r="K530" i="3"/>
  <c r="L530" i="3"/>
  <c r="J531" i="3"/>
  <c r="K531" i="3"/>
  <c r="L531" i="3"/>
  <c r="J532" i="3"/>
  <c r="K532" i="3"/>
  <c r="L532" i="3"/>
  <c r="J533" i="3"/>
  <c r="K533" i="3"/>
  <c r="L533" i="3"/>
  <c r="J534" i="3"/>
  <c r="K534" i="3"/>
  <c r="L534" i="3"/>
  <c r="J535" i="3"/>
  <c r="K535" i="3"/>
  <c r="L535" i="3"/>
  <c r="J536" i="3"/>
  <c r="K536" i="3"/>
  <c r="L536" i="3"/>
  <c r="J537" i="3"/>
  <c r="K537" i="3"/>
  <c r="L537" i="3"/>
  <c r="J538" i="3"/>
  <c r="K538" i="3"/>
  <c r="L538" i="3"/>
  <c r="J539" i="3"/>
  <c r="K539" i="3"/>
  <c r="L539" i="3"/>
  <c r="J540" i="3"/>
  <c r="K540" i="3"/>
  <c r="L540" i="3"/>
  <c r="J541" i="3"/>
  <c r="K541" i="3"/>
  <c r="L541" i="3"/>
  <c r="J542" i="3"/>
  <c r="K542" i="3"/>
  <c r="L542" i="3"/>
  <c r="J543" i="3"/>
  <c r="K543" i="3"/>
  <c r="L543" i="3"/>
  <c r="J544" i="3"/>
  <c r="K544" i="3"/>
  <c r="L544" i="3"/>
  <c r="J545" i="3"/>
  <c r="K545" i="3"/>
  <c r="L545" i="3"/>
  <c r="J546" i="3"/>
  <c r="K546" i="3"/>
  <c r="L546" i="3"/>
  <c r="J547" i="3"/>
  <c r="K547" i="3"/>
  <c r="L547" i="3"/>
  <c r="J548" i="3"/>
  <c r="K548" i="3"/>
  <c r="L548" i="3"/>
  <c r="J549" i="3"/>
  <c r="K549" i="3"/>
  <c r="L549" i="3"/>
  <c r="J550" i="3"/>
  <c r="K550" i="3"/>
  <c r="L550" i="3"/>
  <c r="J551" i="3"/>
  <c r="K551" i="3"/>
  <c r="L551" i="3"/>
  <c r="J552" i="3"/>
  <c r="K552" i="3"/>
  <c r="L552" i="3"/>
  <c r="J553" i="3"/>
  <c r="K553" i="3"/>
  <c r="L553" i="3"/>
  <c r="J554" i="3"/>
  <c r="K554" i="3"/>
  <c r="L554" i="3"/>
  <c r="J555" i="3"/>
  <c r="K555" i="3"/>
  <c r="L555" i="3"/>
  <c r="J556" i="3"/>
  <c r="K556" i="3"/>
  <c r="L556" i="3"/>
  <c r="J557" i="3"/>
  <c r="K557" i="3"/>
  <c r="L557" i="3"/>
  <c r="J558" i="3"/>
  <c r="K558" i="3"/>
  <c r="L558" i="3"/>
  <c r="J559" i="3"/>
  <c r="K559" i="3"/>
  <c r="L559" i="3"/>
  <c r="J560" i="3"/>
  <c r="K560" i="3"/>
  <c r="L560" i="3"/>
  <c r="J561" i="3"/>
  <c r="K561" i="3"/>
  <c r="L561" i="3"/>
  <c r="J562" i="3"/>
  <c r="K562" i="3"/>
  <c r="L562" i="3"/>
  <c r="J563" i="3"/>
  <c r="K563" i="3"/>
  <c r="L563" i="3"/>
  <c r="J564" i="3"/>
  <c r="K564" i="3"/>
  <c r="L564" i="3"/>
  <c r="J565" i="3"/>
  <c r="K565" i="3"/>
  <c r="L565" i="3"/>
  <c r="J566" i="3"/>
  <c r="K566" i="3"/>
  <c r="L566" i="3"/>
  <c r="J567" i="3"/>
  <c r="K567" i="3"/>
  <c r="L567" i="3"/>
  <c r="J568" i="3"/>
  <c r="K568" i="3"/>
  <c r="L568" i="3"/>
  <c r="J569" i="3"/>
  <c r="K569" i="3"/>
  <c r="L569" i="3"/>
  <c r="J570" i="3"/>
  <c r="K570" i="3"/>
  <c r="L570" i="3"/>
  <c r="J571" i="3"/>
  <c r="K571" i="3"/>
  <c r="L571" i="3"/>
  <c r="J572" i="3"/>
  <c r="K572" i="3"/>
  <c r="L572" i="3"/>
  <c r="J573" i="3"/>
  <c r="K573" i="3"/>
  <c r="L573" i="3"/>
  <c r="J574" i="3"/>
  <c r="K574" i="3"/>
  <c r="L574" i="3"/>
  <c r="J575" i="3"/>
  <c r="K575" i="3"/>
  <c r="L575" i="3"/>
  <c r="J576" i="3"/>
  <c r="K576" i="3"/>
  <c r="L576" i="3"/>
  <c r="J577" i="3"/>
  <c r="K577" i="3"/>
  <c r="L577" i="3"/>
  <c r="J578" i="3"/>
  <c r="K578" i="3"/>
  <c r="L578" i="3"/>
  <c r="J579" i="3"/>
  <c r="K579" i="3"/>
  <c r="L579" i="3"/>
  <c r="J580" i="3"/>
  <c r="K580" i="3"/>
  <c r="L580" i="3"/>
  <c r="J581" i="3"/>
  <c r="K581" i="3"/>
  <c r="L581" i="3"/>
  <c r="J582" i="3"/>
  <c r="K582" i="3"/>
  <c r="L582" i="3"/>
  <c r="J583" i="3"/>
  <c r="K583" i="3"/>
  <c r="L583" i="3"/>
  <c r="J584" i="3"/>
  <c r="K584" i="3"/>
  <c r="L584" i="3"/>
  <c r="J585" i="3"/>
  <c r="K585" i="3"/>
  <c r="L585" i="3"/>
  <c r="J586" i="3"/>
  <c r="K586" i="3"/>
  <c r="L586" i="3"/>
  <c r="J587" i="3"/>
  <c r="K587" i="3"/>
  <c r="L587" i="3"/>
  <c r="J588" i="3"/>
  <c r="K588" i="3"/>
  <c r="L588" i="3"/>
  <c r="J589" i="3"/>
  <c r="K589" i="3"/>
  <c r="L589" i="3"/>
  <c r="J590" i="3"/>
  <c r="K590" i="3"/>
  <c r="L590" i="3"/>
  <c r="J591" i="3"/>
  <c r="K591" i="3"/>
  <c r="L591" i="3"/>
  <c r="J592" i="3"/>
  <c r="K592" i="3"/>
  <c r="L592" i="3"/>
  <c r="J593" i="3"/>
  <c r="K593" i="3"/>
  <c r="L593" i="3"/>
  <c r="J594" i="3"/>
  <c r="K594" i="3"/>
  <c r="L594" i="3"/>
  <c r="J595" i="3"/>
  <c r="K595" i="3"/>
  <c r="L595" i="3"/>
  <c r="J596" i="3"/>
  <c r="K596" i="3"/>
  <c r="L596" i="3"/>
  <c r="J597" i="3"/>
  <c r="K597" i="3"/>
  <c r="L597" i="3"/>
  <c r="J598" i="3"/>
  <c r="K598" i="3"/>
  <c r="L598" i="3"/>
  <c r="J599" i="3"/>
  <c r="K599" i="3"/>
  <c r="L599" i="3"/>
  <c r="J600" i="3"/>
  <c r="K600" i="3"/>
  <c r="L600" i="3"/>
  <c r="J601" i="3"/>
  <c r="K601" i="3"/>
  <c r="L601" i="3"/>
  <c r="J602" i="3"/>
  <c r="K602" i="3"/>
  <c r="L602" i="3"/>
  <c r="J603" i="3"/>
  <c r="K603" i="3"/>
  <c r="L603" i="3"/>
  <c r="J604" i="3"/>
  <c r="K604" i="3"/>
  <c r="L604" i="3"/>
  <c r="J605" i="3"/>
  <c r="K605" i="3"/>
  <c r="L605" i="3"/>
  <c r="J606" i="3"/>
  <c r="K606" i="3"/>
  <c r="L606" i="3"/>
  <c r="J607" i="3"/>
  <c r="K607" i="3"/>
  <c r="L607" i="3"/>
  <c r="J608" i="3"/>
  <c r="K608" i="3"/>
  <c r="L608" i="3"/>
  <c r="J609" i="3"/>
  <c r="K609" i="3"/>
  <c r="L609" i="3"/>
  <c r="J610" i="3"/>
  <c r="K610" i="3"/>
  <c r="L610" i="3"/>
  <c r="J611" i="3"/>
  <c r="K611" i="3"/>
  <c r="L611" i="3"/>
  <c r="J612" i="3"/>
  <c r="K612" i="3"/>
  <c r="L612" i="3"/>
  <c r="J613" i="3"/>
  <c r="K613" i="3"/>
  <c r="L613" i="3"/>
  <c r="J614" i="3"/>
  <c r="K614" i="3"/>
  <c r="L614" i="3"/>
  <c r="J615" i="3"/>
  <c r="K615" i="3"/>
  <c r="L615" i="3"/>
  <c r="J616" i="3"/>
  <c r="K616" i="3"/>
  <c r="L616" i="3"/>
  <c r="J617" i="3"/>
  <c r="K617" i="3"/>
  <c r="L617" i="3"/>
  <c r="J618" i="3"/>
  <c r="K618" i="3"/>
  <c r="L618" i="3"/>
  <c r="J619" i="3"/>
  <c r="K619" i="3"/>
  <c r="L619" i="3"/>
  <c r="J620" i="3"/>
  <c r="K620" i="3"/>
  <c r="L620" i="3"/>
  <c r="J621" i="3"/>
  <c r="K621" i="3"/>
  <c r="L621" i="3"/>
  <c r="J622" i="3"/>
  <c r="K622" i="3"/>
  <c r="L622" i="3"/>
  <c r="J623" i="3"/>
  <c r="K623" i="3"/>
  <c r="L623" i="3"/>
  <c r="J624" i="3"/>
  <c r="K624" i="3"/>
  <c r="L624" i="3"/>
  <c r="J625" i="3"/>
  <c r="K625" i="3"/>
  <c r="L625" i="3"/>
  <c r="J626" i="3"/>
  <c r="K626" i="3"/>
  <c r="L626" i="3"/>
  <c r="J627" i="3"/>
  <c r="K627" i="3"/>
  <c r="L627" i="3"/>
  <c r="J628" i="3"/>
  <c r="K628" i="3"/>
  <c r="L628" i="3"/>
  <c r="J629" i="3"/>
  <c r="K629" i="3"/>
  <c r="L629" i="3"/>
  <c r="J630" i="3"/>
  <c r="K630" i="3"/>
  <c r="L630" i="3"/>
  <c r="J631" i="3"/>
  <c r="K631" i="3"/>
  <c r="L631" i="3"/>
  <c r="J632" i="3"/>
  <c r="K632" i="3"/>
  <c r="L632" i="3"/>
  <c r="J633" i="3"/>
  <c r="K633" i="3"/>
  <c r="L633" i="3"/>
  <c r="J634" i="3"/>
  <c r="K634" i="3"/>
  <c r="L634" i="3"/>
  <c r="J635" i="3"/>
  <c r="K635" i="3"/>
  <c r="L635" i="3"/>
  <c r="J636" i="3"/>
  <c r="K636" i="3"/>
  <c r="L636" i="3"/>
  <c r="J637" i="3"/>
  <c r="K637" i="3"/>
  <c r="L637" i="3"/>
  <c r="J638" i="3"/>
  <c r="K638" i="3"/>
  <c r="L638" i="3"/>
  <c r="J639" i="3"/>
  <c r="K639" i="3"/>
  <c r="L639" i="3"/>
  <c r="J640" i="3"/>
  <c r="K640" i="3"/>
  <c r="L640" i="3"/>
  <c r="J641" i="3"/>
  <c r="K641" i="3"/>
  <c r="L641" i="3"/>
  <c r="J642" i="3"/>
  <c r="K642" i="3"/>
  <c r="L642" i="3"/>
  <c r="J643" i="3"/>
  <c r="K643" i="3"/>
  <c r="L643" i="3"/>
  <c r="J644" i="3"/>
  <c r="K644" i="3"/>
  <c r="L644" i="3"/>
  <c r="J645" i="3"/>
  <c r="K645" i="3"/>
  <c r="L645" i="3"/>
  <c r="J646" i="3"/>
  <c r="K646" i="3"/>
  <c r="L646" i="3"/>
  <c r="J647" i="3"/>
  <c r="K647" i="3"/>
  <c r="L647" i="3"/>
  <c r="J648" i="3"/>
  <c r="K648" i="3"/>
  <c r="L648" i="3"/>
  <c r="J649" i="3"/>
  <c r="K649" i="3"/>
  <c r="L649" i="3"/>
  <c r="J650" i="3"/>
  <c r="K650" i="3"/>
  <c r="L650" i="3"/>
  <c r="J651" i="3"/>
  <c r="K651" i="3"/>
  <c r="L651" i="3"/>
  <c r="J652" i="3"/>
  <c r="K652" i="3"/>
  <c r="L652" i="3"/>
  <c r="J653" i="3"/>
  <c r="K653" i="3"/>
  <c r="L653" i="3"/>
  <c r="J654" i="3"/>
  <c r="K654" i="3"/>
  <c r="L654" i="3"/>
  <c r="J655" i="3"/>
  <c r="K655" i="3"/>
  <c r="L655" i="3"/>
  <c r="J656" i="3"/>
  <c r="K656" i="3"/>
  <c r="L656" i="3"/>
  <c r="J657" i="3"/>
  <c r="K657" i="3"/>
  <c r="L657" i="3"/>
  <c r="J658" i="3"/>
  <c r="K658" i="3"/>
  <c r="L658" i="3"/>
  <c r="J659" i="3"/>
  <c r="K659" i="3"/>
  <c r="L659" i="3"/>
  <c r="J660" i="3"/>
  <c r="K660" i="3"/>
  <c r="L660" i="3"/>
  <c r="J661" i="3"/>
  <c r="K661" i="3"/>
  <c r="L661" i="3"/>
  <c r="J662" i="3"/>
  <c r="K662" i="3"/>
  <c r="L662" i="3"/>
  <c r="J663" i="3"/>
  <c r="K663" i="3"/>
  <c r="L663" i="3"/>
  <c r="J664" i="3"/>
  <c r="K664" i="3"/>
  <c r="L664" i="3"/>
  <c r="J665" i="3"/>
  <c r="K665" i="3"/>
  <c r="L665" i="3"/>
  <c r="J666" i="3"/>
  <c r="K666" i="3"/>
  <c r="L666" i="3"/>
  <c r="J667" i="3"/>
  <c r="K667" i="3"/>
  <c r="L667" i="3"/>
  <c r="J668" i="3"/>
  <c r="K668" i="3"/>
  <c r="L668" i="3"/>
  <c r="J669" i="3"/>
  <c r="K669" i="3"/>
  <c r="L669" i="3"/>
  <c r="J670" i="3"/>
  <c r="K670" i="3"/>
  <c r="L670" i="3"/>
  <c r="J671" i="3"/>
  <c r="K671" i="3"/>
  <c r="L671" i="3"/>
  <c r="J672" i="3"/>
  <c r="K672" i="3"/>
  <c r="L672" i="3"/>
  <c r="J673" i="3"/>
  <c r="K673" i="3"/>
  <c r="L673" i="3"/>
  <c r="J674" i="3"/>
  <c r="K674" i="3"/>
  <c r="L674" i="3"/>
  <c r="J675" i="3"/>
  <c r="K675" i="3"/>
  <c r="L675" i="3"/>
  <c r="J676" i="3"/>
  <c r="K676" i="3"/>
  <c r="L676" i="3"/>
  <c r="J677" i="3"/>
  <c r="K677" i="3"/>
  <c r="L677" i="3"/>
  <c r="J678" i="3"/>
  <c r="K678" i="3"/>
  <c r="L678" i="3"/>
  <c r="J679" i="3"/>
  <c r="K679" i="3"/>
  <c r="L679" i="3"/>
  <c r="J680" i="3"/>
  <c r="K680" i="3"/>
  <c r="L680" i="3"/>
  <c r="J681" i="3"/>
  <c r="K681" i="3"/>
  <c r="L681" i="3"/>
  <c r="J682" i="3"/>
  <c r="K682" i="3"/>
  <c r="L682" i="3"/>
  <c r="J683" i="3"/>
  <c r="K683" i="3"/>
  <c r="L683" i="3"/>
  <c r="J684" i="3"/>
  <c r="K684" i="3"/>
  <c r="L684" i="3"/>
  <c r="J685" i="3"/>
  <c r="K685" i="3"/>
  <c r="L685" i="3"/>
  <c r="J686" i="3"/>
  <c r="K686" i="3"/>
  <c r="L686" i="3"/>
  <c r="J687" i="3"/>
  <c r="K687" i="3"/>
  <c r="L687" i="3"/>
  <c r="J688" i="3"/>
  <c r="K688" i="3"/>
  <c r="L688" i="3"/>
  <c r="J689" i="3"/>
  <c r="K689" i="3"/>
  <c r="L689" i="3"/>
  <c r="J690" i="3"/>
  <c r="K690" i="3"/>
  <c r="L690" i="3"/>
  <c r="J691" i="3"/>
  <c r="K691" i="3"/>
  <c r="L691" i="3"/>
  <c r="J692" i="3"/>
  <c r="K692" i="3"/>
  <c r="L692" i="3"/>
  <c r="J693" i="3"/>
  <c r="K693" i="3"/>
  <c r="L693" i="3"/>
  <c r="J694" i="3"/>
  <c r="K694" i="3"/>
  <c r="L694" i="3"/>
  <c r="J695" i="3"/>
  <c r="K695" i="3"/>
  <c r="L695" i="3"/>
  <c r="J696" i="3"/>
  <c r="K696" i="3"/>
  <c r="L696" i="3"/>
  <c r="J697" i="3"/>
  <c r="K697" i="3"/>
  <c r="L697" i="3"/>
  <c r="J698" i="3"/>
  <c r="K698" i="3"/>
  <c r="L698" i="3"/>
  <c r="J699" i="3"/>
  <c r="K699" i="3"/>
  <c r="L699" i="3"/>
  <c r="J700" i="3"/>
  <c r="K700" i="3"/>
  <c r="L700" i="3"/>
  <c r="J701" i="3"/>
  <c r="K701" i="3"/>
  <c r="L701" i="3"/>
  <c r="J702" i="3"/>
  <c r="K702" i="3"/>
  <c r="L702" i="3"/>
  <c r="J703" i="3"/>
  <c r="K703" i="3"/>
  <c r="L703" i="3"/>
  <c r="J704" i="3"/>
  <c r="K704" i="3"/>
  <c r="L704" i="3"/>
  <c r="J705" i="3"/>
  <c r="K705" i="3"/>
  <c r="L705" i="3"/>
  <c r="J706" i="3"/>
  <c r="K706" i="3"/>
  <c r="L706" i="3"/>
  <c r="J707" i="3"/>
  <c r="K707" i="3"/>
  <c r="L707" i="3"/>
  <c r="J708" i="3"/>
  <c r="K708" i="3"/>
  <c r="L708" i="3"/>
  <c r="J709" i="3"/>
  <c r="K709" i="3"/>
  <c r="L709" i="3"/>
  <c r="J710" i="3"/>
  <c r="K710" i="3"/>
  <c r="L710" i="3"/>
  <c r="J711" i="3"/>
  <c r="K711" i="3"/>
  <c r="L711" i="3"/>
  <c r="J712" i="3"/>
  <c r="K712" i="3"/>
  <c r="L712" i="3"/>
  <c r="J713" i="3"/>
  <c r="K713" i="3"/>
  <c r="L713" i="3"/>
  <c r="J714" i="3"/>
  <c r="K714" i="3"/>
  <c r="L714" i="3"/>
  <c r="J715" i="3"/>
  <c r="K715" i="3"/>
  <c r="L715" i="3"/>
  <c r="J716" i="3"/>
  <c r="K716" i="3"/>
  <c r="L716" i="3"/>
  <c r="J717" i="3"/>
  <c r="K717" i="3"/>
  <c r="L717" i="3"/>
  <c r="J718" i="3"/>
  <c r="K718" i="3"/>
  <c r="L718" i="3"/>
  <c r="J719" i="3"/>
  <c r="K719" i="3"/>
  <c r="L719" i="3"/>
  <c r="J720" i="3"/>
  <c r="K720" i="3"/>
  <c r="L720" i="3"/>
  <c r="J721" i="3"/>
  <c r="K721" i="3"/>
  <c r="L721" i="3"/>
  <c r="J722" i="3"/>
  <c r="K722" i="3"/>
  <c r="L722" i="3"/>
  <c r="J723" i="3"/>
  <c r="K723" i="3"/>
  <c r="L723" i="3"/>
  <c r="J724" i="3"/>
  <c r="K724" i="3"/>
  <c r="L724" i="3"/>
  <c r="J725" i="3"/>
  <c r="K725" i="3"/>
  <c r="L725" i="3"/>
  <c r="J726" i="3"/>
  <c r="K726" i="3"/>
  <c r="L726" i="3"/>
  <c r="J727" i="3"/>
  <c r="K727" i="3"/>
  <c r="L727" i="3"/>
  <c r="J728" i="3"/>
  <c r="K728" i="3"/>
  <c r="L728" i="3"/>
  <c r="J729" i="3"/>
  <c r="K729" i="3"/>
  <c r="L729" i="3"/>
  <c r="J730" i="3"/>
  <c r="K730" i="3"/>
  <c r="L730" i="3"/>
  <c r="J731" i="3"/>
  <c r="K731" i="3"/>
  <c r="L731" i="3"/>
  <c r="J732" i="3"/>
  <c r="K732" i="3"/>
  <c r="L732" i="3"/>
  <c r="J733" i="3"/>
  <c r="K733" i="3"/>
  <c r="L733" i="3"/>
  <c r="J734" i="3"/>
  <c r="K734" i="3"/>
  <c r="L734" i="3"/>
  <c r="J735" i="3"/>
  <c r="K735" i="3"/>
  <c r="L735" i="3"/>
  <c r="J736" i="3"/>
  <c r="K736" i="3"/>
  <c r="L736" i="3"/>
  <c r="J737" i="3"/>
  <c r="K737" i="3"/>
  <c r="L737" i="3"/>
  <c r="J738" i="3"/>
  <c r="K738" i="3"/>
  <c r="L738" i="3"/>
  <c r="J739" i="3"/>
  <c r="K739" i="3"/>
  <c r="L739" i="3"/>
  <c r="J740" i="3"/>
  <c r="K740" i="3"/>
  <c r="L740" i="3"/>
  <c r="J741" i="3"/>
  <c r="K741" i="3"/>
  <c r="L741" i="3"/>
  <c r="J742" i="3"/>
  <c r="K742" i="3"/>
  <c r="L742" i="3"/>
  <c r="J743" i="3"/>
  <c r="K743" i="3"/>
  <c r="L743" i="3"/>
  <c r="J744" i="3"/>
  <c r="K744" i="3"/>
  <c r="L744" i="3"/>
  <c r="J745" i="3"/>
  <c r="K745" i="3"/>
  <c r="L745" i="3"/>
  <c r="J746" i="3"/>
  <c r="K746" i="3"/>
  <c r="L746" i="3"/>
  <c r="J747" i="3"/>
  <c r="K747" i="3"/>
  <c r="L747" i="3"/>
  <c r="J748" i="3"/>
  <c r="K748" i="3"/>
  <c r="L748" i="3"/>
  <c r="J749" i="3"/>
  <c r="K749" i="3"/>
  <c r="L749" i="3"/>
  <c r="J750" i="3"/>
  <c r="K750" i="3"/>
  <c r="L750" i="3"/>
  <c r="J751" i="3"/>
  <c r="K751" i="3"/>
  <c r="L751" i="3"/>
  <c r="J752" i="3"/>
  <c r="K752" i="3"/>
  <c r="L752" i="3"/>
  <c r="J753" i="3"/>
  <c r="K753" i="3"/>
  <c r="L753" i="3"/>
  <c r="J754" i="3"/>
  <c r="K754" i="3"/>
  <c r="L754" i="3"/>
  <c r="J755" i="3"/>
  <c r="K755" i="3"/>
  <c r="L755" i="3"/>
  <c r="J756" i="3"/>
  <c r="K756" i="3"/>
  <c r="L756" i="3"/>
  <c r="J757" i="3"/>
  <c r="K757" i="3"/>
  <c r="L757" i="3"/>
  <c r="J758" i="3"/>
  <c r="K758" i="3"/>
  <c r="L758" i="3"/>
  <c r="J759" i="3"/>
  <c r="K759" i="3"/>
  <c r="L759" i="3"/>
  <c r="J760" i="3"/>
  <c r="K760" i="3"/>
  <c r="L760" i="3"/>
  <c r="J761" i="3"/>
  <c r="K761" i="3"/>
  <c r="L761" i="3"/>
  <c r="J762" i="3"/>
  <c r="K762" i="3"/>
  <c r="L762" i="3"/>
  <c r="J763" i="3"/>
  <c r="K763" i="3"/>
  <c r="L763" i="3"/>
  <c r="J764" i="3"/>
  <c r="K764" i="3"/>
  <c r="L764" i="3"/>
  <c r="J765" i="3"/>
  <c r="K765" i="3"/>
  <c r="L765" i="3"/>
  <c r="J766" i="3"/>
  <c r="K766" i="3"/>
  <c r="L766" i="3"/>
  <c r="J767" i="3"/>
  <c r="K767" i="3"/>
  <c r="L767" i="3"/>
  <c r="J768" i="3"/>
  <c r="K768" i="3"/>
  <c r="L768" i="3"/>
  <c r="J769" i="3"/>
  <c r="K769" i="3"/>
  <c r="L769" i="3"/>
  <c r="J770" i="3"/>
  <c r="K770" i="3"/>
  <c r="L770" i="3"/>
  <c r="J771" i="3"/>
  <c r="K771" i="3"/>
  <c r="L771" i="3"/>
  <c r="J772" i="3"/>
  <c r="K772" i="3"/>
  <c r="L772" i="3"/>
  <c r="J773" i="3"/>
  <c r="K773" i="3"/>
  <c r="L773" i="3"/>
  <c r="J774" i="3"/>
  <c r="K774" i="3"/>
  <c r="L774" i="3"/>
  <c r="J775" i="3"/>
  <c r="K775" i="3"/>
  <c r="L775" i="3"/>
  <c r="J776" i="3"/>
  <c r="K776" i="3"/>
  <c r="L776" i="3"/>
  <c r="J777" i="3"/>
  <c r="K777" i="3"/>
  <c r="L777" i="3"/>
  <c r="J778" i="3"/>
  <c r="K778" i="3"/>
  <c r="L778" i="3"/>
  <c r="J779" i="3"/>
  <c r="K779" i="3"/>
  <c r="L779" i="3"/>
  <c r="J780" i="3"/>
  <c r="K780" i="3"/>
  <c r="L780" i="3"/>
  <c r="J781" i="3"/>
  <c r="K781" i="3"/>
  <c r="L781" i="3"/>
  <c r="J782" i="3"/>
  <c r="K782" i="3"/>
  <c r="L782" i="3"/>
  <c r="J783" i="3"/>
  <c r="K783" i="3"/>
  <c r="L783" i="3"/>
  <c r="J784" i="3"/>
  <c r="K784" i="3"/>
  <c r="L784" i="3"/>
  <c r="J785" i="3"/>
  <c r="K785" i="3"/>
  <c r="L785" i="3"/>
  <c r="J786" i="3"/>
  <c r="K786" i="3"/>
  <c r="L786" i="3"/>
  <c r="J787" i="3"/>
  <c r="K787" i="3"/>
  <c r="L787" i="3"/>
  <c r="J788" i="3"/>
  <c r="K788" i="3"/>
  <c r="L788" i="3"/>
  <c r="J789" i="3"/>
  <c r="K789" i="3"/>
  <c r="L789" i="3"/>
  <c r="J790" i="3"/>
  <c r="K790" i="3"/>
  <c r="L790" i="3"/>
  <c r="J791" i="3"/>
  <c r="K791" i="3"/>
  <c r="L791" i="3"/>
  <c r="J792" i="3"/>
  <c r="K792" i="3"/>
  <c r="L792" i="3"/>
  <c r="J793" i="3"/>
  <c r="K793" i="3"/>
  <c r="L793" i="3"/>
  <c r="J794" i="3"/>
  <c r="K794" i="3"/>
  <c r="L794" i="3"/>
  <c r="J795" i="3"/>
  <c r="K795" i="3"/>
  <c r="L795" i="3"/>
  <c r="J796" i="3"/>
  <c r="K796" i="3"/>
  <c r="L796" i="3"/>
  <c r="J797" i="3"/>
  <c r="K797" i="3"/>
  <c r="L797" i="3"/>
  <c r="J798" i="3"/>
  <c r="K798" i="3"/>
  <c r="L798" i="3"/>
  <c r="J799" i="3"/>
  <c r="K799" i="3"/>
  <c r="L799" i="3"/>
  <c r="J800" i="3"/>
  <c r="K800" i="3"/>
  <c r="L800" i="3"/>
  <c r="J801" i="3"/>
  <c r="K801" i="3"/>
  <c r="L801" i="3"/>
  <c r="J802" i="3"/>
  <c r="K802" i="3"/>
  <c r="L802" i="3"/>
  <c r="J803" i="3"/>
  <c r="K803" i="3"/>
  <c r="L803" i="3"/>
  <c r="J804" i="3"/>
  <c r="K804" i="3"/>
  <c r="L804" i="3"/>
  <c r="J805" i="3"/>
  <c r="K805" i="3"/>
  <c r="L805" i="3"/>
  <c r="J806" i="3"/>
  <c r="K806" i="3"/>
  <c r="L806" i="3"/>
  <c r="J807" i="3"/>
  <c r="K807" i="3"/>
  <c r="L807" i="3"/>
  <c r="J808" i="3"/>
  <c r="K808" i="3"/>
  <c r="L808" i="3"/>
  <c r="J809" i="3"/>
  <c r="K809" i="3"/>
  <c r="L809" i="3"/>
  <c r="J810" i="3"/>
  <c r="K810" i="3"/>
  <c r="L810" i="3"/>
  <c r="J811" i="3"/>
  <c r="K811" i="3"/>
  <c r="L811" i="3"/>
  <c r="J812" i="3"/>
  <c r="K812" i="3"/>
  <c r="L812" i="3"/>
  <c r="J813" i="3"/>
  <c r="K813" i="3"/>
  <c r="L813" i="3"/>
  <c r="J814" i="3"/>
  <c r="K814" i="3"/>
  <c r="L814" i="3"/>
  <c r="J815" i="3"/>
  <c r="K815" i="3"/>
  <c r="L815" i="3"/>
  <c r="J816" i="3"/>
  <c r="K816" i="3"/>
  <c r="L816" i="3"/>
  <c r="J817" i="3"/>
  <c r="K817" i="3"/>
  <c r="L817" i="3"/>
  <c r="J818" i="3"/>
  <c r="K818" i="3"/>
  <c r="L818" i="3"/>
  <c r="J819" i="3"/>
  <c r="K819" i="3"/>
  <c r="L819" i="3"/>
  <c r="J820" i="3"/>
  <c r="K820" i="3"/>
  <c r="L820" i="3"/>
  <c r="J821" i="3"/>
  <c r="K821" i="3"/>
  <c r="L821" i="3"/>
  <c r="J822" i="3"/>
  <c r="K822" i="3"/>
  <c r="L822" i="3"/>
  <c r="J823" i="3"/>
  <c r="K823" i="3"/>
  <c r="L823" i="3"/>
  <c r="J824" i="3"/>
  <c r="K824" i="3"/>
  <c r="L824" i="3"/>
  <c r="J825" i="3"/>
  <c r="K825" i="3"/>
  <c r="L825" i="3"/>
  <c r="J826" i="3"/>
  <c r="K826" i="3"/>
  <c r="L826" i="3"/>
  <c r="J827" i="3"/>
  <c r="K827" i="3"/>
  <c r="L827" i="3"/>
  <c r="J828" i="3"/>
  <c r="K828" i="3"/>
  <c r="L828" i="3"/>
  <c r="J829" i="3"/>
  <c r="K829" i="3"/>
  <c r="L829" i="3"/>
  <c r="J830" i="3"/>
  <c r="K830" i="3"/>
  <c r="L830" i="3"/>
  <c r="J831" i="3"/>
  <c r="K831" i="3"/>
  <c r="L831" i="3"/>
  <c r="J832" i="3"/>
  <c r="K832" i="3"/>
  <c r="L832" i="3"/>
  <c r="J833" i="3"/>
  <c r="K833" i="3"/>
  <c r="L833" i="3"/>
  <c r="J834" i="3"/>
  <c r="K834" i="3"/>
  <c r="L834" i="3"/>
  <c r="J835" i="3"/>
  <c r="K835" i="3"/>
  <c r="L835" i="3"/>
  <c r="J836" i="3"/>
  <c r="K836" i="3"/>
  <c r="L836" i="3"/>
  <c r="J837" i="3"/>
  <c r="K837" i="3"/>
  <c r="L837" i="3"/>
  <c r="J838" i="3"/>
  <c r="K838" i="3"/>
  <c r="L838" i="3"/>
  <c r="J839" i="3"/>
  <c r="K839" i="3"/>
  <c r="L839" i="3"/>
  <c r="J840" i="3"/>
  <c r="K840" i="3"/>
  <c r="L840" i="3"/>
  <c r="J841" i="3"/>
  <c r="K841" i="3"/>
  <c r="L841" i="3"/>
  <c r="J842" i="3"/>
  <c r="K842" i="3"/>
  <c r="L842" i="3"/>
  <c r="J843" i="3"/>
  <c r="K843" i="3"/>
  <c r="L843" i="3"/>
  <c r="J844" i="3"/>
  <c r="K844" i="3"/>
  <c r="L844" i="3"/>
  <c r="J845" i="3"/>
  <c r="K845" i="3"/>
  <c r="L845" i="3"/>
  <c r="J846" i="3"/>
  <c r="K846" i="3"/>
  <c r="L846" i="3"/>
  <c r="J847" i="3"/>
  <c r="K847" i="3"/>
  <c r="L847" i="3"/>
  <c r="J848" i="3"/>
  <c r="K848" i="3"/>
  <c r="L848" i="3"/>
  <c r="J849" i="3"/>
  <c r="K849" i="3"/>
  <c r="L849" i="3"/>
  <c r="J850" i="3"/>
  <c r="K850" i="3"/>
  <c r="L850" i="3"/>
  <c r="J851" i="3"/>
  <c r="K851" i="3"/>
  <c r="L851" i="3"/>
  <c r="J852" i="3"/>
  <c r="K852" i="3"/>
  <c r="L852" i="3"/>
  <c r="J853" i="3"/>
  <c r="K853" i="3"/>
  <c r="L853" i="3"/>
  <c r="J854" i="3"/>
  <c r="K854" i="3"/>
  <c r="L854" i="3"/>
  <c r="J855" i="3"/>
  <c r="K855" i="3"/>
  <c r="L855" i="3"/>
  <c r="J856" i="3"/>
  <c r="K856" i="3"/>
  <c r="L856" i="3"/>
  <c r="J857" i="3"/>
  <c r="K857" i="3"/>
  <c r="L857" i="3"/>
  <c r="J858" i="3"/>
  <c r="K858" i="3"/>
  <c r="L858" i="3"/>
  <c r="J859" i="3"/>
  <c r="K859" i="3"/>
  <c r="L859" i="3"/>
  <c r="J860" i="3"/>
  <c r="K860" i="3"/>
  <c r="L860" i="3"/>
  <c r="J861" i="3"/>
  <c r="K861" i="3"/>
  <c r="L861" i="3"/>
  <c r="J862" i="3"/>
  <c r="K862" i="3"/>
  <c r="L862" i="3"/>
  <c r="J863" i="3"/>
  <c r="K863" i="3"/>
  <c r="L863" i="3"/>
  <c r="J864" i="3"/>
  <c r="K864" i="3"/>
  <c r="L864" i="3"/>
  <c r="J865" i="3"/>
  <c r="K865" i="3"/>
  <c r="L865" i="3"/>
  <c r="J866" i="3"/>
  <c r="K866" i="3"/>
  <c r="L866" i="3"/>
  <c r="J867" i="3"/>
  <c r="K867" i="3"/>
  <c r="L867" i="3"/>
  <c r="J868" i="3"/>
  <c r="K868" i="3"/>
  <c r="L868" i="3"/>
  <c r="J869" i="3"/>
  <c r="K869" i="3"/>
  <c r="L869" i="3"/>
  <c r="J870" i="3"/>
  <c r="K870" i="3"/>
  <c r="L870" i="3"/>
  <c r="J871" i="3"/>
  <c r="K871" i="3"/>
  <c r="L871" i="3"/>
  <c r="J872" i="3"/>
  <c r="K872" i="3"/>
  <c r="L872" i="3"/>
  <c r="J873" i="3"/>
  <c r="K873" i="3"/>
  <c r="L873" i="3"/>
  <c r="J874" i="3"/>
  <c r="K874" i="3"/>
  <c r="L874" i="3"/>
  <c r="J875" i="3"/>
  <c r="K875" i="3"/>
  <c r="L875" i="3"/>
  <c r="J876" i="3"/>
  <c r="K876" i="3"/>
  <c r="L876" i="3"/>
  <c r="J877" i="3"/>
  <c r="K877" i="3"/>
  <c r="L877" i="3"/>
  <c r="J878" i="3"/>
  <c r="K878" i="3"/>
  <c r="L878" i="3"/>
  <c r="J879" i="3"/>
  <c r="K879" i="3"/>
  <c r="L879" i="3"/>
  <c r="J880" i="3"/>
  <c r="K880" i="3"/>
  <c r="L880" i="3"/>
  <c r="J881" i="3"/>
  <c r="K881" i="3"/>
  <c r="L881" i="3"/>
  <c r="J882" i="3"/>
  <c r="K882" i="3"/>
  <c r="L882" i="3"/>
  <c r="J883" i="3"/>
  <c r="K883" i="3"/>
  <c r="L883" i="3"/>
  <c r="J884" i="3"/>
  <c r="K884" i="3"/>
  <c r="L884" i="3"/>
  <c r="J885" i="3"/>
  <c r="K885" i="3"/>
  <c r="L885" i="3"/>
  <c r="J886" i="3"/>
  <c r="K886" i="3"/>
  <c r="L886" i="3"/>
  <c r="J887" i="3"/>
  <c r="K887" i="3"/>
  <c r="L887" i="3"/>
  <c r="J888" i="3"/>
  <c r="K888" i="3"/>
  <c r="L888" i="3"/>
  <c r="J889" i="3"/>
  <c r="K889" i="3"/>
  <c r="L889" i="3"/>
  <c r="J890" i="3"/>
  <c r="K890" i="3"/>
  <c r="L890" i="3"/>
  <c r="J891" i="3"/>
  <c r="K891" i="3"/>
  <c r="L891" i="3"/>
  <c r="J892" i="3"/>
  <c r="K892" i="3"/>
  <c r="L892" i="3"/>
  <c r="J893" i="3"/>
  <c r="K893" i="3"/>
  <c r="L893" i="3"/>
  <c r="J894" i="3"/>
  <c r="K894" i="3"/>
  <c r="L894" i="3"/>
  <c r="J895" i="3"/>
  <c r="K895" i="3"/>
  <c r="L895" i="3"/>
  <c r="J896" i="3"/>
  <c r="K896" i="3"/>
  <c r="L896" i="3"/>
  <c r="J897" i="3"/>
  <c r="K897" i="3"/>
  <c r="L897" i="3"/>
  <c r="J898" i="3"/>
  <c r="K898" i="3"/>
  <c r="L898" i="3"/>
  <c r="J899" i="3"/>
  <c r="K899" i="3"/>
  <c r="L899" i="3"/>
  <c r="J900" i="3"/>
  <c r="K900" i="3"/>
  <c r="L900" i="3"/>
  <c r="J901" i="3"/>
  <c r="K901" i="3"/>
  <c r="L901" i="3"/>
  <c r="J902" i="3"/>
  <c r="K902" i="3"/>
  <c r="L902" i="3"/>
  <c r="J903" i="3"/>
  <c r="K903" i="3"/>
  <c r="L903" i="3"/>
  <c r="J904" i="3"/>
  <c r="K904" i="3"/>
  <c r="L904" i="3"/>
  <c r="J905" i="3"/>
  <c r="K905" i="3"/>
  <c r="L905" i="3"/>
  <c r="J906" i="3"/>
  <c r="K906" i="3"/>
  <c r="L906" i="3"/>
  <c r="J907" i="3"/>
  <c r="K907" i="3"/>
  <c r="L907" i="3"/>
  <c r="J908" i="3"/>
  <c r="K908" i="3"/>
  <c r="L908" i="3"/>
  <c r="J909" i="3"/>
  <c r="K909" i="3"/>
  <c r="L909" i="3"/>
  <c r="J910" i="3"/>
  <c r="K910" i="3"/>
  <c r="L910" i="3"/>
  <c r="J911" i="3"/>
  <c r="K911" i="3"/>
  <c r="L911" i="3"/>
  <c r="J912" i="3"/>
  <c r="K912" i="3"/>
  <c r="L912" i="3"/>
  <c r="J913" i="3"/>
  <c r="K913" i="3"/>
  <c r="L913" i="3"/>
  <c r="J914" i="3"/>
  <c r="K914" i="3"/>
  <c r="L914" i="3"/>
  <c r="J915" i="3"/>
  <c r="K915" i="3"/>
  <c r="L915" i="3"/>
  <c r="J916" i="3"/>
  <c r="K916" i="3"/>
  <c r="L916" i="3"/>
  <c r="J917" i="3"/>
  <c r="K917" i="3"/>
  <c r="L917" i="3"/>
  <c r="J918" i="3"/>
  <c r="K918" i="3"/>
  <c r="L918" i="3"/>
  <c r="J919" i="3"/>
  <c r="K919" i="3"/>
  <c r="L919" i="3"/>
  <c r="J920" i="3"/>
  <c r="K920" i="3"/>
  <c r="L920" i="3"/>
  <c r="J921" i="3"/>
  <c r="K921" i="3"/>
  <c r="L921" i="3"/>
  <c r="J922" i="3"/>
  <c r="K922" i="3"/>
  <c r="L922" i="3"/>
  <c r="J923" i="3"/>
  <c r="K923" i="3"/>
  <c r="L923" i="3"/>
  <c r="J924" i="3"/>
  <c r="K924" i="3"/>
  <c r="L924" i="3"/>
  <c r="J925" i="3"/>
  <c r="K925" i="3"/>
  <c r="L925" i="3"/>
  <c r="J926" i="3"/>
  <c r="K926" i="3"/>
  <c r="L926" i="3"/>
  <c r="J927" i="3"/>
  <c r="K927" i="3"/>
  <c r="L927" i="3"/>
  <c r="J928" i="3"/>
  <c r="K928" i="3"/>
  <c r="L928" i="3"/>
  <c r="J929" i="3"/>
  <c r="K929" i="3"/>
  <c r="L929" i="3"/>
  <c r="J930" i="3"/>
  <c r="K930" i="3"/>
  <c r="L930" i="3"/>
  <c r="J931" i="3"/>
  <c r="K931" i="3"/>
  <c r="L931" i="3"/>
  <c r="J932" i="3"/>
  <c r="K932" i="3"/>
  <c r="L932" i="3"/>
  <c r="J933" i="3"/>
  <c r="K933" i="3"/>
  <c r="L933" i="3"/>
  <c r="J934" i="3"/>
  <c r="K934" i="3"/>
  <c r="L934" i="3"/>
  <c r="J935" i="3"/>
  <c r="K935" i="3"/>
  <c r="L935" i="3"/>
  <c r="J936" i="3"/>
  <c r="K936" i="3"/>
  <c r="L936" i="3"/>
  <c r="J937" i="3"/>
  <c r="K937" i="3"/>
  <c r="L937" i="3"/>
  <c r="J938" i="3"/>
  <c r="K938" i="3"/>
  <c r="L938" i="3"/>
  <c r="J939" i="3"/>
  <c r="K939" i="3"/>
  <c r="L939" i="3"/>
  <c r="J940" i="3"/>
  <c r="K940" i="3"/>
  <c r="L940" i="3"/>
  <c r="J941" i="3"/>
  <c r="K941" i="3"/>
  <c r="L941" i="3"/>
  <c r="J942" i="3"/>
  <c r="K942" i="3"/>
  <c r="L942" i="3"/>
  <c r="J943" i="3"/>
  <c r="K943" i="3"/>
  <c r="L943" i="3"/>
  <c r="J944" i="3"/>
  <c r="K944" i="3"/>
  <c r="L944" i="3"/>
  <c r="J945" i="3"/>
  <c r="K945" i="3"/>
  <c r="L945" i="3"/>
  <c r="J946" i="3"/>
  <c r="K946" i="3"/>
  <c r="L946" i="3"/>
  <c r="J947" i="3"/>
  <c r="K947" i="3"/>
  <c r="L947" i="3"/>
  <c r="J948" i="3"/>
  <c r="K948" i="3"/>
  <c r="L948" i="3"/>
  <c r="J949" i="3"/>
  <c r="K949" i="3"/>
  <c r="L949" i="3"/>
  <c r="J950" i="3"/>
  <c r="K950" i="3"/>
  <c r="L950" i="3"/>
  <c r="J951" i="3"/>
  <c r="K951" i="3"/>
  <c r="L951" i="3"/>
  <c r="J952" i="3"/>
  <c r="K952" i="3"/>
  <c r="L952" i="3"/>
  <c r="J953" i="3"/>
  <c r="K953" i="3"/>
  <c r="L953" i="3"/>
  <c r="J954" i="3"/>
  <c r="K954" i="3"/>
  <c r="L954" i="3"/>
  <c r="J955" i="3"/>
  <c r="K955" i="3"/>
  <c r="L955" i="3"/>
  <c r="J956" i="3"/>
  <c r="K956" i="3"/>
  <c r="L956" i="3"/>
  <c r="J957" i="3"/>
  <c r="K957" i="3"/>
  <c r="L957" i="3"/>
  <c r="J958" i="3"/>
  <c r="K958" i="3"/>
  <c r="L958" i="3"/>
  <c r="J959" i="3"/>
  <c r="K959" i="3"/>
  <c r="L959" i="3"/>
  <c r="J960" i="3"/>
  <c r="K960" i="3"/>
  <c r="L960" i="3"/>
  <c r="J961" i="3"/>
  <c r="K961" i="3"/>
  <c r="L961" i="3"/>
  <c r="J962" i="3"/>
  <c r="K962" i="3"/>
  <c r="L962" i="3"/>
  <c r="J963" i="3"/>
  <c r="K963" i="3"/>
  <c r="L963" i="3"/>
  <c r="J964" i="3"/>
  <c r="K964" i="3"/>
  <c r="L964" i="3"/>
  <c r="J965" i="3"/>
  <c r="K965" i="3"/>
  <c r="L965" i="3"/>
  <c r="J966" i="3"/>
  <c r="K966" i="3"/>
  <c r="L966" i="3"/>
  <c r="J967" i="3"/>
  <c r="K967" i="3"/>
  <c r="L967" i="3"/>
  <c r="J968" i="3"/>
  <c r="K968" i="3"/>
  <c r="L968" i="3"/>
  <c r="J969" i="3"/>
  <c r="K969" i="3"/>
  <c r="L969" i="3"/>
  <c r="J970" i="3"/>
  <c r="K970" i="3"/>
  <c r="L970" i="3"/>
  <c r="J971" i="3"/>
  <c r="K971" i="3"/>
  <c r="L971" i="3"/>
  <c r="J972" i="3"/>
  <c r="K972" i="3"/>
  <c r="L972" i="3"/>
  <c r="J973" i="3"/>
  <c r="K973" i="3"/>
  <c r="L973" i="3"/>
  <c r="J974" i="3"/>
  <c r="K974" i="3"/>
  <c r="L974" i="3"/>
  <c r="J975" i="3"/>
  <c r="K975" i="3"/>
  <c r="L975" i="3"/>
  <c r="J976" i="3"/>
  <c r="K976" i="3"/>
  <c r="L976" i="3"/>
  <c r="J977" i="3"/>
  <c r="K977" i="3"/>
  <c r="L977" i="3"/>
  <c r="J978" i="3"/>
  <c r="K978" i="3"/>
  <c r="L978" i="3"/>
  <c r="J979" i="3"/>
  <c r="K979" i="3"/>
  <c r="L979" i="3"/>
  <c r="J980" i="3"/>
  <c r="K980" i="3"/>
  <c r="L980" i="3"/>
  <c r="J981" i="3"/>
  <c r="K981" i="3"/>
  <c r="L981" i="3"/>
  <c r="J982" i="3"/>
  <c r="K982" i="3"/>
  <c r="L982" i="3"/>
  <c r="J983" i="3"/>
  <c r="K983" i="3"/>
  <c r="L983" i="3"/>
  <c r="J984" i="3"/>
  <c r="K984" i="3"/>
  <c r="L984" i="3"/>
  <c r="J985" i="3"/>
  <c r="K985" i="3"/>
  <c r="L985" i="3"/>
  <c r="J986" i="3"/>
  <c r="K986" i="3"/>
  <c r="L986" i="3"/>
  <c r="J987" i="3"/>
  <c r="K987" i="3"/>
  <c r="L987" i="3"/>
  <c r="J988" i="3"/>
  <c r="K988" i="3"/>
  <c r="L988" i="3"/>
  <c r="J989" i="3"/>
  <c r="K989" i="3"/>
  <c r="L989" i="3"/>
  <c r="J990" i="3"/>
  <c r="K990" i="3"/>
  <c r="L990" i="3"/>
  <c r="J991" i="3"/>
  <c r="K991" i="3"/>
  <c r="L991" i="3"/>
  <c r="J992" i="3"/>
  <c r="K992" i="3"/>
  <c r="L992" i="3"/>
  <c r="J993" i="3"/>
  <c r="K993" i="3"/>
  <c r="L993" i="3"/>
  <c r="J994" i="3"/>
  <c r="K994" i="3"/>
  <c r="L994" i="3"/>
  <c r="J995" i="3"/>
  <c r="K995" i="3"/>
  <c r="L995" i="3"/>
  <c r="J996" i="3"/>
  <c r="K996" i="3"/>
  <c r="L996" i="3"/>
  <c r="J997" i="3"/>
  <c r="K997" i="3"/>
  <c r="L997" i="3"/>
  <c r="J998" i="3"/>
  <c r="K998" i="3"/>
  <c r="L998" i="3"/>
  <c r="J999" i="3"/>
  <c r="K999" i="3"/>
  <c r="L999" i="3"/>
  <c r="J1000" i="3"/>
  <c r="K1000" i="3"/>
  <c r="L1000" i="3"/>
  <c r="J1001" i="3"/>
  <c r="K1001" i="3"/>
  <c r="L1001" i="3"/>
  <c r="J1002" i="3"/>
  <c r="K1002" i="3"/>
  <c r="L1002" i="3"/>
  <c r="J1003" i="3"/>
  <c r="K1003" i="3"/>
  <c r="L1003" i="3"/>
  <c r="J1004" i="3"/>
  <c r="K1004" i="3"/>
  <c r="L1004" i="3"/>
  <c r="J1005" i="3"/>
  <c r="K1005" i="3"/>
  <c r="L1005" i="3"/>
  <c r="J1006" i="3"/>
  <c r="K1006" i="3"/>
  <c r="L1006" i="3"/>
  <c r="J1007" i="3"/>
  <c r="K1007" i="3"/>
  <c r="L1007" i="3"/>
  <c r="J1008" i="3"/>
  <c r="K1008" i="3"/>
  <c r="L1008" i="3"/>
  <c r="J1009" i="3"/>
  <c r="K1009" i="3"/>
  <c r="L1009" i="3"/>
  <c r="J1010" i="3"/>
  <c r="K1010" i="3"/>
  <c r="L1010" i="3"/>
  <c r="J1011" i="3"/>
  <c r="K1011" i="3"/>
  <c r="L1011" i="3"/>
  <c r="J1012" i="3"/>
  <c r="K1012" i="3"/>
  <c r="L1012" i="3"/>
  <c r="J1013" i="3"/>
  <c r="K1013" i="3"/>
  <c r="L1013" i="3"/>
  <c r="J1014" i="3"/>
  <c r="K1014" i="3"/>
  <c r="L1014" i="3"/>
  <c r="J1015" i="3"/>
  <c r="K1015" i="3"/>
  <c r="L1015" i="3"/>
  <c r="J1016" i="3"/>
  <c r="K1016" i="3"/>
  <c r="L1016" i="3"/>
  <c r="J1017" i="3"/>
  <c r="K1017" i="3"/>
  <c r="L1017" i="3"/>
  <c r="J1018" i="3"/>
  <c r="K1018" i="3"/>
  <c r="L1018" i="3"/>
  <c r="J1019" i="3"/>
  <c r="K1019" i="3"/>
  <c r="L1019" i="3"/>
  <c r="J1020" i="3"/>
  <c r="K1020" i="3"/>
  <c r="L1020" i="3"/>
  <c r="J1021" i="3"/>
  <c r="K1021" i="3"/>
  <c r="L1021" i="3"/>
  <c r="J1022" i="3"/>
  <c r="K1022" i="3"/>
  <c r="L1022" i="3"/>
  <c r="J1023" i="3"/>
  <c r="K1023" i="3"/>
  <c r="L1023" i="3"/>
  <c r="J1024" i="3"/>
  <c r="K1024" i="3"/>
  <c r="L1024" i="3"/>
  <c r="J1025" i="3"/>
  <c r="K1025" i="3"/>
  <c r="L1025" i="3"/>
  <c r="J1026" i="3"/>
  <c r="K1026" i="3"/>
  <c r="L1026" i="3"/>
  <c r="J1027" i="3"/>
  <c r="K1027" i="3"/>
  <c r="L1027" i="3"/>
  <c r="J1028" i="3"/>
  <c r="K1028" i="3"/>
  <c r="L1028" i="3"/>
  <c r="J1029" i="3"/>
  <c r="K1029" i="3"/>
  <c r="L1029" i="3"/>
  <c r="J1030" i="3"/>
  <c r="K1030" i="3"/>
  <c r="L1030" i="3"/>
  <c r="J1031" i="3"/>
  <c r="K1031" i="3"/>
  <c r="L1031" i="3"/>
  <c r="J1032" i="3"/>
  <c r="K1032" i="3"/>
  <c r="L1032" i="3"/>
  <c r="J1033" i="3"/>
  <c r="K1033" i="3"/>
  <c r="L1033" i="3"/>
  <c r="J1034" i="3"/>
  <c r="K1034" i="3"/>
  <c r="L1034" i="3"/>
  <c r="J1035" i="3"/>
  <c r="K1035" i="3"/>
  <c r="L1035" i="3"/>
  <c r="J1036" i="3"/>
  <c r="K1036" i="3"/>
  <c r="L1036" i="3"/>
  <c r="J1037" i="3"/>
  <c r="K1037" i="3"/>
  <c r="L1037" i="3"/>
  <c r="J1038" i="3"/>
  <c r="K1038" i="3"/>
  <c r="L1038" i="3"/>
  <c r="J1039" i="3"/>
  <c r="K1039" i="3"/>
  <c r="L1039" i="3"/>
  <c r="J1040" i="3"/>
  <c r="K1040" i="3"/>
  <c r="L1040" i="3"/>
  <c r="J1041" i="3"/>
  <c r="K1041" i="3"/>
  <c r="L1041" i="3"/>
  <c r="J1042" i="3"/>
  <c r="K1042" i="3"/>
  <c r="L1042" i="3"/>
  <c r="J1043" i="3"/>
  <c r="K1043" i="3"/>
  <c r="L1043" i="3"/>
  <c r="J1044" i="3"/>
  <c r="K1044" i="3"/>
  <c r="L1044" i="3"/>
  <c r="J1045" i="3"/>
  <c r="K1045" i="3"/>
  <c r="L1045" i="3"/>
  <c r="J1046" i="3"/>
  <c r="K1046" i="3"/>
  <c r="L1046" i="3"/>
  <c r="J1047" i="3"/>
  <c r="K1047" i="3"/>
  <c r="L1047" i="3"/>
  <c r="J1048" i="3"/>
  <c r="K1048" i="3"/>
  <c r="L1048" i="3"/>
  <c r="J1049" i="3"/>
  <c r="K1049" i="3"/>
  <c r="L1049" i="3"/>
  <c r="J1050" i="3"/>
  <c r="K1050" i="3"/>
  <c r="L1050" i="3"/>
  <c r="J1051" i="3"/>
  <c r="K1051" i="3"/>
  <c r="L1051" i="3"/>
  <c r="J1052" i="3"/>
  <c r="K1052" i="3"/>
  <c r="L1052" i="3"/>
  <c r="J1053" i="3"/>
  <c r="K1053" i="3"/>
  <c r="L1053" i="3"/>
  <c r="J1054" i="3"/>
  <c r="K1054" i="3"/>
  <c r="L1054" i="3"/>
  <c r="J1055" i="3"/>
  <c r="K1055" i="3"/>
  <c r="L1055" i="3"/>
  <c r="J1056" i="3"/>
  <c r="K1056" i="3"/>
  <c r="L1056" i="3"/>
  <c r="J1057" i="3"/>
  <c r="K1057" i="3"/>
  <c r="L1057" i="3"/>
  <c r="J1058" i="3"/>
  <c r="K1058" i="3"/>
  <c r="L1058" i="3"/>
  <c r="J1059" i="3"/>
  <c r="K1059" i="3"/>
  <c r="L1059" i="3"/>
  <c r="J1060" i="3"/>
  <c r="K1060" i="3"/>
  <c r="L1060" i="3"/>
  <c r="J1061" i="3"/>
  <c r="K1061" i="3"/>
  <c r="L1061" i="3"/>
  <c r="J1062" i="3"/>
  <c r="K1062" i="3"/>
  <c r="L1062" i="3"/>
  <c r="J1063" i="3"/>
  <c r="K1063" i="3"/>
  <c r="L1063" i="3"/>
  <c r="J1064" i="3"/>
  <c r="K1064" i="3"/>
  <c r="L1064" i="3"/>
  <c r="J1065" i="3"/>
  <c r="K1065" i="3"/>
  <c r="L1065" i="3"/>
  <c r="J1066" i="3"/>
  <c r="K1066" i="3"/>
  <c r="L1066" i="3"/>
  <c r="J1067" i="3"/>
  <c r="K1067" i="3"/>
  <c r="L1067" i="3"/>
  <c r="J1068" i="3"/>
  <c r="K1068" i="3"/>
  <c r="L1068" i="3"/>
  <c r="J1069" i="3"/>
  <c r="K1069" i="3"/>
  <c r="L1069" i="3"/>
  <c r="J1070" i="3"/>
  <c r="K1070" i="3"/>
  <c r="L1070" i="3"/>
  <c r="J1071" i="3"/>
  <c r="K1071" i="3"/>
  <c r="L1071" i="3"/>
  <c r="J1072" i="3"/>
  <c r="K1072" i="3"/>
  <c r="L1072" i="3"/>
  <c r="J1073" i="3"/>
  <c r="K1073" i="3"/>
  <c r="L1073" i="3"/>
  <c r="J1074" i="3"/>
  <c r="K1074" i="3"/>
  <c r="L1074" i="3"/>
  <c r="J1075" i="3"/>
  <c r="K1075" i="3"/>
  <c r="L1075" i="3"/>
  <c r="J1076" i="3"/>
  <c r="K1076" i="3"/>
  <c r="L1076" i="3"/>
  <c r="J1077" i="3"/>
  <c r="K1077" i="3"/>
  <c r="L1077" i="3"/>
  <c r="J1078" i="3"/>
  <c r="K1078" i="3"/>
  <c r="L1078" i="3"/>
  <c r="J1079" i="3"/>
  <c r="K1079" i="3"/>
  <c r="L1079" i="3"/>
  <c r="J1080" i="3"/>
  <c r="K1080" i="3"/>
  <c r="L1080" i="3"/>
  <c r="J1081" i="3"/>
  <c r="K1081" i="3"/>
  <c r="L1081" i="3"/>
  <c r="J1082" i="3"/>
  <c r="K1082" i="3"/>
  <c r="L1082" i="3"/>
  <c r="J1083" i="3"/>
  <c r="K1083" i="3"/>
  <c r="L1083" i="3"/>
  <c r="J1084" i="3"/>
  <c r="K1084" i="3"/>
  <c r="L1084" i="3"/>
  <c r="J1085" i="3"/>
  <c r="K1085" i="3"/>
  <c r="L1085" i="3"/>
  <c r="J1086" i="3"/>
  <c r="K1086" i="3"/>
  <c r="L1086" i="3"/>
  <c r="J1087" i="3"/>
  <c r="K1087" i="3"/>
  <c r="L1087" i="3"/>
  <c r="J1088" i="3"/>
  <c r="K1088" i="3"/>
  <c r="L1088" i="3"/>
  <c r="J1089" i="3"/>
  <c r="K1089" i="3"/>
  <c r="L1089" i="3"/>
  <c r="J1090" i="3"/>
  <c r="K1090" i="3"/>
  <c r="L1090" i="3"/>
  <c r="J1091" i="3"/>
  <c r="K1091" i="3"/>
  <c r="L1091" i="3"/>
  <c r="J1092" i="3"/>
  <c r="K1092" i="3"/>
  <c r="L1092" i="3"/>
  <c r="J1093" i="3"/>
  <c r="K1093" i="3"/>
  <c r="L1093" i="3"/>
  <c r="J1094" i="3"/>
  <c r="K1094" i="3"/>
  <c r="L1094" i="3"/>
  <c r="J1095" i="3"/>
  <c r="K1095" i="3"/>
  <c r="L1095" i="3"/>
  <c r="J1096" i="3"/>
  <c r="K1096" i="3"/>
  <c r="L1096" i="3"/>
  <c r="J1097" i="3"/>
  <c r="K1097" i="3"/>
  <c r="L1097" i="3"/>
  <c r="J1098" i="3"/>
  <c r="K1098" i="3"/>
  <c r="L1098" i="3"/>
  <c r="J1099" i="3"/>
  <c r="K1099" i="3"/>
  <c r="L1099" i="3"/>
  <c r="J1100" i="3"/>
  <c r="K1100" i="3"/>
  <c r="L1100" i="3"/>
  <c r="J1101" i="3"/>
  <c r="K1101" i="3"/>
  <c r="L1101" i="3"/>
  <c r="J1102" i="3"/>
  <c r="K1102" i="3"/>
  <c r="L1102" i="3"/>
  <c r="J1103" i="3"/>
  <c r="K1103" i="3"/>
  <c r="L1103" i="3"/>
  <c r="J1104" i="3"/>
  <c r="K1104" i="3"/>
  <c r="L1104" i="3"/>
  <c r="J1105" i="3"/>
  <c r="K1105" i="3"/>
  <c r="L1105" i="3"/>
  <c r="J1106" i="3"/>
  <c r="K1106" i="3"/>
  <c r="L1106" i="3"/>
  <c r="J1107" i="3"/>
  <c r="K1107" i="3"/>
  <c r="L1107" i="3"/>
  <c r="J1108" i="3"/>
  <c r="K1108" i="3"/>
  <c r="L1108" i="3"/>
  <c r="J1109" i="3"/>
  <c r="K1109" i="3"/>
  <c r="L1109" i="3"/>
  <c r="J1110" i="3"/>
  <c r="K1110" i="3"/>
  <c r="L1110" i="3"/>
  <c r="J1111" i="3"/>
  <c r="K1111" i="3"/>
  <c r="L1111" i="3"/>
  <c r="J1112" i="3"/>
  <c r="K1112" i="3"/>
  <c r="L1112" i="3"/>
  <c r="J1113" i="3"/>
  <c r="K1113" i="3"/>
  <c r="L1113" i="3"/>
  <c r="J1114" i="3"/>
  <c r="K1114" i="3"/>
  <c r="L1114" i="3"/>
  <c r="J1115" i="3"/>
  <c r="K1115" i="3"/>
  <c r="L1115" i="3"/>
  <c r="J1116" i="3"/>
  <c r="K1116" i="3"/>
  <c r="L1116" i="3"/>
  <c r="J1117" i="3"/>
  <c r="K1117" i="3"/>
  <c r="L1117" i="3"/>
  <c r="J1118" i="3"/>
  <c r="K1118" i="3"/>
  <c r="L1118" i="3"/>
  <c r="J1119" i="3"/>
  <c r="K1119" i="3"/>
  <c r="L1119" i="3"/>
  <c r="J1120" i="3"/>
  <c r="K1120" i="3"/>
  <c r="L1120" i="3"/>
  <c r="J1121" i="3"/>
  <c r="K1121" i="3"/>
  <c r="L1121" i="3"/>
  <c r="J1122" i="3"/>
  <c r="K1122" i="3"/>
  <c r="L1122" i="3"/>
  <c r="J1123" i="3"/>
  <c r="K1123" i="3"/>
  <c r="L1123" i="3"/>
  <c r="J1124" i="3"/>
  <c r="K1124" i="3"/>
  <c r="L1124" i="3"/>
  <c r="J1125" i="3"/>
  <c r="K1125" i="3"/>
  <c r="L1125" i="3"/>
  <c r="J1126" i="3"/>
  <c r="K1126" i="3"/>
  <c r="L1126" i="3"/>
  <c r="J1127" i="3"/>
  <c r="K1127" i="3"/>
  <c r="L1127" i="3"/>
  <c r="J1128" i="3"/>
  <c r="K1128" i="3"/>
  <c r="L1128" i="3"/>
  <c r="J1129" i="3"/>
  <c r="K1129" i="3"/>
  <c r="L1129" i="3"/>
  <c r="J1130" i="3"/>
  <c r="K1130" i="3"/>
  <c r="L1130" i="3"/>
  <c r="J1131" i="3"/>
  <c r="K1131" i="3"/>
  <c r="L1131" i="3"/>
  <c r="J1132" i="3"/>
  <c r="K1132" i="3"/>
  <c r="L1132" i="3"/>
  <c r="J1133" i="3"/>
  <c r="K1133" i="3"/>
  <c r="L1133" i="3"/>
  <c r="J1134" i="3"/>
  <c r="K1134" i="3"/>
  <c r="L1134" i="3"/>
  <c r="J1135" i="3"/>
  <c r="K1135" i="3"/>
  <c r="L1135" i="3"/>
  <c r="J1136" i="3"/>
  <c r="K1136" i="3"/>
  <c r="L1136" i="3"/>
  <c r="J1137" i="3"/>
  <c r="K1137" i="3"/>
  <c r="L1137" i="3"/>
  <c r="J1138" i="3"/>
  <c r="K1138" i="3"/>
  <c r="L1138" i="3"/>
  <c r="J1139" i="3"/>
  <c r="K1139" i="3"/>
  <c r="L1139" i="3"/>
  <c r="J1140" i="3"/>
  <c r="K1140" i="3"/>
  <c r="L1140" i="3"/>
  <c r="J1141" i="3"/>
  <c r="K1141" i="3"/>
  <c r="L1141" i="3"/>
  <c r="J1142" i="3"/>
  <c r="K1142" i="3"/>
  <c r="L1142" i="3"/>
  <c r="J1143" i="3"/>
  <c r="K1143" i="3"/>
  <c r="L1143" i="3"/>
  <c r="J1144" i="3"/>
  <c r="K1144" i="3"/>
  <c r="L1144" i="3"/>
  <c r="J1145" i="3"/>
  <c r="K1145" i="3"/>
  <c r="L1145" i="3"/>
  <c r="J1146" i="3"/>
  <c r="K1146" i="3"/>
  <c r="L1146" i="3"/>
  <c r="J1147" i="3"/>
  <c r="K1147" i="3"/>
  <c r="L1147" i="3"/>
  <c r="J1148" i="3"/>
  <c r="K1148" i="3"/>
  <c r="L1148" i="3"/>
  <c r="J1149" i="3"/>
  <c r="K1149" i="3"/>
  <c r="L1149" i="3"/>
  <c r="J1150" i="3"/>
  <c r="K1150" i="3"/>
  <c r="L1150" i="3"/>
  <c r="J1151" i="3"/>
  <c r="K1151" i="3"/>
  <c r="L1151" i="3"/>
  <c r="J1152" i="3"/>
  <c r="K1152" i="3"/>
  <c r="L1152" i="3"/>
  <c r="J1153" i="3"/>
  <c r="K1153" i="3"/>
  <c r="L1153" i="3"/>
  <c r="J1154" i="3"/>
  <c r="K1154" i="3"/>
  <c r="L1154" i="3"/>
  <c r="J1155" i="3"/>
  <c r="K1155" i="3"/>
  <c r="L1155" i="3"/>
  <c r="J1156" i="3"/>
  <c r="K1156" i="3"/>
  <c r="L1156" i="3"/>
  <c r="J1157" i="3"/>
  <c r="K1157" i="3"/>
  <c r="L1157" i="3"/>
  <c r="J1158" i="3"/>
  <c r="K1158" i="3"/>
  <c r="L1158" i="3"/>
  <c r="J1159" i="3"/>
  <c r="K1159" i="3"/>
  <c r="L1159" i="3"/>
  <c r="J1160" i="3"/>
  <c r="K1160" i="3"/>
  <c r="L1160" i="3"/>
  <c r="J1161" i="3"/>
  <c r="K1161" i="3"/>
  <c r="L1161" i="3"/>
  <c r="J1162" i="3"/>
  <c r="K1162" i="3"/>
  <c r="L1162" i="3"/>
  <c r="J1163" i="3"/>
  <c r="K1163" i="3"/>
  <c r="L1163" i="3"/>
  <c r="J1164" i="3"/>
  <c r="K1164" i="3"/>
  <c r="L1164" i="3"/>
  <c r="J1165" i="3"/>
  <c r="K1165" i="3"/>
  <c r="L1165" i="3"/>
  <c r="J1166" i="3"/>
  <c r="K1166" i="3"/>
  <c r="L1166" i="3"/>
  <c r="J1167" i="3"/>
  <c r="K1167" i="3"/>
  <c r="L1167" i="3"/>
  <c r="J1168" i="3"/>
  <c r="K1168" i="3"/>
  <c r="L1168" i="3"/>
  <c r="J1169" i="3"/>
  <c r="K1169" i="3"/>
  <c r="L1169" i="3"/>
  <c r="J1170" i="3"/>
  <c r="K1170" i="3"/>
  <c r="L1170" i="3"/>
  <c r="J1171" i="3"/>
  <c r="K1171" i="3"/>
  <c r="L1171" i="3"/>
  <c r="J1172" i="3"/>
  <c r="K1172" i="3"/>
  <c r="L1172" i="3"/>
  <c r="J1173" i="3"/>
  <c r="K1173" i="3"/>
  <c r="L1173" i="3"/>
  <c r="J1174" i="3"/>
  <c r="K1174" i="3"/>
  <c r="L1174" i="3"/>
  <c r="J1175" i="3"/>
  <c r="K1175" i="3"/>
  <c r="L1175" i="3"/>
  <c r="J1176" i="3"/>
  <c r="K1176" i="3"/>
  <c r="L1176" i="3"/>
  <c r="J1177" i="3"/>
  <c r="K1177" i="3"/>
  <c r="L1177" i="3"/>
  <c r="J1178" i="3"/>
  <c r="K1178" i="3"/>
  <c r="L1178" i="3"/>
  <c r="J1179" i="3"/>
  <c r="K1179" i="3"/>
  <c r="L1179" i="3"/>
  <c r="J1180" i="3"/>
  <c r="K1180" i="3"/>
  <c r="L1180" i="3"/>
  <c r="J1181" i="3"/>
  <c r="K1181" i="3"/>
  <c r="L1181" i="3"/>
  <c r="J1182" i="3"/>
  <c r="K1182" i="3"/>
  <c r="L1182" i="3"/>
  <c r="J1183" i="3"/>
  <c r="K1183" i="3"/>
  <c r="L1183" i="3"/>
  <c r="J1184" i="3"/>
  <c r="K1184" i="3"/>
  <c r="L1184" i="3"/>
  <c r="J1185" i="3"/>
  <c r="K1185" i="3"/>
  <c r="L1185" i="3"/>
  <c r="J1186" i="3"/>
  <c r="K1186" i="3"/>
  <c r="L1186" i="3"/>
  <c r="J1187" i="3"/>
  <c r="K1187" i="3"/>
  <c r="L1187" i="3"/>
  <c r="J1188" i="3"/>
  <c r="K1188" i="3"/>
  <c r="L1188" i="3"/>
  <c r="J1189" i="3"/>
  <c r="K1189" i="3"/>
  <c r="L1189" i="3"/>
  <c r="J1190" i="3"/>
  <c r="K1190" i="3"/>
  <c r="L1190" i="3"/>
  <c r="J1191" i="3"/>
  <c r="K1191" i="3"/>
  <c r="L1191" i="3"/>
  <c r="J1192" i="3"/>
  <c r="K1192" i="3"/>
  <c r="L1192" i="3"/>
  <c r="J1193" i="3"/>
  <c r="K1193" i="3"/>
  <c r="L1193" i="3"/>
  <c r="J1194" i="3"/>
  <c r="K1194" i="3"/>
  <c r="L1194" i="3"/>
  <c r="J1195" i="3"/>
  <c r="K1195" i="3"/>
  <c r="L1195" i="3"/>
  <c r="J1196" i="3"/>
  <c r="K1196" i="3"/>
  <c r="L1196" i="3"/>
  <c r="J1197" i="3"/>
  <c r="K1197" i="3"/>
  <c r="L1197" i="3"/>
  <c r="J1198" i="3"/>
  <c r="K1198" i="3"/>
  <c r="L1198" i="3"/>
  <c r="J1199" i="3"/>
  <c r="K1199" i="3"/>
  <c r="L1199" i="3"/>
  <c r="J1200" i="3"/>
  <c r="K1200" i="3"/>
  <c r="L1200" i="3"/>
  <c r="J1201" i="3"/>
  <c r="K1201" i="3"/>
  <c r="L1201" i="3"/>
  <c r="J1202" i="3"/>
  <c r="K1202" i="3"/>
  <c r="L1202" i="3"/>
  <c r="J1203" i="3"/>
  <c r="K1203" i="3"/>
  <c r="L1203" i="3"/>
  <c r="J1204" i="3"/>
  <c r="K1204" i="3"/>
  <c r="L1204" i="3"/>
  <c r="J1205" i="3"/>
  <c r="K1205" i="3"/>
  <c r="L1205" i="3"/>
  <c r="J1206" i="3"/>
  <c r="K1206" i="3"/>
  <c r="L1206" i="3"/>
  <c r="J1207" i="3"/>
  <c r="K1207" i="3"/>
  <c r="L1207" i="3"/>
  <c r="J1208" i="3"/>
  <c r="K1208" i="3"/>
  <c r="L1208" i="3"/>
  <c r="J1209" i="3"/>
  <c r="K1209" i="3"/>
  <c r="L1209" i="3"/>
  <c r="J1210" i="3"/>
  <c r="K1210" i="3"/>
  <c r="L1210" i="3"/>
  <c r="J1211" i="3"/>
  <c r="K1211" i="3"/>
  <c r="L1211" i="3"/>
  <c r="J1212" i="3"/>
  <c r="K1212" i="3"/>
  <c r="L1212" i="3"/>
  <c r="J1213" i="3"/>
  <c r="K1213" i="3"/>
  <c r="L1213" i="3"/>
  <c r="J1214" i="3"/>
  <c r="K1214" i="3"/>
  <c r="L1214" i="3"/>
  <c r="J1215" i="3"/>
  <c r="K1215" i="3"/>
  <c r="L1215" i="3"/>
  <c r="J1216" i="3"/>
  <c r="K1216" i="3"/>
  <c r="L1216" i="3"/>
  <c r="J1217" i="3"/>
  <c r="K1217" i="3"/>
  <c r="L1217" i="3"/>
  <c r="J1218" i="3"/>
  <c r="K1218" i="3"/>
  <c r="L1218" i="3"/>
  <c r="J1219" i="3"/>
  <c r="K1219" i="3"/>
  <c r="L1219" i="3"/>
  <c r="J1220" i="3"/>
  <c r="K1220" i="3"/>
  <c r="L1220" i="3"/>
  <c r="J1221" i="3"/>
  <c r="K1221" i="3"/>
  <c r="L1221" i="3"/>
  <c r="J1222" i="3"/>
  <c r="K1222" i="3"/>
  <c r="L1222" i="3"/>
  <c r="J1223" i="3"/>
  <c r="K1223" i="3"/>
  <c r="L1223" i="3"/>
  <c r="J1224" i="3"/>
  <c r="K1224" i="3"/>
  <c r="L1224" i="3"/>
  <c r="J1225" i="3"/>
  <c r="K1225" i="3"/>
  <c r="L1225" i="3"/>
  <c r="J1226" i="3"/>
  <c r="K1226" i="3"/>
  <c r="L1226" i="3"/>
  <c r="J1227" i="3"/>
  <c r="K1227" i="3"/>
  <c r="L1227" i="3"/>
  <c r="J1228" i="3"/>
  <c r="K1228" i="3"/>
  <c r="L1228" i="3"/>
  <c r="J1229" i="3"/>
  <c r="K1229" i="3"/>
  <c r="L1229" i="3"/>
  <c r="J1230" i="3"/>
  <c r="K1230" i="3"/>
  <c r="L1230" i="3"/>
  <c r="J1231" i="3"/>
  <c r="K1231" i="3"/>
  <c r="L1231" i="3"/>
  <c r="J1232" i="3"/>
  <c r="K1232" i="3"/>
  <c r="L1232" i="3"/>
  <c r="J1233" i="3"/>
  <c r="K1233" i="3"/>
  <c r="L1233" i="3"/>
  <c r="J1234" i="3"/>
  <c r="K1234" i="3"/>
  <c r="L1234" i="3"/>
  <c r="J1235" i="3"/>
  <c r="K1235" i="3"/>
  <c r="L1235" i="3"/>
  <c r="J1236" i="3"/>
  <c r="K1236" i="3"/>
  <c r="L1236" i="3"/>
  <c r="J1237" i="3"/>
  <c r="K1237" i="3"/>
  <c r="L1237" i="3"/>
  <c r="J1238" i="3"/>
  <c r="K1238" i="3"/>
  <c r="L1238" i="3"/>
  <c r="J1239" i="3"/>
  <c r="K1239" i="3"/>
  <c r="L1239" i="3"/>
  <c r="J1240" i="3"/>
  <c r="K1240" i="3"/>
  <c r="L1240" i="3"/>
  <c r="J1241" i="3"/>
  <c r="K1241" i="3"/>
  <c r="L1241" i="3"/>
  <c r="J1242" i="3"/>
  <c r="K1242" i="3"/>
  <c r="L1242" i="3"/>
  <c r="J1243" i="3"/>
  <c r="K1243" i="3"/>
  <c r="L1243" i="3"/>
  <c r="J1244" i="3"/>
  <c r="K1244" i="3"/>
  <c r="L1244" i="3"/>
  <c r="J1245" i="3"/>
  <c r="K1245" i="3"/>
  <c r="L1245" i="3"/>
  <c r="J1246" i="3"/>
  <c r="K1246" i="3"/>
  <c r="L1246" i="3"/>
  <c r="J1247" i="3"/>
  <c r="K1247" i="3"/>
  <c r="L1247" i="3"/>
  <c r="J1248" i="3"/>
  <c r="K1248" i="3"/>
  <c r="L1248" i="3"/>
  <c r="J1249" i="3"/>
  <c r="K1249" i="3"/>
  <c r="L1249" i="3"/>
  <c r="J1250" i="3"/>
  <c r="K1250" i="3"/>
  <c r="L1250" i="3"/>
  <c r="J1251" i="3"/>
  <c r="K1251" i="3"/>
  <c r="L1251" i="3"/>
  <c r="J1252" i="3"/>
  <c r="K1252" i="3"/>
  <c r="L1252" i="3"/>
  <c r="J1253" i="3"/>
  <c r="K1253" i="3"/>
  <c r="L1253" i="3"/>
  <c r="J1254" i="3"/>
  <c r="K1254" i="3"/>
  <c r="L1254" i="3"/>
  <c r="J1255" i="3"/>
  <c r="K1255" i="3"/>
  <c r="L1255" i="3"/>
  <c r="J1256" i="3"/>
  <c r="K1256" i="3"/>
  <c r="L1256" i="3"/>
  <c r="J1257" i="3"/>
  <c r="K1257" i="3"/>
  <c r="L1257" i="3"/>
  <c r="J1258" i="3"/>
  <c r="K1258" i="3"/>
  <c r="L1258" i="3"/>
  <c r="J1259" i="3"/>
  <c r="K1259" i="3"/>
  <c r="L1259" i="3"/>
  <c r="J1260" i="3"/>
  <c r="K1260" i="3"/>
  <c r="L1260" i="3"/>
  <c r="J1261" i="3"/>
  <c r="K1261" i="3"/>
  <c r="L1261" i="3"/>
  <c r="J1262" i="3"/>
  <c r="K1262" i="3"/>
  <c r="L1262" i="3"/>
  <c r="J1263" i="3"/>
  <c r="K1263" i="3"/>
  <c r="L1263" i="3"/>
  <c r="J1264" i="3"/>
  <c r="K1264" i="3"/>
  <c r="L1264" i="3"/>
  <c r="J1265" i="3"/>
  <c r="K1265" i="3"/>
  <c r="L1265" i="3"/>
  <c r="J1266" i="3"/>
  <c r="K1266" i="3"/>
  <c r="L1266" i="3"/>
  <c r="J1267" i="3"/>
  <c r="K1267" i="3"/>
  <c r="L1267" i="3"/>
  <c r="J1268" i="3"/>
  <c r="K1268" i="3"/>
  <c r="L1268" i="3"/>
  <c r="J1269" i="3"/>
  <c r="K1269" i="3"/>
  <c r="L1269" i="3"/>
  <c r="J1270" i="3"/>
  <c r="K1270" i="3"/>
  <c r="L1270" i="3"/>
  <c r="J1271" i="3"/>
  <c r="K1271" i="3"/>
  <c r="L1271" i="3"/>
  <c r="J1272" i="3"/>
  <c r="K1272" i="3"/>
  <c r="L1272" i="3"/>
  <c r="J1273" i="3"/>
  <c r="K1273" i="3"/>
  <c r="L1273" i="3"/>
  <c r="J1274" i="3"/>
  <c r="K1274" i="3"/>
  <c r="L1274" i="3"/>
  <c r="J1275" i="3"/>
  <c r="K1275" i="3"/>
  <c r="L1275" i="3"/>
  <c r="J1276" i="3"/>
  <c r="K1276" i="3"/>
  <c r="L1276" i="3"/>
  <c r="J1277" i="3"/>
  <c r="K1277" i="3"/>
  <c r="L1277" i="3"/>
  <c r="J1278" i="3"/>
  <c r="K1278" i="3"/>
  <c r="L1278" i="3"/>
  <c r="J1279" i="3"/>
  <c r="K1279" i="3"/>
  <c r="L1279" i="3"/>
  <c r="J1280" i="3"/>
  <c r="K1280" i="3"/>
  <c r="L1280" i="3"/>
  <c r="J1281" i="3"/>
  <c r="K1281" i="3"/>
  <c r="L1281" i="3"/>
  <c r="J1282" i="3"/>
  <c r="K1282" i="3"/>
  <c r="L1282" i="3"/>
  <c r="J1283" i="3"/>
  <c r="K1283" i="3"/>
  <c r="L1283" i="3"/>
  <c r="J1284" i="3"/>
  <c r="K1284" i="3"/>
  <c r="L1284" i="3"/>
  <c r="J1285" i="3"/>
  <c r="K1285" i="3"/>
  <c r="L1285" i="3"/>
  <c r="J1286" i="3"/>
  <c r="K1286" i="3"/>
  <c r="L1286" i="3"/>
  <c r="J1287" i="3"/>
  <c r="K1287" i="3"/>
  <c r="L1287" i="3"/>
  <c r="J1288" i="3"/>
  <c r="K1288" i="3"/>
  <c r="L1288" i="3"/>
  <c r="J1289" i="3"/>
  <c r="K1289" i="3"/>
  <c r="L1289" i="3"/>
  <c r="J1290" i="3"/>
  <c r="K1290" i="3"/>
  <c r="L1290" i="3"/>
  <c r="J1291" i="3"/>
  <c r="K1291" i="3"/>
  <c r="L1291" i="3"/>
  <c r="J1292" i="3"/>
  <c r="K1292" i="3"/>
  <c r="L1292" i="3"/>
  <c r="J1293" i="3"/>
  <c r="K1293" i="3"/>
  <c r="L1293" i="3"/>
  <c r="J1294" i="3"/>
  <c r="K1294" i="3"/>
  <c r="L1294" i="3"/>
  <c r="J1295" i="3"/>
  <c r="K1295" i="3"/>
  <c r="L1295" i="3"/>
  <c r="J1296" i="3"/>
  <c r="K1296" i="3"/>
  <c r="L1296" i="3"/>
  <c r="J1297" i="3"/>
  <c r="K1297" i="3"/>
  <c r="L1297" i="3"/>
  <c r="J1298" i="3"/>
  <c r="K1298" i="3"/>
  <c r="L1298" i="3"/>
  <c r="J1299" i="3"/>
  <c r="K1299" i="3"/>
  <c r="L1299" i="3"/>
  <c r="J1300" i="3"/>
  <c r="K1300" i="3"/>
  <c r="L1300" i="3"/>
  <c r="J1301" i="3"/>
  <c r="K1301" i="3"/>
  <c r="L1301" i="3"/>
  <c r="J1302" i="3"/>
  <c r="K1302" i="3"/>
  <c r="L1302" i="3"/>
  <c r="J1303" i="3"/>
  <c r="K1303" i="3"/>
  <c r="L1303" i="3"/>
  <c r="J1304" i="3"/>
  <c r="K1304" i="3"/>
  <c r="L1304" i="3"/>
  <c r="J1305" i="3"/>
  <c r="K1305" i="3"/>
  <c r="L1305" i="3"/>
  <c r="J1306" i="3"/>
  <c r="K1306" i="3"/>
  <c r="L1306" i="3"/>
  <c r="J1307" i="3"/>
  <c r="K1307" i="3"/>
  <c r="L1307" i="3"/>
  <c r="J1308" i="3"/>
  <c r="K1308" i="3"/>
  <c r="L1308" i="3"/>
  <c r="J1309" i="3"/>
  <c r="K1309" i="3"/>
  <c r="L1309" i="3"/>
  <c r="J1310" i="3"/>
  <c r="K1310" i="3"/>
  <c r="L1310" i="3"/>
  <c r="J1311" i="3"/>
  <c r="K1311" i="3"/>
  <c r="L1311" i="3"/>
  <c r="J1312" i="3"/>
  <c r="K1312" i="3"/>
  <c r="L1312" i="3"/>
  <c r="J1313" i="3"/>
  <c r="K1313" i="3"/>
  <c r="L1313" i="3"/>
  <c r="J1314" i="3"/>
  <c r="K1314" i="3"/>
  <c r="L1314" i="3"/>
  <c r="J1315" i="3"/>
  <c r="K1315" i="3"/>
  <c r="L1315" i="3"/>
  <c r="J1316" i="3"/>
  <c r="K1316" i="3"/>
  <c r="L1316" i="3"/>
  <c r="J1317" i="3"/>
  <c r="K1317" i="3"/>
  <c r="L1317" i="3"/>
  <c r="J1318" i="3"/>
  <c r="K1318" i="3"/>
  <c r="L1318" i="3"/>
  <c r="J1319" i="3"/>
  <c r="K1319" i="3"/>
  <c r="L1319" i="3"/>
  <c r="J1320" i="3"/>
  <c r="K1320" i="3"/>
  <c r="L1320" i="3"/>
  <c r="J1321" i="3"/>
  <c r="K1321" i="3"/>
  <c r="L1321" i="3"/>
  <c r="J1322" i="3"/>
  <c r="K1322" i="3"/>
  <c r="L1322" i="3"/>
  <c r="J1323" i="3"/>
  <c r="K1323" i="3"/>
  <c r="L1323" i="3"/>
  <c r="J1324" i="3"/>
  <c r="K1324" i="3"/>
  <c r="L1324" i="3"/>
  <c r="J1325" i="3"/>
  <c r="K1325" i="3"/>
  <c r="L1325" i="3"/>
  <c r="J1326" i="3"/>
  <c r="K1326" i="3"/>
  <c r="L1326" i="3"/>
  <c r="J1327" i="3"/>
  <c r="K1327" i="3"/>
  <c r="L1327" i="3"/>
  <c r="J1328" i="3"/>
  <c r="K1328" i="3"/>
  <c r="L1328" i="3"/>
  <c r="J1329" i="3"/>
  <c r="K1329" i="3"/>
  <c r="L1329" i="3"/>
  <c r="J1330" i="3"/>
  <c r="K1330" i="3"/>
  <c r="L1330" i="3"/>
  <c r="J1331" i="3"/>
  <c r="K1331" i="3"/>
  <c r="L1331" i="3"/>
  <c r="J1332" i="3"/>
  <c r="K1332" i="3"/>
  <c r="L1332" i="3"/>
  <c r="J1333" i="3"/>
  <c r="K1333" i="3"/>
  <c r="L1333" i="3"/>
  <c r="J1334" i="3"/>
  <c r="K1334" i="3"/>
  <c r="L1334" i="3"/>
  <c r="J1335" i="3"/>
  <c r="K1335" i="3"/>
  <c r="L1335" i="3"/>
  <c r="J1336" i="3"/>
  <c r="K1336" i="3"/>
  <c r="L1336" i="3"/>
  <c r="J1337" i="3"/>
  <c r="K1337" i="3"/>
  <c r="L1337" i="3"/>
  <c r="J1338" i="3"/>
  <c r="K1338" i="3"/>
  <c r="L1338" i="3"/>
  <c r="J1339" i="3"/>
  <c r="K1339" i="3"/>
  <c r="L1339" i="3"/>
  <c r="J1340" i="3"/>
  <c r="K1340" i="3"/>
  <c r="L1340" i="3"/>
  <c r="J1341" i="3"/>
  <c r="K1341" i="3"/>
  <c r="L1341" i="3"/>
  <c r="J1342" i="3"/>
  <c r="K1342" i="3"/>
  <c r="L1342" i="3"/>
  <c r="J1343" i="3"/>
  <c r="K1343" i="3"/>
  <c r="L1343" i="3"/>
  <c r="J1344" i="3"/>
  <c r="K1344" i="3"/>
  <c r="L1344" i="3"/>
  <c r="J1345" i="3"/>
  <c r="K1345" i="3"/>
  <c r="L1345" i="3"/>
  <c r="J1346" i="3"/>
  <c r="K1346" i="3"/>
  <c r="L1346" i="3"/>
  <c r="J1347" i="3"/>
  <c r="K1347" i="3"/>
  <c r="L1347" i="3"/>
  <c r="J1348" i="3"/>
  <c r="K1348" i="3"/>
  <c r="L1348" i="3"/>
  <c r="J1349" i="3"/>
  <c r="K1349" i="3"/>
  <c r="L1349" i="3"/>
  <c r="J1350" i="3"/>
  <c r="K1350" i="3"/>
  <c r="L1350" i="3"/>
  <c r="J1351" i="3"/>
  <c r="K1351" i="3"/>
  <c r="L1351" i="3"/>
  <c r="J1352" i="3"/>
  <c r="K1352" i="3"/>
  <c r="L1352" i="3"/>
  <c r="J1353" i="3"/>
  <c r="K1353" i="3"/>
  <c r="L1353" i="3"/>
  <c r="J1354" i="3"/>
  <c r="K1354" i="3"/>
  <c r="L1354" i="3"/>
  <c r="J1355" i="3"/>
  <c r="K1355" i="3"/>
  <c r="L1355" i="3"/>
  <c r="J1356" i="3"/>
  <c r="K1356" i="3"/>
  <c r="L1356" i="3"/>
  <c r="J1357" i="3"/>
  <c r="K1357" i="3"/>
  <c r="L1357" i="3"/>
  <c r="J1358" i="3"/>
  <c r="K1358" i="3"/>
  <c r="L1358" i="3"/>
  <c r="J1359" i="3"/>
  <c r="K1359" i="3"/>
  <c r="L1359" i="3"/>
  <c r="J1360" i="3"/>
  <c r="K1360" i="3"/>
  <c r="L1360" i="3"/>
  <c r="J1361" i="3"/>
  <c r="K1361" i="3"/>
  <c r="L1361" i="3"/>
  <c r="J1362" i="3"/>
  <c r="K1362" i="3"/>
  <c r="L1362" i="3"/>
  <c r="J1363" i="3"/>
  <c r="K1363" i="3"/>
  <c r="L1363" i="3"/>
  <c r="J1364" i="3"/>
  <c r="K1364" i="3"/>
  <c r="L1364" i="3"/>
  <c r="J1365" i="3"/>
  <c r="K1365" i="3"/>
  <c r="L1365" i="3"/>
  <c r="J1366" i="3"/>
  <c r="K1366" i="3"/>
  <c r="L1366" i="3"/>
  <c r="J1367" i="3"/>
  <c r="K1367" i="3"/>
  <c r="L1367" i="3"/>
  <c r="J1368" i="3"/>
  <c r="K1368" i="3"/>
  <c r="L1368" i="3"/>
  <c r="J1369" i="3"/>
  <c r="K1369" i="3"/>
  <c r="L1369" i="3"/>
  <c r="J1370" i="3"/>
  <c r="K1370" i="3"/>
  <c r="L1370" i="3"/>
  <c r="J1371" i="3"/>
  <c r="K1371" i="3"/>
  <c r="L1371" i="3"/>
  <c r="J1372" i="3"/>
  <c r="K1372" i="3"/>
  <c r="L1372" i="3"/>
  <c r="J1373" i="3"/>
  <c r="K1373" i="3"/>
  <c r="L1373" i="3"/>
  <c r="J1374" i="3"/>
  <c r="K1374" i="3"/>
  <c r="L1374" i="3"/>
  <c r="J1375" i="3"/>
  <c r="K1375" i="3"/>
  <c r="L1375" i="3"/>
  <c r="J1376" i="3"/>
  <c r="K1376" i="3"/>
  <c r="L1376" i="3"/>
  <c r="J1377" i="3"/>
  <c r="K1377" i="3"/>
  <c r="L1377" i="3"/>
  <c r="J1378" i="3"/>
  <c r="K1378" i="3"/>
  <c r="L1378" i="3"/>
  <c r="J1379" i="3"/>
  <c r="K1379" i="3"/>
  <c r="L1379" i="3"/>
  <c r="J1380" i="3"/>
  <c r="K1380" i="3"/>
  <c r="L1380" i="3"/>
  <c r="J1381" i="3"/>
  <c r="K1381" i="3"/>
  <c r="L1381" i="3"/>
  <c r="J1382" i="3"/>
  <c r="K1382" i="3"/>
  <c r="L1382" i="3"/>
  <c r="J1383" i="3"/>
  <c r="K1383" i="3"/>
  <c r="L1383" i="3"/>
  <c r="J1384" i="3"/>
  <c r="K1384" i="3"/>
  <c r="L1384" i="3"/>
  <c r="J1385" i="3"/>
  <c r="K1385" i="3"/>
  <c r="L1385" i="3"/>
  <c r="J1386" i="3"/>
  <c r="K1386" i="3"/>
  <c r="L1386" i="3"/>
  <c r="J1387" i="3"/>
  <c r="K1387" i="3"/>
  <c r="L1387" i="3"/>
  <c r="J1388" i="3"/>
  <c r="K1388" i="3"/>
  <c r="L1388" i="3"/>
  <c r="J1389" i="3"/>
  <c r="K1389" i="3"/>
  <c r="L1389" i="3"/>
  <c r="J1390" i="3"/>
  <c r="K1390" i="3"/>
  <c r="L1390" i="3"/>
  <c r="J1391" i="3"/>
  <c r="K1391" i="3"/>
  <c r="L1391" i="3"/>
  <c r="J1392" i="3"/>
  <c r="K1392" i="3"/>
  <c r="L1392" i="3"/>
  <c r="J1393" i="3"/>
  <c r="K1393" i="3"/>
  <c r="L1393" i="3"/>
  <c r="J1394" i="3"/>
  <c r="K1394" i="3"/>
  <c r="L1394" i="3"/>
  <c r="J1395" i="3"/>
  <c r="K1395" i="3"/>
  <c r="L1395" i="3"/>
  <c r="J1396" i="3"/>
  <c r="K1396" i="3"/>
  <c r="L1396" i="3"/>
  <c r="J1397" i="3"/>
  <c r="K1397" i="3"/>
  <c r="L1397" i="3"/>
  <c r="J1398" i="3"/>
  <c r="K1398" i="3"/>
  <c r="L1398" i="3"/>
  <c r="J1399" i="3"/>
  <c r="K1399" i="3"/>
  <c r="L1399" i="3"/>
  <c r="J1400" i="3"/>
  <c r="K1400" i="3"/>
  <c r="L1400" i="3"/>
  <c r="J1401" i="3"/>
  <c r="K1401" i="3"/>
  <c r="L1401" i="3"/>
  <c r="J1402" i="3"/>
  <c r="K1402" i="3"/>
  <c r="L1402" i="3"/>
  <c r="J1403" i="3"/>
  <c r="K1403" i="3"/>
  <c r="L1403" i="3"/>
  <c r="J1404" i="3"/>
  <c r="K1404" i="3"/>
  <c r="L1404" i="3"/>
  <c r="J1405" i="3"/>
  <c r="K1405" i="3"/>
  <c r="L1405" i="3"/>
  <c r="J1406" i="3"/>
  <c r="K1406" i="3"/>
  <c r="L1406" i="3"/>
  <c r="J1407" i="3"/>
  <c r="K1407" i="3"/>
  <c r="L1407" i="3"/>
  <c r="J1408" i="3"/>
  <c r="K1408" i="3"/>
  <c r="L1408" i="3"/>
  <c r="J1409" i="3"/>
  <c r="K1409" i="3"/>
  <c r="L1409" i="3"/>
  <c r="J1410" i="3"/>
  <c r="K1410" i="3"/>
  <c r="L1410" i="3"/>
  <c r="J1411" i="3"/>
  <c r="K1411" i="3"/>
  <c r="L1411" i="3"/>
  <c r="J1412" i="3"/>
  <c r="K1412" i="3"/>
  <c r="L1412" i="3"/>
  <c r="J1413" i="3"/>
  <c r="K1413" i="3"/>
  <c r="L1413" i="3"/>
  <c r="J1414" i="3"/>
  <c r="K1414" i="3"/>
  <c r="L1414" i="3"/>
  <c r="J1415" i="3"/>
  <c r="K1415" i="3"/>
  <c r="L1415" i="3"/>
  <c r="J1416" i="3"/>
  <c r="K1416" i="3"/>
  <c r="L1416" i="3"/>
  <c r="J1417" i="3"/>
  <c r="K1417" i="3"/>
  <c r="L1417" i="3"/>
  <c r="J1418" i="3"/>
  <c r="K1418" i="3"/>
  <c r="L1418" i="3"/>
  <c r="J1419" i="3"/>
  <c r="K1419" i="3"/>
  <c r="L1419" i="3"/>
  <c r="J1420" i="3"/>
  <c r="K1420" i="3"/>
  <c r="L1420" i="3"/>
  <c r="J1421" i="3"/>
  <c r="K1421" i="3"/>
  <c r="L1421" i="3"/>
  <c r="J1422" i="3"/>
  <c r="K1422" i="3"/>
  <c r="L1422" i="3"/>
  <c r="J1423" i="3"/>
  <c r="K1423" i="3"/>
  <c r="L1423" i="3"/>
  <c r="J1424" i="3"/>
  <c r="K1424" i="3"/>
  <c r="L1424" i="3"/>
  <c r="J1425" i="3"/>
  <c r="K1425" i="3"/>
  <c r="L1425" i="3"/>
  <c r="J1426" i="3"/>
  <c r="K1426" i="3"/>
  <c r="L1426" i="3"/>
  <c r="J1427" i="3"/>
  <c r="K1427" i="3"/>
  <c r="L1427" i="3"/>
  <c r="J1428" i="3"/>
  <c r="K1428" i="3"/>
  <c r="L1428" i="3"/>
  <c r="J1429" i="3"/>
  <c r="K1429" i="3"/>
  <c r="L1429" i="3"/>
  <c r="J1430" i="3"/>
  <c r="K1430" i="3"/>
  <c r="L1430" i="3"/>
  <c r="J1431" i="3"/>
  <c r="K1431" i="3"/>
  <c r="L1431" i="3"/>
  <c r="J1432" i="3"/>
  <c r="K1432" i="3"/>
  <c r="L1432" i="3"/>
  <c r="J1433" i="3"/>
  <c r="K1433" i="3"/>
  <c r="L1433" i="3"/>
  <c r="J1434" i="3"/>
  <c r="K1434" i="3"/>
  <c r="L1434" i="3"/>
  <c r="J1435" i="3"/>
  <c r="K1435" i="3"/>
  <c r="L1435" i="3"/>
  <c r="J1436" i="3"/>
  <c r="K1436" i="3"/>
  <c r="L1436" i="3"/>
  <c r="J1437" i="3"/>
  <c r="K1437" i="3"/>
  <c r="L1437" i="3"/>
  <c r="J1438" i="3"/>
  <c r="K1438" i="3"/>
  <c r="L1438" i="3"/>
  <c r="J1439" i="3"/>
  <c r="K1439" i="3"/>
  <c r="L1439" i="3"/>
  <c r="J1440" i="3"/>
  <c r="K1440" i="3"/>
  <c r="L1440" i="3"/>
  <c r="J1441" i="3"/>
  <c r="K1441" i="3"/>
  <c r="L1441" i="3"/>
  <c r="J1442" i="3"/>
  <c r="K1442" i="3"/>
  <c r="L1442" i="3"/>
  <c r="J1443" i="3"/>
  <c r="K1443" i="3"/>
  <c r="L1443" i="3"/>
  <c r="J1444" i="3"/>
  <c r="K1444" i="3"/>
  <c r="L1444" i="3"/>
  <c r="J1445" i="3"/>
  <c r="K1445" i="3"/>
  <c r="L1445" i="3"/>
  <c r="J1446" i="3"/>
  <c r="K1446" i="3"/>
  <c r="L1446" i="3"/>
  <c r="J1447" i="3"/>
  <c r="K1447" i="3"/>
  <c r="L1447" i="3"/>
  <c r="J1448" i="3"/>
  <c r="K1448" i="3"/>
  <c r="L1448" i="3"/>
  <c r="J1449" i="3"/>
  <c r="K1449" i="3"/>
  <c r="L1449" i="3"/>
  <c r="J1450" i="3"/>
  <c r="K1450" i="3"/>
  <c r="L1450" i="3"/>
  <c r="J1451" i="3"/>
  <c r="K1451" i="3"/>
  <c r="L1451" i="3"/>
  <c r="J1452" i="3"/>
  <c r="K1452" i="3"/>
  <c r="L1452" i="3"/>
  <c r="J1453" i="3"/>
  <c r="K1453" i="3"/>
  <c r="L1453" i="3"/>
  <c r="J1454" i="3"/>
  <c r="K1454" i="3"/>
  <c r="L1454" i="3"/>
  <c r="J1455" i="3"/>
  <c r="K1455" i="3"/>
  <c r="L1455" i="3"/>
  <c r="J1456" i="3"/>
  <c r="K1456" i="3"/>
  <c r="L1456" i="3"/>
  <c r="J1457" i="3"/>
  <c r="K1457" i="3"/>
  <c r="L1457" i="3"/>
  <c r="J1458" i="3"/>
  <c r="K1458" i="3"/>
  <c r="L1458" i="3"/>
  <c r="J1459" i="3"/>
  <c r="K1459" i="3"/>
  <c r="L1459" i="3"/>
  <c r="J1460" i="3"/>
  <c r="K1460" i="3"/>
  <c r="L1460" i="3"/>
  <c r="J1461" i="3"/>
  <c r="K1461" i="3"/>
  <c r="L1461" i="3"/>
  <c r="J1462" i="3"/>
  <c r="K1462" i="3"/>
  <c r="L1462" i="3"/>
  <c r="J1463" i="3"/>
  <c r="K1463" i="3"/>
  <c r="L1463" i="3"/>
  <c r="J1464" i="3"/>
  <c r="K1464" i="3"/>
  <c r="L1464" i="3"/>
  <c r="J1465" i="3"/>
  <c r="K1465" i="3"/>
  <c r="L1465" i="3"/>
  <c r="J1466" i="3"/>
  <c r="K1466" i="3"/>
  <c r="L1466" i="3"/>
  <c r="J1467" i="3"/>
  <c r="K1467" i="3"/>
  <c r="L1467" i="3"/>
  <c r="J1468" i="3"/>
  <c r="K1468" i="3"/>
  <c r="L1468" i="3"/>
  <c r="J1469" i="3"/>
  <c r="K1469" i="3"/>
  <c r="L1469" i="3"/>
  <c r="J1470" i="3"/>
  <c r="K1470" i="3"/>
  <c r="L1470" i="3"/>
  <c r="J1471" i="3"/>
  <c r="K1471" i="3"/>
  <c r="L1471" i="3"/>
  <c r="J1472" i="3"/>
  <c r="K1472" i="3"/>
  <c r="L1472" i="3"/>
  <c r="J1473" i="3"/>
  <c r="K1473" i="3"/>
  <c r="L1473" i="3"/>
  <c r="J1474" i="3"/>
  <c r="K1474" i="3"/>
  <c r="L1474" i="3"/>
  <c r="J1475" i="3"/>
  <c r="K1475" i="3"/>
  <c r="L1475" i="3"/>
  <c r="J1476" i="3"/>
  <c r="K1476" i="3"/>
  <c r="L1476" i="3"/>
  <c r="J1477" i="3"/>
  <c r="K1477" i="3"/>
  <c r="L1477" i="3"/>
  <c r="J1478" i="3"/>
  <c r="K1478" i="3"/>
  <c r="L1478" i="3"/>
  <c r="J1479" i="3"/>
  <c r="K1479" i="3"/>
  <c r="L1479" i="3"/>
  <c r="J1480" i="3"/>
  <c r="K1480" i="3"/>
  <c r="L1480" i="3"/>
  <c r="J1481" i="3"/>
  <c r="K1481" i="3"/>
  <c r="L1481" i="3"/>
  <c r="J1482" i="3"/>
  <c r="K1482" i="3"/>
  <c r="L1482" i="3"/>
  <c r="J1483" i="3"/>
  <c r="K1483" i="3"/>
  <c r="L1483" i="3"/>
  <c r="J1484" i="3"/>
  <c r="K1484" i="3"/>
  <c r="L1484" i="3"/>
  <c r="J1485" i="3"/>
  <c r="K1485" i="3"/>
  <c r="L1485" i="3"/>
  <c r="J1486" i="3"/>
  <c r="K1486" i="3"/>
  <c r="L1486" i="3"/>
  <c r="J1487" i="3"/>
  <c r="K1487" i="3"/>
  <c r="L1487" i="3"/>
  <c r="J1488" i="3"/>
  <c r="K1488" i="3"/>
  <c r="L1488" i="3"/>
  <c r="J1489" i="3"/>
  <c r="K1489" i="3"/>
  <c r="L1489" i="3"/>
  <c r="J1490" i="3"/>
  <c r="K1490" i="3"/>
  <c r="L1490" i="3"/>
  <c r="J1491" i="3"/>
  <c r="K1491" i="3"/>
  <c r="L1491" i="3"/>
  <c r="J1492" i="3"/>
  <c r="K1492" i="3"/>
  <c r="L1492" i="3"/>
  <c r="J1493" i="3"/>
  <c r="K1493" i="3"/>
  <c r="L1493" i="3"/>
  <c r="J1494" i="3"/>
  <c r="K1494" i="3"/>
  <c r="L1494" i="3"/>
  <c r="J1495" i="3"/>
  <c r="K1495" i="3"/>
  <c r="L1495" i="3"/>
  <c r="J1496" i="3"/>
  <c r="K1496" i="3"/>
  <c r="L1496" i="3"/>
  <c r="J1497" i="3"/>
  <c r="K1497" i="3"/>
  <c r="L1497" i="3"/>
  <c r="J1498" i="3"/>
  <c r="K1498" i="3"/>
  <c r="L1498" i="3"/>
  <c r="J1499" i="3"/>
  <c r="K1499" i="3"/>
  <c r="L1499" i="3"/>
  <c r="J1500" i="3"/>
  <c r="K1500" i="3"/>
  <c r="L1500" i="3"/>
  <c r="I792" i="6"/>
  <c r="I788" i="6"/>
  <c r="I784" i="6"/>
  <c r="I780" i="6"/>
  <c r="I776" i="6"/>
  <c r="I772" i="6"/>
  <c r="I768" i="6"/>
  <c r="I764" i="6"/>
  <c r="I760" i="6"/>
  <c r="I756" i="6"/>
  <c r="I752" i="6"/>
  <c r="I748" i="6"/>
  <c r="I744" i="6"/>
  <c r="I740" i="6"/>
  <c r="I736" i="6"/>
  <c r="I732" i="6"/>
  <c r="I728" i="6"/>
  <c r="I724" i="6"/>
  <c r="I720" i="6"/>
  <c r="I716" i="6"/>
  <c r="I712" i="6"/>
  <c r="I708" i="6"/>
  <c r="I704" i="6"/>
  <c r="I700" i="6"/>
  <c r="I696" i="6"/>
  <c r="I692" i="6"/>
  <c r="I688" i="6"/>
  <c r="I684" i="6"/>
  <c r="I680" i="6"/>
  <c r="I676" i="6"/>
  <c r="I672" i="6"/>
  <c r="I668" i="6"/>
  <c r="I664" i="6"/>
  <c r="I660" i="6"/>
  <c r="I656" i="6"/>
  <c r="I652" i="6"/>
  <c r="I648" i="6"/>
  <c r="I644" i="6"/>
  <c r="I640" i="6"/>
  <c r="I636" i="6"/>
  <c r="I632" i="6"/>
  <c r="I628" i="6"/>
  <c r="I624" i="6"/>
  <c r="I620" i="6"/>
  <c r="I616" i="6"/>
  <c r="I612" i="6"/>
  <c r="I608" i="6"/>
  <c r="I604" i="6"/>
  <c r="I600" i="6"/>
  <c r="I596" i="6"/>
  <c r="I592" i="6"/>
  <c r="I588" i="6"/>
  <c r="I584" i="6"/>
  <c r="I580" i="6"/>
  <c r="I576" i="6"/>
  <c r="I572" i="6"/>
  <c r="I568" i="6"/>
  <c r="I564" i="6"/>
  <c r="I560" i="6"/>
  <c r="I556" i="6"/>
  <c r="I552" i="6"/>
  <c r="I548" i="6"/>
  <c r="I544" i="6"/>
  <c r="I540" i="6"/>
  <c r="I536" i="6"/>
  <c r="I532" i="6"/>
  <c r="I528" i="6"/>
  <c r="I524" i="6"/>
  <c r="I520" i="6"/>
  <c r="I516" i="6"/>
  <c r="I512" i="6"/>
  <c r="I508" i="6"/>
  <c r="I504" i="6"/>
  <c r="I500" i="6"/>
  <c r="I496" i="6"/>
  <c r="I492" i="6"/>
  <c r="I488" i="6"/>
  <c r="I484" i="6"/>
  <c r="I480" i="6"/>
  <c r="I476" i="6"/>
  <c r="I472" i="6"/>
  <c r="I468" i="6"/>
  <c r="I464" i="6"/>
  <c r="I460" i="6"/>
  <c r="I456" i="6"/>
  <c r="I452" i="6"/>
  <c r="I448" i="6"/>
  <c r="I444" i="6"/>
  <c r="I440" i="6"/>
  <c r="I436" i="6"/>
  <c r="I432" i="6"/>
  <c r="I428" i="6"/>
  <c r="I424" i="6"/>
  <c r="I420" i="6"/>
  <c r="I416" i="6"/>
  <c r="I412" i="6"/>
  <c r="I408" i="6"/>
  <c r="I404" i="6"/>
  <c r="I400" i="6"/>
  <c r="I396" i="6"/>
  <c r="I392" i="6"/>
  <c r="I388" i="6"/>
  <c r="I384" i="6"/>
  <c r="I380" i="6"/>
  <c r="I376" i="6"/>
  <c r="I372" i="6"/>
  <c r="I368" i="6"/>
  <c r="I364" i="6"/>
  <c r="I360" i="6"/>
  <c r="I356" i="6"/>
  <c r="I352" i="6"/>
  <c r="I348" i="6"/>
  <c r="I344" i="6"/>
  <c r="I340" i="6"/>
  <c r="I336" i="6"/>
  <c r="I332" i="6"/>
  <c r="I328" i="6"/>
  <c r="I324" i="6"/>
  <c r="I320" i="6"/>
  <c r="I316" i="6"/>
  <c r="I312" i="6"/>
  <c r="I308" i="6"/>
  <c r="I304" i="6"/>
  <c r="I300" i="6"/>
  <c r="I296" i="6"/>
  <c r="I292" i="6"/>
  <c r="I288" i="6"/>
  <c r="I284" i="6"/>
  <c r="I280" i="6"/>
  <c r="I276" i="6"/>
  <c r="I272" i="6"/>
  <c r="I268" i="6"/>
  <c r="I264" i="6"/>
  <c r="I260" i="6"/>
  <c r="I256" i="6"/>
  <c r="I252" i="6"/>
  <c r="I248" i="6"/>
  <c r="I244" i="6"/>
  <c r="I240" i="6"/>
  <c r="I236" i="6"/>
  <c r="I232" i="6"/>
  <c r="I228" i="6"/>
  <c r="I224" i="6"/>
  <c r="I220" i="6"/>
  <c r="I216" i="6"/>
  <c r="I212" i="6"/>
  <c r="I208" i="6"/>
  <c r="I204" i="6"/>
  <c r="I200" i="6"/>
  <c r="I196" i="6"/>
  <c r="I192" i="6"/>
  <c r="I188" i="6"/>
  <c r="I184" i="6"/>
  <c r="I180" i="6"/>
  <c r="I176" i="6"/>
  <c r="I172" i="6"/>
  <c r="I168" i="6"/>
  <c r="I164" i="6"/>
  <c r="I160" i="6"/>
  <c r="I156" i="6"/>
  <c r="I152" i="6"/>
  <c r="I148" i="6"/>
  <c r="I144" i="6"/>
  <c r="I140" i="6"/>
  <c r="I136" i="6"/>
  <c r="I132" i="6"/>
  <c r="I128" i="6"/>
  <c r="I124" i="6"/>
  <c r="I120" i="6"/>
  <c r="I116" i="6"/>
  <c r="I112" i="6"/>
  <c r="I108" i="6"/>
  <c r="I104" i="6"/>
  <c r="I100" i="6"/>
  <c r="I96" i="6"/>
  <c r="I92" i="6"/>
  <c r="I88" i="6"/>
  <c r="I84" i="6"/>
  <c r="I80" i="6"/>
  <c r="I76" i="6"/>
  <c r="I72" i="6"/>
  <c r="I68" i="6"/>
  <c r="I64" i="6"/>
  <c r="I60" i="6"/>
  <c r="I56" i="6"/>
  <c r="I52" i="6"/>
  <c r="I48" i="6"/>
  <c r="I44" i="6"/>
  <c r="I40" i="6"/>
  <c r="I36" i="6"/>
  <c r="I32" i="6"/>
  <c r="I28" i="6"/>
  <c r="I24" i="6"/>
  <c r="J7" i="7" l="1"/>
  <c r="L7" i="7"/>
  <c r="G8" i="7"/>
  <c r="K7" i="7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5" i="6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7" i="5"/>
  <c r="L8" i="7" l="1"/>
  <c r="K8" i="7"/>
  <c r="J8" i="7"/>
  <c r="G9" i="7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5" i="5"/>
  <c r="G10" i="7" l="1"/>
  <c r="L9" i="7"/>
  <c r="K9" i="7"/>
  <c r="J9" i="7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G5" i="3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J10" i="7" l="1"/>
  <c r="G11" i="7"/>
  <c r="L10" i="7"/>
  <c r="K10" i="7"/>
  <c r="J8" i="3"/>
  <c r="K8" i="3"/>
  <c r="L8" i="3"/>
  <c r="J7" i="3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J11" i="7" l="1"/>
  <c r="G12" i="7"/>
  <c r="L11" i="7"/>
  <c r="K11" i="7"/>
  <c r="J9" i="3"/>
  <c r="K9" i="3"/>
  <c r="L9" i="3"/>
  <c r="L7" i="3"/>
  <c r="K7" i="3"/>
  <c r="L12" i="7" l="1"/>
  <c r="K12" i="7"/>
  <c r="J12" i="7"/>
  <c r="G13" i="7"/>
  <c r="L10" i="3"/>
  <c r="J10" i="3"/>
  <c r="K10" i="3"/>
  <c r="G14" i="7" l="1"/>
  <c r="L13" i="7"/>
  <c r="K13" i="7"/>
  <c r="J13" i="7"/>
  <c r="J11" i="3"/>
  <c r="K11" i="3"/>
  <c r="L11" i="3"/>
  <c r="G15" i="7" l="1"/>
  <c r="K14" i="7"/>
  <c r="L14" i="7"/>
  <c r="J14" i="7"/>
  <c r="J12" i="3"/>
  <c r="K12" i="3"/>
  <c r="L12" i="3"/>
  <c r="J15" i="7" l="1"/>
  <c r="L15" i="7"/>
  <c r="G16" i="7"/>
  <c r="K15" i="7"/>
  <c r="K13" i="3"/>
  <c r="L13" i="3"/>
  <c r="J13" i="3"/>
  <c r="L16" i="7" l="1"/>
  <c r="K16" i="7"/>
  <c r="J16" i="7"/>
  <c r="G17" i="7"/>
  <c r="J14" i="3"/>
  <c r="K14" i="3"/>
  <c r="L14" i="3"/>
  <c r="G18" i="7" l="1"/>
  <c r="L17" i="7"/>
  <c r="K17" i="7"/>
  <c r="J17" i="7"/>
  <c r="J15" i="3"/>
  <c r="K15" i="3"/>
  <c r="L15" i="3"/>
  <c r="G19" i="7" l="1"/>
  <c r="J18" i="7"/>
  <c r="K18" i="7"/>
  <c r="L18" i="7"/>
  <c r="J16" i="3"/>
  <c r="K16" i="3"/>
  <c r="L16" i="3"/>
  <c r="J19" i="7" l="1"/>
  <c r="L19" i="7"/>
  <c r="G20" i="7"/>
  <c r="K19" i="7"/>
  <c r="J17" i="3"/>
  <c r="K17" i="3"/>
  <c r="L17" i="3"/>
  <c r="L20" i="7" l="1"/>
  <c r="K20" i="7"/>
  <c r="J20" i="7"/>
  <c r="G21" i="7"/>
  <c r="L18" i="3"/>
  <c r="J18" i="3"/>
  <c r="K18" i="3"/>
  <c r="G22" i="7" l="1"/>
  <c r="L21" i="7"/>
  <c r="K21" i="7"/>
  <c r="J21" i="7"/>
  <c r="J19" i="3"/>
  <c r="K19" i="3"/>
  <c r="L19" i="3"/>
  <c r="G23" i="7" l="1"/>
  <c r="L22" i="7"/>
  <c r="K22" i="7"/>
  <c r="J22" i="7"/>
  <c r="J20" i="3"/>
  <c r="K20" i="3"/>
  <c r="L20" i="3"/>
  <c r="J23" i="7" l="1"/>
  <c r="L23" i="7"/>
  <c r="G24" i="7"/>
  <c r="K23" i="7"/>
  <c r="K21" i="3"/>
  <c r="L21" i="3"/>
  <c r="J21" i="3"/>
  <c r="G25" i="7" l="1"/>
  <c r="J22" i="3"/>
  <c r="K22" i="3"/>
  <c r="L22" i="3"/>
  <c r="G26" i="7" l="1"/>
  <c r="L25" i="7"/>
  <c r="K25" i="7"/>
  <c r="J25" i="7"/>
  <c r="J23" i="3"/>
  <c r="K23" i="3"/>
  <c r="L23" i="3"/>
  <c r="J26" i="7" l="1"/>
  <c r="G27" i="7"/>
  <c r="L26" i="7"/>
  <c r="K26" i="7"/>
  <c r="J24" i="3"/>
  <c r="K24" i="3"/>
  <c r="L24" i="3"/>
  <c r="J27" i="7" l="1"/>
  <c r="G28" i="7"/>
  <c r="L27" i="7"/>
  <c r="K27" i="7"/>
  <c r="J25" i="3"/>
  <c r="K25" i="3"/>
  <c r="L25" i="3"/>
  <c r="L28" i="7" l="1"/>
  <c r="K28" i="7"/>
  <c r="J28" i="7"/>
  <c r="G29" i="7"/>
  <c r="L26" i="3"/>
  <c r="J26" i="3"/>
  <c r="K26" i="3"/>
  <c r="G30" i="7" l="1"/>
  <c r="L29" i="7"/>
  <c r="K29" i="7"/>
  <c r="J29" i="7"/>
  <c r="J27" i="3"/>
  <c r="K27" i="3"/>
  <c r="L27" i="3"/>
  <c r="J30" i="7" l="1"/>
  <c r="G31" i="7"/>
  <c r="K30" i="7"/>
  <c r="L30" i="7"/>
  <c r="J28" i="3"/>
  <c r="K28" i="3"/>
  <c r="L28" i="3"/>
  <c r="J31" i="7" l="1"/>
  <c r="G32" i="7"/>
  <c r="L31" i="7"/>
  <c r="K31" i="7"/>
  <c r="K29" i="3"/>
  <c r="L29" i="3"/>
  <c r="J29" i="3"/>
  <c r="L32" i="7" l="1"/>
  <c r="K32" i="7"/>
  <c r="G33" i="7"/>
  <c r="J32" i="7"/>
  <c r="J30" i="3"/>
  <c r="K30" i="3"/>
  <c r="L30" i="3"/>
  <c r="G34" i="7" l="1"/>
  <c r="L33" i="7"/>
  <c r="K33" i="7"/>
  <c r="J33" i="7"/>
  <c r="J31" i="3"/>
  <c r="K31" i="3"/>
  <c r="L31" i="3"/>
  <c r="G35" i="7" l="1"/>
  <c r="L34" i="7"/>
  <c r="K34" i="7"/>
  <c r="J34" i="7"/>
  <c r="J32" i="3"/>
  <c r="K32" i="3"/>
  <c r="L32" i="3"/>
  <c r="J35" i="7" l="1"/>
  <c r="G36" i="7"/>
  <c r="L35" i="7"/>
  <c r="K35" i="7"/>
  <c r="J33" i="3"/>
  <c r="K33" i="3"/>
  <c r="L33" i="3"/>
  <c r="L36" i="7" l="1"/>
  <c r="K36" i="7"/>
  <c r="J36" i="7"/>
  <c r="G37" i="7"/>
  <c r="L34" i="3"/>
  <c r="J34" i="3"/>
  <c r="K34" i="3"/>
  <c r="G38" i="7" l="1"/>
  <c r="L37" i="7"/>
  <c r="K37" i="7"/>
  <c r="J37" i="7"/>
  <c r="J35" i="3"/>
  <c r="K35" i="3"/>
  <c r="L35" i="3"/>
  <c r="G39" i="7" l="1"/>
  <c r="K38" i="7"/>
  <c r="L38" i="7"/>
  <c r="J38" i="7"/>
  <c r="J36" i="3"/>
  <c r="K36" i="3"/>
  <c r="L36" i="3"/>
  <c r="J39" i="7" l="1"/>
  <c r="G40" i="7"/>
  <c r="L39" i="7"/>
  <c r="K39" i="7"/>
  <c r="K37" i="3"/>
  <c r="L37" i="3"/>
  <c r="J37" i="3"/>
  <c r="L40" i="7" l="1"/>
  <c r="K40" i="7"/>
  <c r="J40" i="7"/>
  <c r="G41" i="7"/>
  <c r="J38" i="3"/>
  <c r="K38" i="3"/>
  <c r="L38" i="3"/>
  <c r="G42" i="7" l="1"/>
  <c r="L41" i="7"/>
  <c r="K41" i="7"/>
  <c r="J41" i="7"/>
  <c r="J39" i="3"/>
  <c r="K39" i="3"/>
  <c r="L39" i="3"/>
  <c r="G43" i="7" l="1"/>
  <c r="K42" i="7"/>
  <c r="L42" i="7"/>
  <c r="J42" i="7"/>
  <c r="J40" i="3"/>
  <c r="K40" i="3"/>
  <c r="L40" i="3"/>
  <c r="J43" i="7" l="1"/>
  <c r="L43" i="7"/>
  <c r="G44" i="7"/>
  <c r="K43" i="7"/>
  <c r="J41" i="3"/>
  <c r="K41" i="3"/>
  <c r="L41" i="3"/>
  <c r="L44" i="7" l="1"/>
  <c r="K44" i="7"/>
  <c r="J44" i="7"/>
  <c r="G45" i="7"/>
  <c r="L42" i="3"/>
  <c r="J42" i="3"/>
  <c r="K42" i="3"/>
  <c r="G46" i="7" l="1"/>
  <c r="L45" i="7"/>
  <c r="K45" i="7"/>
  <c r="J45" i="7"/>
  <c r="J43" i="3"/>
  <c r="K43" i="3"/>
  <c r="L43" i="3"/>
  <c r="G47" i="7" l="1"/>
  <c r="J46" i="7"/>
  <c r="L46" i="7"/>
  <c r="K46" i="7"/>
  <c r="J44" i="3"/>
  <c r="K44" i="3"/>
  <c r="L44" i="3"/>
  <c r="J47" i="7" l="1"/>
  <c r="G48" i="7"/>
  <c r="L47" i="7"/>
  <c r="K47" i="7"/>
  <c r="K45" i="3"/>
  <c r="L45" i="3"/>
  <c r="J45" i="3"/>
  <c r="G49" i="7" l="1"/>
  <c r="J46" i="3"/>
  <c r="K46" i="3"/>
  <c r="L46" i="3"/>
  <c r="G50" i="7" l="1"/>
  <c r="L49" i="7"/>
  <c r="K49" i="7"/>
  <c r="J49" i="7"/>
  <c r="J47" i="3"/>
  <c r="K47" i="3"/>
  <c r="L47" i="3"/>
  <c r="G51" i="7" l="1"/>
  <c r="J50" i="7"/>
  <c r="L50" i="7"/>
  <c r="K50" i="7"/>
  <c r="J48" i="3"/>
  <c r="K48" i="3"/>
  <c r="L48" i="3"/>
  <c r="J51" i="7" l="1"/>
  <c r="G52" i="7"/>
  <c r="L51" i="7"/>
  <c r="K51" i="7"/>
  <c r="J49" i="3"/>
  <c r="K49" i="3"/>
  <c r="L49" i="3"/>
  <c r="L52" i="7" l="1"/>
  <c r="G53" i="7"/>
  <c r="K52" i="7"/>
  <c r="J52" i="7"/>
  <c r="L50" i="3"/>
  <c r="J50" i="3"/>
  <c r="K50" i="3"/>
  <c r="G54" i="7" l="1"/>
  <c r="L53" i="7"/>
  <c r="K53" i="7"/>
  <c r="J53" i="7"/>
  <c r="J51" i="3"/>
  <c r="K51" i="3"/>
  <c r="L51" i="3"/>
  <c r="G55" i="7" l="1"/>
  <c r="L54" i="7"/>
  <c r="K54" i="7"/>
  <c r="J54" i="7"/>
  <c r="J52" i="3"/>
  <c r="K52" i="3"/>
  <c r="L52" i="3"/>
  <c r="J55" i="7" l="1"/>
  <c r="L55" i="7"/>
  <c r="G56" i="7"/>
  <c r="K55" i="7"/>
  <c r="K53" i="3"/>
  <c r="L53" i="3"/>
  <c r="J53" i="3"/>
  <c r="L56" i="7" l="1"/>
  <c r="K56" i="7"/>
  <c r="G57" i="7"/>
  <c r="J56" i="7"/>
  <c r="J54" i="3"/>
  <c r="K54" i="3"/>
  <c r="L54" i="3"/>
  <c r="G58" i="7" l="1"/>
  <c r="L57" i="7"/>
  <c r="K57" i="7"/>
  <c r="J57" i="7"/>
  <c r="J55" i="3"/>
  <c r="K55" i="3"/>
  <c r="L55" i="3"/>
  <c r="J58" i="7" l="1"/>
  <c r="G59" i="7"/>
  <c r="K58" i="7"/>
  <c r="L58" i="7"/>
  <c r="J56" i="3"/>
  <c r="K56" i="3"/>
  <c r="L56" i="3"/>
  <c r="J59" i="7" l="1"/>
  <c r="L59" i="7"/>
  <c r="G60" i="7"/>
  <c r="K59" i="7"/>
  <c r="J57" i="3"/>
  <c r="K57" i="3"/>
  <c r="L57" i="3"/>
  <c r="L60" i="7" l="1"/>
  <c r="K60" i="7"/>
  <c r="J60" i="7"/>
  <c r="G61" i="7"/>
  <c r="L58" i="3"/>
  <c r="J58" i="3"/>
  <c r="K58" i="3"/>
  <c r="G62" i="7" l="1"/>
  <c r="L61" i="7"/>
  <c r="K61" i="7"/>
  <c r="J61" i="7"/>
  <c r="J59" i="3"/>
  <c r="K59" i="3"/>
  <c r="L59" i="3"/>
  <c r="J62" i="7" l="1"/>
  <c r="G63" i="7"/>
  <c r="L62" i="7"/>
  <c r="K62" i="7"/>
  <c r="J60" i="3"/>
  <c r="K60" i="3"/>
  <c r="L60" i="3"/>
  <c r="J63" i="7" l="1"/>
  <c r="G64" i="7"/>
  <c r="L63" i="7"/>
  <c r="K63" i="7"/>
  <c r="K61" i="3"/>
  <c r="L61" i="3"/>
  <c r="J61" i="3"/>
  <c r="L64" i="7" l="1"/>
  <c r="K64" i="7"/>
  <c r="J64" i="7"/>
  <c r="G65" i="7"/>
  <c r="J62" i="3"/>
  <c r="K62" i="3"/>
  <c r="L62" i="3"/>
  <c r="G66" i="7" l="1"/>
  <c r="L65" i="7"/>
  <c r="K65" i="7"/>
  <c r="J65" i="7"/>
  <c r="J63" i="3"/>
  <c r="K63" i="3"/>
  <c r="L63" i="3"/>
  <c r="J66" i="7" l="1"/>
  <c r="G67" i="7"/>
  <c r="L66" i="7"/>
  <c r="K66" i="7"/>
  <c r="J64" i="3"/>
  <c r="K64" i="3"/>
  <c r="L64" i="3"/>
  <c r="J67" i="7" l="1"/>
  <c r="G68" i="7"/>
  <c r="L67" i="7"/>
  <c r="K67" i="7"/>
  <c r="J65" i="3"/>
  <c r="K65" i="3"/>
  <c r="L65" i="3"/>
  <c r="L68" i="7" l="1"/>
  <c r="K68" i="7"/>
  <c r="J68" i="7"/>
  <c r="G69" i="7"/>
  <c r="L66" i="3"/>
  <c r="J66" i="3"/>
  <c r="K66" i="3"/>
  <c r="G70" i="7" l="1"/>
  <c r="L69" i="7"/>
  <c r="K69" i="7"/>
  <c r="J69" i="7"/>
  <c r="J67" i="3"/>
  <c r="K67" i="3"/>
  <c r="L67" i="3"/>
  <c r="G71" i="7" l="1"/>
  <c r="L70" i="7"/>
  <c r="K70" i="7"/>
  <c r="J70" i="7"/>
  <c r="J68" i="3"/>
  <c r="K68" i="3"/>
  <c r="L68" i="3"/>
  <c r="J71" i="7" l="1"/>
  <c r="G72" i="7"/>
  <c r="L71" i="7"/>
  <c r="K71" i="7"/>
  <c r="K69" i="3"/>
  <c r="L69" i="3"/>
  <c r="J69" i="3"/>
  <c r="G73" i="7" l="1"/>
  <c r="J70" i="3"/>
  <c r="K70" i="3"/>
  <c r="L70" i="3"/>
  <c r="G74" i="7" l="1"/>
  <c r="L73" i="7"/>
  <c r="K73" i="7"/>
  <c r="J73" i="7"/>
  <c r="J71" i="3"/>
  <c r="K71" i="3"/>
  <c r="L71" i="3"/>
  <c r="G75" i="7" l="1"/>
  <c r="L74" i="7"/>
  <c r="K74" i="7"/>
  <c r="J74" i="7"/>
  <c r="J72" i="3"/>
  <c r="K72" i="3"/>
  <c r="L72" i="3"/>
  <c r="J75" i="7" l="1"/>
  <c r="G76" i="7"/>
  <c r="L75" i="7"/>
  <c r="K75" i="7"/>
  <c r="J73" i="3"/>
  <c r="K73" i="3"/>
  <c r="L73" i="3"/>
  <c r="L76" i="7" l="1"/>
  <c r="K76" i="7"/>
  <c r="G77" i="7"/>
  <c r="J76" i="7"/>
  <c r="L74" i="3"/>
  <c r="J74" i="3"/>
  <c r="K74" i="3"/>
  <c r="G78" i="7" l="1"/>
  <c r="L77" i="7"/>
  <c r="K77" i="7"/>
  <c r="J77" i="7"/>
  <c r="J75" i="3"/>
  <c r="K75" i="3"/>
  <c r="L75" i="3"/>
  <c r="J78" i="7" l="1"/>
  <c r="G79" i="7"/>
  <c r="L78" i="7"/>
  <c r="K78" i="7"/>
  <c r="J76" i="3"/>
  <c r="K76" i="3"/>
  <c r="L76" i="3"/>
  <c r="J79" i="7" l="1"/>
  <c r="L79" i="7"/>
  <c r="G80" i="7"/>
  <c r="K79" i="7"/>
  <c r="K77" i="3"/>
  <c r="L77" i="3"/>
  <c r="J77" i="3"/>
  <c r="L80" i="7" l="1"/>
  <c r="K80" i="7"/>
  <c r="J80" i="7"/>
  <c r="G81" i="7"/>
  <c r="J78" i="3"/>
  <c r="K78" i="3"/>
  <c r="L78" i="3"/>
  <c r="G82" i="7" l="1"/>
  <c r="L81" i="7"/>
  <c r="K81" i="7"/>
  <c r="J81" i="7"/>
  <c r="J79" i="3"/>
  <c r="K79" i="3"/>
  <c r="L79" i="3"/>
  <c r="J82" i="7" l="1"/>
  <c r="G83" i="7"/>
  <c r="L82" i="7"/>
  <c r="K82" i="7"/>
  <c r="J80" i="3"/>
  <c r="K80" i="3"/>
  <c r="L80" i="3"/>
  <c r="J83" i="7" l="1"/>
  <c r="G84" i="7"/>
  <c r="L83" i="7"/>
  <c r="K83" i="7"/>
  <c r="J81" i="3"/>
  <c r="K81" i="3"/>
  <c r="L81" i="3"/>
  <c r="L84" i="7" l="1"/>
  <c r="K84" i="7"/>
  <c r="J84" i="7"/>
  <c r="G85" i="7"/>
  <c r="L82" i="3"/>
  <c r="J82" i="3"/>
  <c r="K82" i="3"/>
  <c r="G86" i="7" l="1"/>
  <c r="L85" i="7"/>
  <c r="K85" i="7"/>
  <c r="J85" i="7"/>
  <c r="J83" i="3"/>
  <c r="K83" i="3"/>
  <c r="L83" i="3"/>
  <c r="J86" i="7" l="1"/>
  <c r="G87" i="7"/>
  <c r="L86" i="7"/>
  <c r="K86" i="7"/>
  <c r="J84" i="3"/>
  <c r="K84" i="3"/>
  <c r="L84" i="3"/>
  <c r="J87" i="7" l="1"/>
  <c r="G88" i="7"/>
  <c r="L87" i="7"/>
  <c r="K87" i="7"/>
  <c r="K85" i="3"/>
  <c r="L85" i="3"/>
  <c r="J85" i="3"/>
  <c r="L88" i="7" l="1"/>
  <c r="K88" i="7"/>
  <c r="J88" i="7"/>
  <c r="G89" i="7"/>
  <c r="J86" i="3"/>
  <c r="K86" i="3"/>
  <c r="L86" i="3"/>
  <c r="G90" i="7" l="1"/>
  <c r="L89" i="7"/>
  <c r="K89" i="7"/>
  <c r="J89" i="7"/>
  <c r="J87" i="3"/>
  <c r="K87" i="3"/>
  <c r="L87" i="3"/>
  <c r="G91" i="7" l="1"/>
  <c r="J90" i="7"/>
  <c r="L90" i="7"/>
  <c r="K90" i="7"/>
  <c r="J88" i="3"/>
  <c r="K88" i="3"/>
  <c r="L88" i="3"/>
  <c r="J91" i="7" l="1"/>
  <c r="L91" i="7"/>
  <c r="G92" i="7"/>
  <c r="K91" i="7"/>
  <c r="J89" i="3"/>
  <c r="K89" i="3"/>
  <c r="L89" i="3"/>
  <c r="L92" i="7" l="1"/>
  <c r="K92" i="7"/>
  <c r="J92" i="7"/>
  <c r="G93" i="7"/>
  <c r="L90" i="3"/>
  <c r="J90" i="3"/>
  <c r="K90" i="3"/>
  <c r="G94" i="7" l="1"/>
  <c r="L93" i="7"/>
  <c r="K93" i="7"/>
  <c r="J93" i="7"/>
  <c r="J91" i="3"/>
  <c r="K91" i="3"/>
  <c r="L91" i="3"/>
  <c r="G95" i="7" l="1"/>
  <c r="L94" i="7"/>
  <c r="J94" i="7"/>
  <c r="K94" i="7"/>
  <c r="J92" i="3"/>
  <c r="K92" i="3"/>
  <c r="L92" i="3"/>
  <c r="J95" i="7" l="1"/>
  <c r="G96" i="7"/>
  <c r="L95" i="7"/>
  <c r="K95" i="7"/>
  <c r="K93" i="3"/>
  <c r="L93" i="3"/>
  <c r="J93" i="3"/>
  <c r="G97" i="7" l="1"/>
  <c r="J94" i="3"/>
  <c r="K94" i="3"/>
  <c r="L94" i="3"/>
  <c r="G98" i="7" l="1"/>
  <c r="L97" i="7"/>
  <c r="K97" i="7"/>
  <c r="J97" i="7"/>
  <c r="J95" i="3"/>
  <c r="K95" i="3"/>
  <c r="L95" i="3"/>
  <c r="G99" i="7" l="1"/>
  <c r="J98" i="7"/>
  <c r="L98" i="7"/>
  <c r="K98" i="7"/>
  <c r="J96" i="3"/>
  <c r="K96" i="3"/>
  <c r="L96" i="3"/>
  <c r="J99" i="7" l="1"/>
  <c r="L99" i="7"/>
  <c r="G100" i="7"/>
  <c r="K99" i="7"/>
  <c r="J97" i="3"/>
  <c r="K97" i="3"/>
  <c r="L97" i="3"/>
  <c r="L100" i="7" l="1"/>
  <c r="G101" i="7"/>
  <c r="K100" i="7"/>
  <c r="J100" i="7"/>
  <c r="L98" i="3"/>
  <c r="J98" i="3"/>
  <c r="K98" i="3"/>
  <c r="G102" i="7" l="1"/>
  <c r="L101" i="7"/>
  <c r="K101" i="7"/>
  <c r="J101" i="7"/>
  <c r="K96" i="7"/>
  <c r="L96" i="7"/>
  <c r="J96" i="7"/>
  <c r="J99" i="3"/>
  <c r="K99" i="3"/>
  <c r="L99" i="3"/>
  <c r="J102" i="7" l="1"/>
  <c r="L102" i="7"/>
  <c r="K102" i="7"/>
  <c r="J6" i="7"/>
  <c r="L6" i="7"/>
  <c r="K6" i="7"/>
  <c r="J24" i="7"/>
  <c r="L24" i="7"/>
  <c r="K24" i="7"/>
  <c r="L48" i="7"/>
  <c r="K48" i="7"/>
  <c r="J48" i="7"/>
  <c r="J72" i="7"/>
  <c r="L72" i="7"/>
  <c r="K72" i="7"/>
  <c r="J100" i="3"/>
  <c r="K100" i="3"/>
  <c r="L100" i="3"/>
  <c r="P5" i="7" l="1"/>
  <c r="Q5" i="7"/>
  <c r="O5" i="7"/>
  <c r="K101" i="3"/>
  <c r="L101" i="3"/>
  <c r="J101" i="3"/>
  <c r="J102" i="3" l="1"/>
  <c r="K102" i="3"/>
  <c r="L102" i="3"/>
  <c r="K6" i="3"/>
  <c r="P5" i="3" s="1"/>
  <c r="L6" i="3"/>
  <c r="Q5" i="3" s="1"/>
  <c r="J6" i="3"/>
  <c r="O5" i="3" s="1"/>
</calcChain>
</file>

<file path=xl/sharedStrings.xml><?xml version="1.0" encoding="utf-8"?>
<sst xmlns="http://schemas.openxmlformats.org/spreadsheetml/2006/main" count="3968" uniqueCount="950">
  <si>
    <t>Data From Logger</t>
  </si>
  <si>
    <t>Date</t>
  </si>
  <si>
    <t>Value</t>
  </si>
  <si>
    <t>Time Category</t>
  </si>
  <si>
    <t>Day</t>
  </si>
  <si>
    <t>Evening</t>
  </si>
  <si>
    <t>Night</t>
  </si>
  <si>
    <t>Daily Averages</t>
  </si>
  <si>
    <t>Min</t>
  </si>
  <si>
    <t>Time</t>
  </si>
  <si>
    <t/>
  </si>
  <si>
    <t>corrected time category column</t>
  </si>
  <si>
    <t>removed macro and added another sheet for manual sorting of loger data</t>
  </si>
  <si>
    <t>STEP 1</t>
  </si>
  <si>
    <t>"Data" &gt; "Text to Columns"</t>
  </si>
  <si>
    <t>i.</t>
  </si>
  <si>
    <t>ii.</t>
  </si>
  <si>
    <t>Highlight all data in column E</t>
  </si>
  <si>
    <t>iii.</t>
  </si>
  <si>
    <t>"Delimited" &gt; &lt;Next&gt;</t>
  </si>
  <si>
    <t>Delimiters = "Space"</t>
  </si>
  <si>
    <t>Set first column to DMY</t>
  </si>
  <si>
    <t>&lt;Finish&gt;</t>
  </si>
  <si>
    <t>iv.</t>
  </si>
  <si>
    <t>v.</t>
  </si>
  <si>
    <t>vi.</t>
  </si>
  <si>
    <t>Round time period to the nearest round value:</t>
  </si>
  <si>
    <t>Keep in mind that logger data is recorded at "time period ended"</t>
  </si>
  <si>
    <t>=MROUND(Fx, "0:15") - to round to nearest 15 minute</t>
  </si>
  <si>
    <t>=MROUND(Fx, "1:") - to round to nearest hour</t>
  </si>
  <si>
    <t>NOTE: Errors or incorrect data in the "DATE" column</t>
  </si>
  <si>
    <t>is usually caused by excel defaulting to mm/dd/yyyy format. Fix this manually</t>
  </si>
  <si>
    <t>Correct this by adding half a day, ie: = 8:00:00 PM + 0.5 = 8:00:00 AM</t>
  </si>
  <si>
    <t>NOTE: Sometimes time may have AM and PM switched (ie 12 hours out)</t>
  </si>
  <si>
    <t>STEP 4 - Copy data into next tab</t>
  </si>
  <si>
    <t>Copy DATE, TIME and VALUE into their respective columns in the results tab</t>
  </si>
  <si>
    <t>STEP 2 - Split into columns</t>
  </si>
  <si>
    <t>L90 - Only copy corrected, 1 hour L90 data that has been rounded to the nearest hour</t>
  </si>
  <si>
    <t>Copy DATE data</t>
  </si>
  <si>
    <t>from logger into these columns</t>
  </si>
  <si>
    <t>copy &amp; paste TIME/DATE &amp; VALUES</t>
  </si>
  <si>
    <t>from column B into column E</t>
  </si>
  <si>
    <t>STEP 3 - Clean up data and fix errors (if needed)</t>
  </si>
  <si>
    <t>19/03/2020 14:00:15.500</t>
  </si>
  <si>
    <t>19/03/2020 15:00:15.500</t>
  </si>
  <si>
    <t>19/03/2020 16:00:15.500</t>
  </si>
  <si>
    <t>19/03/2020 17:00:15.500</t>
  </si>
  <si>
    <t>19/03/2020 18:00:15.500</t>
  </si>
  <si>
    <t>19/03/2020 19:00:15.500</t>
  </si>
  <si>
    <t>19/03/2020 20:00:15.500</t>
  </si>
  <si>
    <t>19/03/2020 21:00:15.500</t>
  </si>
  <si>
    <t>19/03/2020 22:00:15.500</t>
  </si>
  <si>
    <t>19/03/2020 23:00:15.500</t>
  </si>
  <si>
    <t>20/03/2020 0:00:15.500</t>
  </si>
  <si>
    <t>20/03/2020 1:00:15.500</t>
  </si>
  <si>
    <t>20/03/2020 2:00:15.500</t>
  </si>
  <si>
    <t>20/03/2020 3:00:15.500</t>
  </si>
  <si>
    <t>20/03/2020 4:00:15.500</t>
  </si>
  <si>
    <t>20/03/2020 5:00:15.500</t>
  </si>
  <si>
    <t>20/03/2020 6:00:15.500</t>
  </si>
  <si>
    <t>20/03/2020 7:00:15.500</t>
  </si>
  <si>
    <t>20/03/2020 8:00:15.500</t>
  </si>
  <si>
    <t>20/03/2020 9:00:15.500</t>
  </si>
  <si>
    <t>20/03/2020 10:00:15.500</t>
  </si>
  <si>
    <t>20/03/2020 11:00:15.500</t>
  </si>
  <si>
    <t>20/03/2020 12:00:15.500</t>
  </si>
  <si>
    <t>20/03/2020 13:00:15.500</t>
  </si>
  <si>
    <t>20/03/2020 14:00:15.500</t>
  </si>
  <si>
    <t>20/03/2020 15:00:15.500</t>
  </si>
  <si>
    <t>20/03/2020 16:00:15.500</t>
  </si>
  <si>
    <t>20/03/2020 17:00:15.500</t>
  </si>
  <si>
    <t>20/03/2020 18:00:15.500</t>
  </si>
  <si>
    <t>20/03/2020 19:00:15.500</t>
  </si>
  <si>
    <t>20/03/2020 20:00:15.500</t>
  </si>
  <si>
    <t>20/03/2020 21:00:15.500</t>
  </si>
  <si>
    <t>20/03/2020 22:00:15.500</t>
  </si>
  <si>
    <t>20/03/2020 23:00:15.500</t>
  </si>
  <si>
    <t>21/03/2020 0:00:15.500</t>
  </si>
  <si>
    <t>21/03/2020 1:00:15.500</t>
  </si>
  <si>
    <t>21/03/2020 2:00:15.500</t>
  </si>
  <si>
    <t>21/03/2020 3:00:15.500</t>
  </si>
  <si>
    <t>21/03/2020 4:00:15.500</t>
  </si>
  <si>
    <t>21/03/2020 5:00:15.500</t>
  </si>
  <si>
    <t>21/03/2020 6:00:15.500</t>
  </si>
  <si>
    <t>21/03/2020 7:00:15.500</t>
  </si>
  <si>
    <t>21/03/2020 8:00:15.500</t>
  </si>
  <si>
    <t>21/03/2020 9:00:15.500</t>
  </si>
  <si>
    <t>21/03/2020 10:00:15.500</t>
  </si>
  <si>
    <t>21/03/2020 11:00:15.500</t>
  </si>
  <si>
    <t>21/03/2020 12:00:15.500</t>
  </si>
  <si>
    <t>21/03/2020 13:00:15.500</t>
  </si>
  <si>
    <t>21/03/2020 14:00:15.500</t>
  </si>
  <si>
    <t>21/03/2020 15:00:15.500</t>
  </si>
  <si>
    <t>21/03/2020 16:00:15.500</t>
  </si>
  <si>
    <t>21/03/2020 17:00:15.500</t>
  </si>
  <si>
    <t>21/03/2020 18:00:15.500</t>
  </si>
  <si>
    <t>21/03/2020 19:00:15.500</t>
  </si>
  <si>
    <t>21/03/2020 20:00:15.500</t>
  </si>
  <si>
    <t>21/03/2020 21:00:15.500</t>
  </si>
  <si>
    <t>21/03/2020 22:00:15.500</t>
  </si>
  <si>
    <t>21/03/2020 23:00:15.500</t>
  </si>
  <si>
    <t>22/03/2020 0:00:15.500</t>
  </si>
  <si>
    <t>22/03/2020 1:00:15.500</t>
  </si>
  <si>
    <t>22/03/2020 2:00:15.500</t>
  </si>
  <si>
    <t>22/03/2020 3:00:15.500</t>
  </si>
  <si>
    <t>22/03/2020 4:00:15.500</t>
  </si>
  <si>
    <t>22/03/2020 5:00:15.500</t>
  </si>
  <si>
    <t>22/03/2020 6:00:15.500</t>
  </si>
  <si>
    <t>22/03/2020 7:00:15.500</t>
  </si>
  <si>
    <t>22/03/2020 8:00:15.500</t>
  </si>
  <si>
    <t>22/03/2020 9:00:15.500</t>
  </si>
  <si>
    <t>22/03/2020 10:00:15.500</t>
  </si>
  <si>
    <t>22/03/2020 11:00:15.500</t>
  </si>
  <si>
    <t>22/03/2020 12:00:15.500</t>
  </si>
  <si>
    <t>22/03/2020 13:00:15.500</t>
  </si>
  <si>
    <t>22/03/2020 14:00:15.500</t>
  </si>
  <si>
    <t>22/03/2020 15:00:15.500</t>
  </si>
  <si>
    <t>22/03/2020 16:00:15.500</t>
  </si>
  <si>
    <t>22/03/2020 17:00:15.500</t>
  </si>
  <si>
    <t>22/03/2020 18:00:15.500</t>
  </si>
  <si>
    <t>22/03/2020 19:00:15.500</t>
  </si>
  <si>
    <t>22/03/2020 20:00:15.500</t>
  </si>
  <si>
    <t>22/03/2020 21:00:15.500</t>
  </si>
  <si>
    <t>22/03/2020 22:00:15.500</t>
  </si>
  <si>
    <t>22/03/2020 23:00:15.500</t>
  </si>
  <si>
    <t>23/03/2020 0:00:15.500</t>
  </si>
  <si>
    <t>23/03/2020 1:00:15.500</t>
  </si>
  <si>
    <t>23/03/2020 2:00:15.500</t>
  </si>
  <si>
    <t>23/03/2020 3:00:15.500</t>
  </si>
  <si>
    <t>23/03/2020 4:00:15.500</t>
  </si>
  <si>
    <t>23/03/2020 5:00:15.500</t>
  </si>
  <si>
    <t>23/03/2020 6:00:15.500</t>
  </si>
  <si>
    <t>23/03/2020 7:00:15.500</t>
  </si>
  <si>
    <t>23/03/2020 8:00:15.500</t>
  </si>
  <si>
    <t>23/03/2020 9:00:15.500</t>
  </si>
  <si>
    <t>23/03/2020 10:00:15.500</t>
  </si>
  <si>
    <t>23/03/2020 11:00:15.500</t>
  </si>
  <si>
    <t>23/03/2020 12:00:15.500</t>
  </si>
  <si>
    <t>23/03/2020 13:00:15.500</t>
  </si>
  <si>
    <t>23/03/2020 14:00:15.500</t>
  </si>
  <si>
    <t>PASTE DATA HERE</t>
  </si>
  <si>
    <t>TEXT TO COLUMNS</t>
  </si>
  <si>
    <t>AND SET DATE TO LONG FORMAT</t>
  </si>
  <si>
    <t>ROUND TIME TO</t>
  </si>
  <si>
    <t>NEAREST HOUR</t>
  </si>
  <si>
    <t>ORGANISE DATA TO COPY INTO RESULTS TAB</t>
  </si>
  <si>
    <t>date</t>
  </si>
  <si>
    <t>time</t>
  </si>
  <si>
    <t>L90</t>
  </si>
  <si>
    <t>NOTE: set date to long format to make it</t>
  </si>
  <si>
    <t>easy to see if weekday or weekend</t>
  </si>
  <si>
    <t>&amp; FILTER OUT BLANKS</t>
  </si>
  <si>
    <t>11/12/2020 15:45:00</t>
  </si>
  <si>
    <t>11/12/2020 16:00:00</t>
  </si>
  <si>
    <t>11/12/2020 16:15:00</t>
  </si>
  <si>
    <t>11/12/2020 16:30:00</t>
  </si>
  <si>
    <t>11/12/2020 16:45:00</t>
  </si>
  <si>
    <t>11/12/2020 17:00:00</t>
  </si>
  <si>
    <t>11/12/2020 17:15:00</t>
  </si>
  <si>
    <t>11/12/2020 17:30:00</t>
  </si>
  <si>
    <t>11/12/2020 17:45:00</t>
  </si>
  <si>
    <t>11/12/2020 18:00:00</t>
  </si>
  <si>
    <t>11/12/2020 18:15:00</t>
  </si>
  <si>
    <t>11/12/2020 18:30:00</t>
  </si>
  <si>
    <t>11/12/2020 18:45:00</t>
  </si>
  <si>
    <t>11/12/2020 19:00:00</t>
  </si>
  <si>
    <t>11/12/2020 19:15:00</t>
  </si>
  <si>
    <t>11/12/2020 19:30:00</t>
  </si>
  <si>
    <t>11/12/2020 19:45:00</t>
  </si>
  <si>
    <t>11/12/2020 20:00:00</t>
  </si>
  <si>
    <t>11/12/2020 20:15:00</t>
  </si>
  <si>
    <t>11/12/2020 20:30:00</t>
  </si>
  <si>
    <t>11/12/2020 20:45:00</t>
  </si>
  <si>
    <t>11/12/2020 21:00:00</t>
  </si>
  <si>
    <t>11/12/2020 21:15:00</t>
  </si>
  <si>
    <t>11/12/2020 21:30:00</t>
  </si>
  <si>
    <t>11/12/2020 21:45:00</t>
  </si>
  <si>
    <t>11/12/2020 22:00:00</t>
  </si>
  <si>
    <t>11/12/2020 22:15:00</t>
  </si>
  <si>
    <t>11/12/2020 22:30:00</t>
  </si>
  <si>
    <t>11/12/2020 22:45:00</t>
  </si>
  <si>
    <t>11/12/2020 23:00:00</t>
  </si>
  <si>
    <t>11/12/2020 23:15:00</t>
  </si>
  <si>
    <t>11/12/2020 23:30:00</t>
  </si>
  <si>
    <t>11/12/2020 23:45:00</t>
  </si>
  <si>
    <t>12/12/2020 0:00:00</t>
  </si>
  <si>
    <t>12/12/2020 0:15:00</t>
  </si>
  <si>
    <t>12/12/2020 0:30:00</t>
  </si>
  <si>
    <t>12/12/2020 0:45:00</t>
  </si>
  <si>
    <t>12/12/2020 1:00:00</t>
  </si>
  <si>
    <t>12/12/2020 1:15:00</t>
  </si>
  <si>
    <t>12/12/2020 1:30:00</t>
  </si>
  <si>
    <t>12/12/2020 1:45:00</t>
  </si>
  <si>
    <t>12/12/2020 2:00:00</t>
  </si>
  <si>
    <t>12/12/2020 2:15:00</t>
  </si>
  <si>
    <t>12/12/2020 2:30:00</t>
  </si>
  <si>
    <t>12/12/2020 2:45:00</t>
  </si>
  <si>
    <t>12/12/2020 3:00:00</t>
  </si>
  <si>
    <t>12/12/2020 3:15:00</t>
  </si>
  <si>
    <t>12/12/2020 3:30:00</t>
  </si>
  <si>
    <t>12/12/2020 3:45:00</t>
  </si>
  <si>
    <t>12/12/2020 4:00:00</t>
  </si>
  <si>
    <t>12/12/2020 4:15:00</t>
  </si>
  <si>
    <t>12/12/2020 4:30:00</t>
  </si>
  <si>
    <t>12/12/2020 4:45:00</t>
  </si>
  <si>
    <t>12/12/2020 5:00:00</t>
  </si>
  <si>
    <t>12/12/2020 5:15:00</t>
  </si>
  <si>
    <t>12/12/2020 5:30:00</t>
  </si>
  <si>
    <t>12/12/2020 5:45:00</t>
  </si>
  <si>
    <t>12/12/2020 6:00:00</t>
  </si>
  <si>
    <t>12/12/2020 6:15:00</t>
  </si>
  <si>
    <t>12/12/2020 6:30:00</t>
  </si>
  <si>
    <t>12/12/2020 6:45:00</t>
  </si>
  <si>
    <t>12/12/2020 7:00:00</t>
  </si>
  <si>
    <t>12/12/2020 7:15:00</t>
  </si>
  <si>
    <t>12/12/2020 7:30:00</t>
  </si>
  <si>
    <t>12/12/2020 7:45:00</t>
  </si>
  <si>
    <t>12/12/2020 8:00:00</t>
  </si>
  <si>
    <t>12/12/2020 8:15:00</t>
  </si>
  <si>
    <t>12/12/2020 8:30:00</t>
  </si>
  <si>
    <t>12/12/2020 8:45:00</t>
  </si>
  <si>
    <t>12/12/2020 9:00:00</t>
  </si>
  <si>
    <t>12/12/2020 9:15:00</t>
  </si>
  <si>
    <t>12/12/2020 9:30:00</t>
  </si>
  <si>
    <t>12/12/2020 9:45:00</t>
  </si>
  <si>
    <t>12/12/2020 10:00:00</t>
  </si>
  <si>
    <t>12/12/2020 10:15:00</t>
  </si>
  <si>
    <t>12/12/2020 10:30:00</t>
  </si>
  <si>
    <t>12/12/2020 10:45:00</t>
  </si>
  <si>
    <t>12/12/2020 11:00:00</t>
  </si>
  <si>
    <t>12/12/2020 11:15:00</t>
  </si>
  <si>
    <t>12/12/2020 11:30:00</t>
  </si>
  <si>
    <t>12/12/2020 11:45:00</t>
  </si>
  <si>
    <t>12/12/2020 12:00:00</t>
  </si>
  <si>
    <t>12/12/2020 12:15:00</t>
  </si>
  <si>
    <t>12/12/2020 12:30:00</t>
  </si>
  <si>
    <t>12/12/2020 12:45:00</t>
  </si>
  <si>
    <t>12/12/2020 13:00:00</t>
  </si>
  <si>
    <t>12/12/2020 13:15:00</t>
  </si>
  <si>
    <t>12/12/2020 13:30:00</t>
  </si>
  <si>
    <t>12/12/2020 13:45:00</t>
  </si>
  <si>
    <t>12/12/2020 14:00:00</t>
  </si>
  <si>
    <t>12/12/2020 14:15:00</t>
  </si>
  <si>
    <t>12/12/2020 14:30:00</t>
  </si>
  <si>
    <t>12/12/2020 14:45:00</t>
  </si>
  <si>
    <t>12/12/2020 15:00:00</t>
  </si>
  <si>
    <t>12/12/2020 15:15:00</t>
  </si>
  <si>
    <t>12/12/2020 15:30:00</t>
  </si>
  <si>
    <t>12/12/2020 15:45:00</t>
  </si>
  <si>
    <t>12/12/2020 16:00:00</t>
  </si>
  <si>
    <t>12/12/2020 16:15:00</t>
  </si>
  <si>
    <t>12/12/2020 16:30:00</t>
  </si>
  <si>
    <t>12/12/2020 16:45:00</t>
  </si>
  <si>
    <t>12/12/2020 17:00:00</t>
  </si>
  <si>
    <t>12/12/2020 17:15:00</t>
  </si>
  <si>
    <t>12/12/2020 17:30:00</t>
  </si>
  <si>
    <t>12/12/2020 17:45:00</t>
  </si>
  <si>
    <t>12/12/2020 18:00:00</t>
  </si>
  <si>
    <t>12/12/2020 18:15:00</t>
  </si>
  <si>
    <t>12/12/2020 18:30:00</t>
  </si>
  <si>
    <t>12/12/2020 18:45:00</t>
  </si>
  <si>
    <t>12/12/2020 19:00:00</t>
  </si>
  <si>
    <t>12/12/2020 19:15:00</t>
  </si>
  <si>
    <t>12/12/2020 19:30:00</t>
  </si>
  <si>
    <t>12/12/2020 19:45:00</t>
  </si>
  <si>
    <t>12/12/2020 20:00:00</t>
  </si>
  <si>
    <t>12/12/2020 20:15:00</t>
  </si>
  <si>
    <t>12/12/2020 20:30:00</t>
  </si>
  <si>
    <t>12/12/2020 20:45:00</t>
  </si>
  <si>
    <t>12/12/2020 21:00:00</t>
  </si>
  <si>
    <t>12/12/2020 21:15:00</t>
  </si>
  <si>
    <t>12/12/2020 21:30:00</t>
  </si>
  <si>
    <t>12/12/2020 21:45:00</t>
  </si>
  <si>
    <t>12/12/2020 22:00:00</t>
  </si>
  <si>
    <t>12/12/2020 22:15:00</t>
  </si>
  <si>
    <t>12/12/2020 22:30:00</t>
  </si>
  <si>
    <t>12/12/2020 22:45:00</t>
  </si>
  <si>
    <t>12/12/2020 23:00:00</t>
  </si>
  <si>
    <t>12/12/2020 23:15:00</t>
  </si>
  <si>
    <t>12/12/2020 23:30:00</t>
  </si>
  <si>
    <t>12/12/2020 23:45:00</t>
  </si>
  <si>
    <t>13/12/2020 0:00:00</t>
  </si>
  <si>
    <t>13/12/2020 0:15:00</t>
  </si>
  <si>
    <t>13/12/2020 0:30:00</t>
  </si>
  <si>
    <t>13/12/2020 0:45:00</t>
  </si>
  <si>
    <t>13/12/2020 1:00:00</t>
  </si>
  <si>
    <t>13/12/2020 1:15:00</t>
  </si>
  <si>
    <t>13/12/2020 1:30:00</t>
  </si>
  <si>
    <t>13/12/2020 1:45:00</t>
  </si>
  <si>
    <t>13/12/2020 2:00:00</t>
  </si>
  <si>
    <t>13/12/2020 2:15:00</t>
  </si>
  <si>
    <t>13/12/2020 2:30:00</t>
  </si>
  <si>
    <t>13/12/2020 2:45:00</t>
  </si>
  <si>
    <t>13/12/2020 3:00:00</t>
  </si>
  <si>
    <t>13/12/2020 3:15:00</t>
  </si>
  <si>
    <t>13/12/2020 3:30:00</t>
  </si>
  <si>
    <t>13/12/2020 3:45:00</t>
  </si>
  <si>
    <t>13/12/2020 4:00:00</t>
  </si>
  <si>
    <t>13/12/2020 4:15:00</t>
  </si>
  <si>
    <t>13/12/2020 4:30:00</t>
  </si>
  <si>
    <t>13/12/2020 4:45:00</t>
  </si>
  <si>
    <t>13/12/2020 5:00:00</t>
  </si>
  <si>
    <t>13/12/2020 5:15:00</t>
  </si>
  <si>
    <t>13/12/2020 5:30:00</t>
  </si>
  <si>
    <t>13/12/2020 5:45:00</t>
  </si>
  <si>
    <t>13/12/2020 6:00:00</t>
  </si>
  <si>
    <t>13/12/2020 6:15:00</t>
  </si>
  <si>
    <t>13/12/2020 6:30:00</t>
  </si>
  <si>
    <t>13/12/2020 6:45:00</t>
  </si>
  <si>
    <t>13/12/2020 7:00:00</t>
  </si>
  <si>
    <t>13/12/2020 7:15:00</t>
  </si>
  <si>
    <t>13/12/2020 7:30:00</t>
  </si>
  <si>
    <t>13/12/2020 7:45:00</t>
  </si>
  <si>
    <t>13/12/2020 8:00:00</t>
  </si>
  <si>
    <t>13/12/2020 8:15:00</t>
  </si>
  <si>
    <t>13/12/2020 8:30:00</t>
  </si>
  <si>
    <t>13/12/2020 8:45:00</t>
  </si>
  <si>
    <t>13/12/2020 9:00:00</t>
  </si>
  <si>
    <t>13/12/2020 9:15:00</t>
  </si>
  <si>
    <t>13/12/2020 9:30:00</t>
  </si>
  <si>
    <t>13/12/2020 9:45:00</t>
  </si>
  <si>
    <t>13/12/2020 10:00:00</t>
  </si>
  <si>
    <t>13/12/2020 10:15:00</t>
  </si>
  <si>
    <t>13/12/2020 10:30:00</t>
  </si>
  <si>
    <t>13/12/2020 10:45:00</t>
  </si>
  <si>
    <t>13/12/2020 11:00:00</t>
  </si>
  <si>
    <t>13/12/2020 11:15:00</t>
  </si>
  <si>
    <t>13/12/2020 11:30:00</t>
  </si>
  <si>
    <t>13/12/2020 11:45:00</t>
  </si>
  <si>
    <t>13/12/2020 12:00:00</t>
  </si>
  <si>
    <t>13/12/2020 12:15:00</t>
  </si>
  <si>
    <t>13/12/2020 12:30:00</t>
  </si>
  <si>
    <t>13/12/2020 12:45:00</t>
  </si>
  <si>
    <t>13/12/2020 13:00:00</t>
  </si>
  <si>
    <t>13/12/2020 13:15:00</t>
  </si>
  <si>
    <t>13/12/2020 13:30:00</t>
  </si>
  <si>
    <t>13/12/2020 13:45:00</t>
  </si>
  <si>
    <t>13/12/2020 14:00:00</t>
  </si>
  <si>
    <t>13/12/2020 14:15:00</t>
  </si>
  <si>
    <t>13/12/2020 14:30:00</t>
  </si>
  <si>
    <t>13/12/2020 14:45:00</t>
  </si>
  <si>
    <t>13/12/2020 15:00:00</t>
  </si>
  <si>
    <t>13/12/2020 15:15:00</t>
  </si>
  <si>
    <t>13/12/2020 15:30:00</t>
  </si>
  <si>
    <t>13/12/2020 15:45:00</t>
  </si>
  <si>
    <t>13/12/2020 16:00:00</t>
  </si>
  <si>
    <t>13/12/2020 16:15:00</t>
  </si>
  <si>
    <t>13/12/2020 16:30:00</t>
  </si>
  <si>
    <t>13/12/2020 16:45:00</t>
  </si>
  <si>
    <t>13/12/2020 17:00:00</t>
  </si>
  <si>
    <t>13/12/2020 17:15:00</t>
  </si>
  <si>
    <t>13/12/2020 17:30:00</t>
  </si>
  <si>
    <t>13/12/2020 17:45:00</t>
  </si>
  <si>
    <t>13/12/2020 18:00:00</t>
  </si>
  <si>
    <t>13/12/2020 18:15:00</t>
  </si>
  <si>
    <t>13/12/2020 18:30:00</t>
  </si>
  <si>
    <t>13/12/2020 18:45:00</t>
  </si>
  <si>
    <t>13/12/2020 19:00:00</t>
  </si>
  <si>
    <t>13/12/2020 19:15:00</t>
  </si>
  <si>
    <t>13/12/2020 19:30:00</t>
  </si>
  <si>
    <t>13/12/2020 19:45:00</t>
  </si>
  <si>
    <t>13/12/2020 20:00:00</t>
  </si>
  <si>
    <t>13/12/2020 20:15:00</t>
  </si>
  <si>
    <t>13/12/2020 20:30:00</t>
  </si>
  <si>
    <t>13/12/2020 20:45:00</t>
  </si>
  <si>
    <t>13/12/2020 21:00:00</t>
  </si>
  <si>
    <t>13/12/2020 21:15:00</t>
  </si>
  <si>
    <t>13/12/2020 21:30:00</t>
  </si>
  <si>
    <t>13/12/2020 21:45:00</t>
  </si>
  <si>
    <t>13/12/2020 22:00:00</t>
  </si>
  <si>
    <t>13/12/2020 22:15:00</t>
  </si>
  <si>
    <t>13/12/2020 22:30:00</t>
  </si>
  <si>
    <t>13/12/2020 22:45:00</t>
  </si>
  <si>
    <t>13/12/2020 23:00:00</t>
  </si>
  <si>
    <t>13/12/2020 23:15:00</t>
  </si>
  <si>
    <t>13/12/2020 23:30:00</t>
  </si>
  <si>
    <t>13/12/2020 23:45:00</t>
  </si>
  <si>
    <t>14/12/2020 0:00:00</t>
  </si>
  <si>
    <t>14/12/2020 0:15:00</t>
  </si>
  <si>
    <t>14/12/2020 0:30:00</t>
  </si>
  <si>
    <t>14/12/2020 0:45:00</t>
  </si>
  <si>
    <t>14/12/2020 1:00:00</t>
  </si>
  <si>
    <t>14/12/2020 1:15:00</t>
  </si>
  <si>
    <t>14/12/2020 1:30:00</t>
  </si>
  <si>
    <t>14/12/2020 1:45:00</t>
  </si>
  <si>
    <t>14/12/2020 2:00:00</t>
  </si>
  <si>
    <t>14/12/2020 2:15:00</t>
  </si>
  <si>
    <t>14/12/2020 2:30:00</t>
  </si>
  <si>
    <t>14/12/2020 2:45:00</t>
  </si>
  <si>
    <t>14/12/2020 3:00:00</t>
  </si>
  <si>
    <t>14/12/2020 3:15:00</t>
  </si>
  <si>
    <t>14/12/2020 3:30:00</t>
  </si>
  <si>
    <t>14/12/2020 3:45:00</t>
  </si>
  <si>
    <t>14/12/2020 4:00:00</t>
  </si>
  <si>
    <t>14/12/2020 4:15:00</t>
  </si>
  <si>
    <t>14/12/2020 4:30:00</t>
  </si>
  <si>
    <t>14/12/2020 4:45:00</t>
  </si>
  <si>
    <t>14/12/2020 5:00:00</t>
  </si>
  <si>
    <t>14/12/2020 5:15:00</t>
  </si>
  <si>
    <t>14/12/2020 5:30:00</t>
  </si>
  <si>
    <t>14/12/2020 5:45:00</t>
  </si>
  <si>
    <t>14/12/2020 6:00:00</t>
  </si>
  <si>
    <t>14/12/2020 6:15:00</t>
  </si>
  <si>
    <t>14/12/2020 6:30:00</t>
  </si>
  <si>
    <t>14/12/2020 6:45:00</t>
  </si>
  <si>
    <t>14/12/2020 7:00:00</t>
  </si>
  <si>
    <t>14/12/2020 7:15:00</t>
  </si>
  <si>
    <t>14/12/2020 7:30:00</t>
  </si>
  <si>
    <t>14/12/2020 7:45:00</t>
  </si>
  <si>
    <t>14/12/2020 8:00:00</t>
  </si>
  <si>
    <t>14/12/2020 8:15:00</t>
  </si>
  <si>
    <t>14/12/2020 8:30:00</t>
  </si>
  <si>
    <t>14/12/2020 8:45:00</t>
  </si>
  <si>
    <t>14/12/2020 9:00:00</t>
  </si>
  <si>
    <t>14/12/2020 9:15:00</t>
  </si>
  <si>
    <t>14/12/2020 9:30:00</t>
  </si>
  <si>
    <t>14/12/2020 9:45:00</t>
  </si>
  <si>
    <t>14/12/2020 10:00:00</t>
  </si>
  <si>
    <t>14/12/2020 10:15:00</t>
  </si>
  <si>
    <t>14/12/2020 10:30:00</t>
  </si>
  <si>
    <t>14/12/2020 10:45:00</t>
  </si>
  <si>
    <t>14/12/2020 11:00:00</t>
  </si>
  <si>
    <t>14/12/2020 11:15:00</t>
  </si>
  <si>
    <t>14/12/2020 11:30:00</t>
  </si>
  <si>
    <t>14/12/2020 11:45:00</t>
  </si>
  <si>
    <t>14/12/2020 12:00:00</t>
  </si>
  <si>
    <t>14/12/2020 12:15:00</t>
  </si>
  <si>
    <t>14/12/2020 12:30:00</t>
  </si>
  <si>
    <t>14/12/2020 12:45:00</t>
  </si>
  <si>
    <t>14/12/2020 13:00:00</t>
  </si>
  <si>
    <t>14/12/2020 13:15:00</t>
  </si>
  <si>
    <t>14/12/2020 13:30:00</t>
  </si>
  <si>
    <t>14/12/2020 13:45:00</t>
  </si>
  <si>
    <t>14/12/2020 14:00:00</t>
  </si>
  <si>
    <t>14/12/2020 14:15:00</t>
  </si>
  <si>
    <t>14/12/2020 14:30:00</t>
  </si>
  <si>
    <t>14/12/2020 14:45:00</t>
  </si>
  <si>
    <t>14/12/2020 15:00:00</t>
  </si>
  <si>
    <t>14/12/2020 15:15:00</t>
  </si>
  <si>
    <t>14/12/2020 15:30:00</t>
  </si>
  <si>
    <t>14/12/2020 15:45:00</t>
  </si>
  <si>
    <t>14/12/2020 16:00:00</t>
  </si>
  <si>
    <t>14/12/2020 16:15:00</t>
  </si>
  <si>
    <t>14/12/2020 16:30:00</t>
  </si>
  <si>
    <t>14/12/2020 16:45:00</t>
  </si>
  <si>
    <t>14/12/2020 17:00:00</t>
  </si>
  <si>
    <t>14/12/2020 17:15:00</t>
  </si>
  <si>
    <t>14/12/2020 17:30:00</t>
  </si>
  <si>
    <t>14/12/2020 17:45:00</t>
  </si>
  <si>
    <t>14/12/2020 18:00:00</t>
  </si>
  <si>
    <t>14/12/2020 18:15:00</t>
  </si>
  <si>
    <t>14/12/2020 18:30:00</t>
  </si>
  <si>
    <t>14/12/2020 18:45:00</t>
  </si>
  <si>
    <t>14/12/2020 19:00:00</t>
  </si>
  <si>
    <t>14/12/2020 19:15:00</t>
  </si>
  <si>
    <t>14/12/2020 19:30:00</t>
  </si>
  <si>
    <t>14/12/2020 19:45:00</t>
  </si>
  <si>
    <t>14/12/2020 20:00:00</t>
  </si>
  <si>
    <t>14/12/2020 20:15:00</t>
  </si>
  <si>
    <t>14/12/2020 20:30:00</t>
  </si>
  <si>
    <t>14/12/2020 20:45:00</t>
  </si>
  <si>
    <t>14/12/2020 21:00:00</t>
  </si>
  <si>
    <t>14/12/2020 21:15:00</t>
  </si>
  <si>
    <t>14/12/2020 21:30:00</t>
  </si>
  <si>
    <t>14/12/2020 21:45:00</t>
  </si>
  <si>
    <t>14/12/2020 22:00:00</t>
  </si>
  <si>
    <t>14/12/2020 22:15:00</t>
  </si>
  <si>
    <t>14/12/2020 22:30:00</t>
  </si>
  <si>
    <t>14/12/2020 22:45:00</t>
  </si>
  <si>
    <t>14/12/2020 23:00:00</t>
  </si>
  <si>
    <t>14/12/2020 23:15:00</t>
  </si>
  <si>
    <t>14/12/2020 23:30:00</t>
  </si>
  <si>
    <t>14/12/2020 23:45:00</t>
  </si>
  <si>
    <t>15/12/2020 0:00:00</t>
  </si>
  <si>
    <t>15/12/2020 0:15:00</t>
  </si>
  <si>
    <t>15/12/2020 0:30:00</t>
  </si>
  <si>
    <t>15/12/2020 0:45:00</t>
  </si>
  <si>
    <t>15/12/2020 1:00:00</t>
  </si>
  <si>
    <t>15/12/2020 1:15:00</t>
  </si>
  <si>
    <t>15/12/2020 1:30:00</t>
  </si>
  <si>
    <t>15/12/2020 1:45:00</t>
  </si>
  <si>
    <t>15/12/2020 2:00:00</t>
  </si>
  <si>
    <t>15/12/2020 2:15:00</t>
  </si>
  <si>
    <t>15/12/2020 2:30:00</t>
  </si>
  <si>
    <t>15/12/2020 2:45:00</t>
  </si>
  <si>
    <t>15/12/2020 3:00:00</t>
  </si>
  <si>
    <t>15/12/2020 3:15:00</t>
  </si>
  <si>
    <t>15/12/2020 3:30:00</t>
  </si>
  <si>
    <t>15/12/2020 3:45:00</t>
  </si>
  <si>
    <t>15/12/2020 4:00:00</t>
  </si>
  <si>
    <t>15/12/2020 4:15:00</t>
  </si>
  <si>
    <t>15/12/2020 4:30:00</t>
  </si>
  <si>
    <t>15/12/2020 4:45:00</t>
  </si>
  <si>
    <t>15/12/2020 5:00:00</t>
  </si>
  <si>
    <t>15/12/2020 5:15:00</t>
  </si>
  <si>
    <t>15/12/2020 5:30:00</t>
  </si>
  <si>
    <t>15/12/2020 5:45:00</t>
  </si>
  <si>
    <t>15/12/2020 6:00:00</t>
  </si>
  <si>
    <t>15/12/2020 6:15:00</t>
  </si>
  <si>
    <t>15/12/2020 6:30:00</t>
  </si>
  <si>
    <t>15/12/2020 6:45:00</t>
  </si>
  <si>
    <t>15/12/2020 7:00:00</t>
  </si>
  <si>
    <t>15/12/2020 7:15:00</t>
  </si>
  <si>
    <t>15/12/2020 7:30:00</t>
  </si>
  <si>
    <t>15/12/2020 7:45:00</t>
  </si>
  <si>
    <t>15/12/2020 8:00:00</t>
  </si>
  <si>
    <t>15/12/2020 8:15:00</t>
  </si>
  <si>
    <t>15/12/2020 8:30:00</t>
  </si>
  <si>
    <t>15/12/2020 8:45:00</t>
  </si>
  <si>
    <t>15/12/2020 9:00:00</t>
  </si>
  <si>
    <t>15/12/2020 9:15:00</t>
  </si>
  <si>
    <t>15/12/2020 9:30:00</t>
  </si>
  <si>
    <t>15/12/2020 9:45:00</t>
  </si>
  <si>
    <t>15/12/2020 10:00:00</t>
  </si>
  <si>
    <t>15/12/2020 10:15:00</t>
  </si>
  <si>
    <t>15/12/2020 10:30:00</t>
  </si>
  <si>
    <t>15/12/2020 10:45:00</t>
  </si>
  <si>
    <t>15/12/2020 11:00:00</t>
  </si>
  <si>
    <t>15/12/2020 11:15:00</t>
  </si>
  <si>
    <t>15/12/2020 11:30:00</t>
  </si>
  <si>
    <t>15/12/2020 11:45:00</t>
  </si>
  <si>
    <t>15/12/2020 12:00:00</t>
  </si>
  <si>
    <t>15/12/2020 12:15:00</t>
  </si>
  <si>
    <t>15/12/2020 12:30:00</t>
  </si>
  <si>
    <t>15/12/2020 12:45:00</t>
  </si>
  <si>
    <t>15/12/2020 13:00:00</t>
  </si>
  <si>
    <t>15/12/2020 13:15:00</t>
  </si>
  <si>
    <t>15/12/2020 13:30:00</t>
  </si>
  <si>
    <t>15/12/2020 13:45:00</t>
  </si>
  <si>
    <t>15/12/2020 14:00:00</t>
  </si>
  <si>
    <t>15/12/2020 14:15:00</t>
  </si>
  <si>
    <t>15/12/2020 14:30:00</t>
  </si>
  <si>
    <t>15/12/2020 14:45:00</t>
  </si>
  <si>
    <t>15/12/2020 15:00:00</t>
  </si>
  <si>
    <t>15/12/2020 15:15:00</t>
  </si>
  <si>
    <t>15/12/2020 15:30:00</t>
  </si>
  <si>
    <t>15/12/2020 15:45:00</t>
  </si>
  <si>
    <t>15/12/2020 16:00:00</t>
  </si>
  <si>
    <t>15/12/2020 16:15:00</t>
  </si>
  <si>
    <t>15/12/2020 16:30:00</t>
  </si>
  <si>
    <t>15/12/2020 16:45:00</t>
  </si>
  <si>
    <t>15/12/2020 17:00:00</t>
  </si>
  <si>
    <t>15/12/2020 17:15:00</t>
  </si>
  <si>
    <t>15/12/2020 17:30:00</t>
  </si>
  <si>
    <t>15/12/2020 17:45:00</t>
  </si>
  <si>
    <t>15/12/2020 18:00:00</t>
  </si>
  <si>
    <t>15/12/2020 18:15:00</t>
  </si>
  <si>
    <t>15/12/2020 18:30:00</t>
  </si>
  <si>
    <t>15/12/2020 18:45:00</t>
  </si>
  <si>
    <t>15/12/2020 19:00:00</t>
  </si>
  <si>
    <t>15/12/2020 19:15:00</t>
  </si>
  <si>
    <t>15/12/2020 19:30:00</t>
  </si>
  <si>
    <t>15/12/2020 19:45:00</t>
  </si>
  <si>
    <t>15/12/2020 20:00:00</t>
  </si>
  <si>
    <t>15/12/2020 20:15:00</t>
  </si>
  <si>
    <t>15/12/2020 20:30:00</t>
  </si>
  <si>
    <t>15/12/2020 20:45:00</t>
  </si>
  <si>
    <t>15/12/2020 21:00:00</t>
  </si>
  <si>
    <t>15/12/2020 21:15:00</t>
  </si>
  <si>
    <t>15/12/2020 21:30:00</t>
  </si>
  <si>
    <t>15/12/2020 21:45:00</t>
  </si>
  <si>
    <t>15/12/2020 22:00:00</t>
  </si>
  <si>
    <t>15/12/2020 22:15:00</t>
  </si>
  <si>
    <t>15/12/2020 22:30:00</t>
  </si>
  <si>
    <t>15/12/2020 22:45:00</t>
  </si>
  <si>
    <t>15/12/2020 23:00:00</t>
  </si>
  <si>
    <t>15/12/2020 23:15:00</t>
  </si>
  <si>
    <t>15/12/2020 23:30:00</t>
  </si>
  <si>
    <t>15/12/2020 23:45:00</t>
  </si>
  <si>
    <t>16/12/2020 0:00:00</t>
  </si>
  <si>
    <t>16/12/2020 0:15:00</t>
  </si>
  <si>
    <t>16/12/2020 0:30:00</t>
  </si>
  <si>
    <t>16/12/2020 0:45:00</t>
  </si>
  <si>
    <t>16/12/2020 1:00:00</t>
  </si>
  <si>
    <t>16/12/2020 1:15:00</t>
  </si>
  <si>
    <t>16/12/2020 1:30:00</t>
  </si>
  <si>
    <t>16/12/2020 1:45:00</t>
  </si>
  <si>
    <t>16/12/2020 2:00:00</t>
  </si>
  <si>
    <t>16/12/2020 2:15:00</t>
  </si>
  <si>
    <t>16/12/2020 2:30:00</t>
  </si>
  <si>
    <t>16/12/2020 2:45:00</t>
  </si>
  <si>
    <t>16/12/2020 3:00:00</t>
  </si>
  <si>
    <t>16/12/2020 3:15:00</t>
  </si>
  <si>
    <t>16/12/2020 3:30:00</t>
  </si>
  <si>
    <t>16/12/2020 3:45:00</t>
  </si>
  <si>
    <t>16/12/2020 4:00:00</t>
  </si>
  <si>
    <t>16/12/2020 4:15:00</t>
  </si>
  <si>
    <t>16/12/2020 4:30:00</t>
  </si>
  <si>
    <t>16/12/2020 4:45:00</t>
  </si>
  <si>
    <t>16/12/2020 5:00:00</t>
  </si>
  <si>
    <t>16/12/2020 5:15:00</t>
  </si>
  <si>
    <t>16/12/2020 5:30:00</t>
  </si>
  <si>
    <t>16/12/2020 5:45:00</t>
  </si>
  <si>
    <t>16/12/2020 6:00:00</t>
  </si>
  <si>
    <t>16/12/2020 6:15:00</t>
  </si>
  <si>
    <t>16/12/2020 6:30:00</t>
  </si>
  <si>
    <t>16/12/2020 6:45:00</t>
  </si>
  <si>
    <t>16/12/2020 7:00:00</t>
  </si>
  <si>
    <t>16/12/2020 7:15:00</t>
  </si>
  <si>
    <t>16/12/2020 7:30:00</t>
  </si>
  <si>
    <t>16/12/2020 7:45:00</t>
  </si>
  <si>
    <t>16/12/2020 8:00:00</t>
  </si>
  <si>
    <t>16/12/2020 8:15:00</t>
  </si>
  <si>
    <t>16/12/2020 8:30:00</t>
  </si>
  <si>
    <t>16/12/2020 8:45:00</t>
  </si>
  <si>
    <t>16/12/2020 9:00:00</t>
  </si>
  <si>
    <t>16/12/2020 9:15:00</t>
  </si>
  <si>
    <t>16/12/2020 9:30:00</t>
  </si>
  <si>
    <t>16/12/2020 9:45:00</t>
  </si>
  <si>
    <t>16/12/2020 10:00:00</t>
  </si>
  <si>
    <t>16/12/2020 10:15:00</t>
  </si>
  <si>
    <t>16/12/2020 10:30:00</t>
  </si>
  <si>
    <t>16/12/2020 10:45:00</t>
  </si>
  <si>
    <t>16/12/2020 11:00:00</t>
  </si>
  <si>
    <t>16/12/2020 11:15:00</t>
  </si>
  <si>
    <t>16/12/2020 11:30:00</t>
  </si>
  <si>
    <t>16/12/2020 11:45:00</t>
  </si>
  <si>
    <t>16/12/2020 12:00:00</t>
  </si>
  <si>
    <t>16/12/2020 12:15:00</t>
  </si>
  <si>
    <t>16/12/2020 12:30:00</t>
  </si>
  <si>
    <t>16/12/2020 12:45:00</t>
  </si>
  <si>
    <t>16/12/2020 13:00:00</t>
  </si>
  <si>
    <t>16/12/2020 13:15:00</t>
  </si>
  <si>
    <t>16/12/2020 13:30:00</t>
  </si>
  <si>
    <t>16/12/2020 13:45:00</t>
  </si>
  <si>
    <t>16/12/2020 14:00:00</t>
  </si>
  <si>
    <t>16/12/2020 14:15:00</t>
  </si>
  <si>
    <t>16/12/2020 14:30:00</t>
  </si>
  <si>
    <t>16/12/2020 14:45:00</t>
  </si>
  <si>
    <t>16/12/2020 15:00:00</t>
  </si>
  <si>
    <t>16/12/2020 15:15:00</t>
  </si>
  <si>
    <t>16/12/2020 15:30:00</t>
  </si>
  <si>
    <t>16/12/2020 15:45:00</t>
  </si>
  <si>
    <t>16/12/2020 16:00:00</t>
  </si>
  <si>
    <t>16/12/2020 16:15:00</t>
  </si>
  <si>
    <t>16/12/2020 16:30:00</t>
  </si>
  <si>
    <t>16/12/2020 16:45:00</t>
  </si>
  <si>
    <t>16/12/2020 17:00:00</t>
  </si>
  <si>
    <t>16/12/2020 17:15:00</t>
  </si>
  <si>
    <t>16/12/2020 17:30:00</t>
  </si>
  <si>
    <t>16/12/2020 17:45:00</t>
  </si>
  <si>
    <t>16/12/2020 18:00:00</t>
  </si>
  <si>
    <t>16/12/2020 18:15:00</t>
  </si>
  <si>
    <t>16/12/2020 18:30:00</t>
  </si>
  <si>
    <t>16/12/2020 18:45:00</t>
  </si>
  <si>
    <t>16/12/2020 19:00:00</t>
  </si>
  <si>
    <t>16/12/2020 19:15:00</t>
  </si>
  <si>
    <t>16/12/2020 19:30:00</t>
  </si>
  <si>
    <t>16/12/2020 19:45:00</t>
  </si>
  <si>
    <t>16/12/2020 20:00:00</t>
  </si>
  <si>
    <t>16/12/2020 20:15:00</t>
  </si>
  <si>
    <t>16/12/2020 20:30:00</t>
  </si>
  <si>
    <t>16/12/2020 20:45:00</t>
  </si>
  <si>
    <t>16/12/2020 21:00:00</t>
  </si>
  <si>
    <t>16/12/2020 21:15:00</t>
  </si>
  <si>
    <t>16/12/2020 21:30:00</t>
  </si>
  <si>
    <t>16/12/2020 21:45:00</t>
  </si>
  <si>
    <t>16/12/2020 22:00:00</t>
  </si>
  <si>
    <t>16/12/2020 22:15:00</t>
  </si>
  <si>
    <t>16/12/2020 22:30:00</t>
  </si>
  <si>
    <t>16/12/2020 22:45:00</t>
  </si>
  <si>
    <t>16/12/2020 23:00:00</t>
  </si>
  <si>
    <t>16/12/2020 23:15:00</t>
  </si>
  <si>
    <t>16/12/2020 23:30:00</t>
  </si>
  <si>
    <t>16/12/2020 23:45:00</t>
  </si>
  <si>
    <t>17/12/2020 0:00:00</t>
  </si>
  <si>
    <t>17/12/2020 0:15:00</t>
  </si>
  <si>
    <t>17/12/2020 0:30:00</t>
  </si>
  <si>
    <t>17/12/2020 0:45:00</t>
  </si>
  <si>
    <t>17/12/2020 1:00:00</t>
  </si>
  <si>
    <t>17/12/2020 1:15:00</t>
  </si>
  <si>
    <t>17/12/2020 1:30:00</t>
  </si>
  <si>
    <t>17/12/2020 1:45:00</t>
  </si>
  <si>
    <t>17/12/2020 2:00:00</t>
  </si>
  <si>
    <t>17/12/2020 2:15:00</t>
  </si>
  <si>
    <t>17/12/2020 2:30:00</t>
  </si>
  <si>
    <t>17/12/2020 2:45:00</t>
  </si>
  <si>
    <t>17/12/2020 3:00:00</t>
  </si>
  <si>
    <t>17/12/2020 3:15:00</t>
  </si>
  <si>
    <t>17/12/2020 3:30:00</t>
  </si>
  <si>
    <t>17/12/2020 3:45:00</t>
  </si>
  <si>
    <t>17/12/2020 4:00:00</t>
  </si>
  <si>
    <t>17/12/2020 4:15:00</t>
  </si>
  <si>
    <t>17/12/2020 4:30:00</t>
  </si>
  <si>
    <t>17/12/2020 4:45:00</t>
  </si>
  <si>
    <t>17/12/2020 5:00:00</t>
  </si>
  <si>
    <t>17/12/2020 5:15:00</t>
  </si>
  <si>
    <t>17/12/2020 5:30:00</t>
  </si>
  <si>
    <t>17/12/2020 5:45:00</t>
  </si>
  <si>
    <t>17/12/2020 6:00:00</t>
  </si>
  <si>
    <t>17/12/2020 6:15:00</t>
  </si>
  <si>
    <t>17/12/2020 6:30:00</t>
  </si>
  <si>
    <t>17/12/2020 6:45:00</t>
  </si>
  <si>
    <t>17/12/2020 7:00:00</t>
  </si>
  <si>
    <t>17/12/2020 7:15:00</t>
  </si>
  <si>
    <t>17/12/2020 7:30:00</t>
  </si>
  <si>
    <t>17/12/2020 7:45:00</t>
  </si>
  <si>
    <t>17/12/2020 8:00:00</t>
  </si>
  <si>
    <t>17/12/2020 8:15:00</t>
  </si>
  <si>
    <t>17/12/2020 8:30:00</t>
  </si>
  <si>
    <t>17/12/2020 8:45:00</t>
  </si>
  <si>
    <t>17/12/2020 9:00:00</t>
  </si>
  <si>
    <t>17/12/2020 9:15:00</t>
  </si>
  <si>
    <t>17/12/2020 9:30:00</t>
  </si>
  <si>
    <t>17/12/2020 9:45:00</t>
  </si>
  <si>
    <t>17/12/2020 10:00:00</t>
  </si>
  <si>
    <t>17/12/2020 10:15:00</t>
  </si>
  <si>
    <t>17/12/2020 10:30:00</t>
  </si>
  <si>
    <t>17/12/2020 10:45:00</t>
  </si>
  <si>
    <t>17/12/2020 11:00:00</t>
  </si>
  <si>
    <t>17/12/2020 11:15:00</t>
  </si>
  <si>
    <t>17/12/2020 11:30:00</t>
  </si>
  <si>
    <t>17/12/2020 11:45:00</t>
  </si>
  <si>
    <t>17/12/2020 12:00:00</t>
  </si>
  <si>
    <t>17/12/2020 12:15:00</t>
  </si>
  <si>
    <t>17/12/2020 12:30:00</t>
  </si>
  <si>
    <t>17/12/2020 12:45:00</t>
  </si>
  <si>
    <t>17/12/2020 13:00:00</t>
  </si>
  <si>
    <t>17/12/2020 13:15:00</t>
  </si>
  <si>
    <t>17/12/2020 13:30:00</t>
  </si>
  <si>
    <t>17/12/2020 13:45:00</t>
  </si>
  <si>
    <t>17/12/2020 14:00:00</t>
  </si>
  <si>
    <t>17/12/2020 14:15:00</t>
  </si>
  <si>
    <t>17/12/2020 14:30:00</t>
  </si>
  <si>
    <t>17/12/2020 14:45:00</t>
  </si>
  <si>
    <t>17/12/2020 15:00:00</t>
  </si>
  <si>
    <t>17/12/2020 15:15:00</t>
  </si>
  <si>
    <t>17/12/2020 15:30:00</t>
  </si>
  <si>
    <t>17/12/2020 15:45:00</t>
  </si>
  <si>
    <t>17/12/2020 16:00:00</t>
  </si>
  <si>
    <t>17/12/2020 16:15:00</t>
  </si>
  <si>
    <t>17/12/2020 16:30:00</t>
  </si>
  <si>
    <t>17/12/2020 16:45:00</t>
  </si>
  <si>
    <t>17/12/2020 17:00:00</t>
  </si>
  <si>
    <t>17/12/2020 17:15:00</t>
  </si>
  <si>
    <t>17/12/2020 17:30:00</t>
  </si>
  <si>
    <t>17/12/2020 17:45:00</t>
  </si>
  <si>
    <t>17/12/2020 18:00:00</t>
  </si>
  <si>
    <t>17/12/2020 18:15:00</t>
  </si>
  <si>
    <t>17/12/2020 18:30:00</t>
  </si>
  <si>
    <t>17/12/2020 18:45:00</t>
  </si>
  <si>
    <t>17/12/2020 19:00:00</t>
  </si>
  <si>
    <t>17/12/2020 19:15:00</t>
  </si>
  <si>
    <t>17/12/2020 19:30:00</t>
  </si>
  <si>
    <t>17/12/2020 19:45:00</t>
  </si>
  <si>
    <t>17/12/2020 20:00:00</t>
  </si>
  <si>
    <t>17/12/2020 20:15:00</t>
  </si>
  <si>
    <t>17/12/2020 20:30:00</t>
  </si>
  <si>
    <t>17/12/2020 20:45:00</t>
  </si>
  <si>
    <t>17/12/2020 21:00:00</t>
  </si>
  <si>
    <t>17/12/2020 21:15:00</t>
  </si>
  <si>
    <t>17/12/2020 21:30:00</t>
  </si>
  <si>
    <t>17/12/2020 21:45:00</t>
  </si>
  <si>
    <t>17/12/2020 22:00:00</t>
  </si>
  <si>
    <t>17/12/2020 22:15:00</t>
  </si>
  <si>
    <t>17/12/2020 22:30:00</t>
  </si>
  <si>
    <t>17/12/2020 22:45:00</t>
  </si>
  <si>
    <t>17/12/2020 23:00:00</t>
  </si>
  <si>
    <t>17/12/2020 23:15:00</t>
  </si>
  <si>
    <t>17/12/2020 23:30:00</t>
  </si>
  <si>
    <t>17/12/2020 23:45:00</t>
  </si>
  <si>
    <t>18/12/2020 0:00:00</t>
  </si>
  <si>
    <t>18/12/2020 0:15:00</t>
  </si>
  <si>
    <t>18/12/2020 0:30:00</t>
  </si>
  <si>
    <t>18/12/2020 0:45:00</t>
  </si>
  <si>
    <t>18/12/2020 1:00:00</t>
  </si>
  <si>
    <t>18/12/2020 1:15:00</t>
  </si>
  <si>
    <t>18/12/2020 1:30:00</t>
  </si>
  <si>
    <t>18/12/2020 1:45:00</t>
  </si>
  <si>
    <t>18/12/2020 2:00:00</t>
  </si>
  <si>
    <t>18/12/2020 2:15:00</t>
  </si>
  <si>
    <t>18/12/2020 2:30:00</t>
  </si>
  <si>
    <t>18/12/2020 2:45:00</t>
  </si>
  <si>
    <t>18/12/2020 3:00:00</t>
  </si>
  <si>
    <t>18/12/2020 3:15:00</t>
  </si>
  <si>
    <t>18/12/2020 3:30:00</t>
  </si>
  <si>
    <t>18/12/2020 3:45:00</t>
  </si>
  <si>
    <t>18/12/2020 4:00:00</t>
  </si>
  <si>
    <t>18/12/2020 4:15:00</t>
  </si>
  <si>
    <t>18/12/2020 4:30:00</t>
  </si>
  <si>
    <t>18/12/2020 4:45:00</t>
  </si>
  <si>
    <t>18/12/2020 5:00:00</t>
  </si>
  <si>
    <t>18/12/2020 5:15:00</t>
  </si>
  <si>
    <t>18/12/2020 5:30:00</t>
  </si>
  <si>
    <t>18/12/2020 5:45:00</t>
  </si>
  <si>
    <t>18/12/2020 6:00:00</t>
  </si>
  <si>
    <t>18/12/2020 6:15:00</t>
  </si>
  <si>
    <t>18/12/2020 6:30:00</t>
  </si>
  <si>
    <t>18/12/2020 6:45:00</t>
  </si>
  <si>
    <t>18/12/2020 7:00:00</t>
  </si>
  <si>
    <t>18/12/2020 7:15:00</t>
  </si>
  <si>
    <t>18/12/2020 7:30:00</t>
  </si>
  <si>
    <t>18/12/2020 7:45:00</t>
  </si>
  <si>
    <t>18/12/2020 8:00:00</t>
  </si>
  <si>
    <t>18/12/2020 8:15:00</t>
  </si>
  <si>
    <t>18/12/2020 8:30:00</t>
  </si>
  <si>
    <t>18/12/2020 8:45:00</t>
  </si>
  <si>
    <t>18/12/2020 9:00:00</t>
  </si>
  <si>
    <t>18/12/2020 9:15:00</t>
  </si>
  <si>
    <t>18/12/2020 9:30:00</t>
  </si>
  <si>
    <t>18/12/2020 9:45:00</t>
  </si>
  <si>
    <t>18/12/2020 10:00:00</t>
  </si>
  <si>
    <t>18/12/2020 10:15:00</t>
  </si>
  <si>
    <t>18/12/2020 10:30:00</t>
  </si>
  <si>
    <t>18/12/2020 10:45:00</t>
  </si>
  <si>
    <t>18/12/2020 11:00:00</t>
  </si>
  <si>
    <t>18/12/2020 11:15:00</t>
  </si>
  <si>
    <t>18/12/2020 11:30:00</t>
  </si>
  <si>
    <t>18/12/2020 11:45:00</t>
  </si>
  <si>
    <t>18/12/2020 12:00:00</t>
  </si>
  <si>
    <t>18/12/2020 12:15:00</t>
  </si>
  <si>
    <t>18/12/2020 12:30:00</t>
  </si>
  <si>
    <t>18/12/2020 12:45:00</t>
  </si>
  <si>
    <t>18/12/2020 13:00:00</t>
  </si>
  <si>
    <t>18/12/2020 13:15:00</t>
  </si>
  <si>
    <t>18/12/2020 13:30:00</t>
  </si>
  <si>
    <t>18/12/2020 13:45:00</t>
  </si>
  <si>
    <t>18/12/2020 14:00:00</t>
  </si>
  <si>
    <t>18/12/2020 14:15:00</t>
  </si>
  <si>
    <t>18/12/2020 14:30:00</t>
  </si>
  <si>
    <t>18/12/2020 14:45:00</t>
  </si>
  <si>
    <t>18/12/2020 15:00:00</t>
  </si>
  <si>
    <t>18/12/2020 15:15:00</t>
  </si>
  <si>
    <t>18/12/2020 15:30:00</t>
  </si>
  <si>
    <t>18/12/2020 15:45:00</t>
  </si>
  <si>
    <t>18/12/2020 16:00:00</t>
  </si>
  <si>
    <t>18/12/2020 16:15:00</t>
  </si>
  <si>
    <t>18/12/2020 16:30:00</t>
  </si>
  <si>
    <t>18/12/2020 16:45:00</t>
  </si>
  <si>
    <t>18/12/2020 17:00:00</t>
  </si>
  <si>
    <t>18/12/2020 17:15:00</t>
  </si>
  <si>
    <t>18/12/2020 17:30:00</t>
  </si>
  <si>
    <t>18/12/2020 17:45:00</t>
  </si>
  <si>
    <t>18/12/2020 18:00:00</t>
  </si>
  <si>
    <t>18/12/2020 18:15:00</t>
  </si>
  <si>
    <t>18/12/2020 18:30:00</t>
  </si>
  <si>
    <t>18/12/2020 18:45:00</t>
  </si>
  <si>
    <t>18/12/2020 19:00:00</t>
  </si>
  <si>
    <t>18/12/2020 19:15:00</t>
  </si>
  <si>
    <t>18/12/2020 19:30:00</t>
  </si>
  <si>
    <t>18/12/2020 19:45:00</t>
  </si>
  <si>
    <t>18/12/2020 20:00:00</t>
  </si>
  <si>
    <t>18/12/2020 20:15:00</t>
  </si>
  <si>
    <t>18/12/2020 20:30:00</t>
  </si>
  <si>
    <t>18/12/2020 20:45:00</t>
  </si>
  <si>
    <t>18/12/2020 21:00:00</t>
  </si>
  <si>
    <t>18/12/2020 21:15:00</t>
  </si>
  <si>
    <t>18/12/2020 21:30:00</t>
  </si>
  <si>
    <t>18/12/2020 21:45:00</t>
  </si>
  <si>
    <t>18/12/2020 22:00:00</t>
  </si>
  <si>
    <t>18/12/2020 22:15:00</t>
  </si>
  <si>
    <t>18/12/2020 22:30:00</t>
  </si>
  <si>
    <t>18/12/2020 22:45:00</t>
  </si>
  <si>
    <t>18/12/2020 23:00:00</t>
  </si>
  <si>
    <t>18/12/2020 23:15:00</t>
  </si>
  <si>
    <t>18/12/2020 23:30:00</t>
  </si>
  <si>
    <t>18/12/2020 23:45:00</t>
  </si>
  <si>
    <t>19/12/2020 0:00:00</t>
  </si>
  <si>
    <t>19/12/2020 0:15:00</t>
  </si>
  <si>
    <t>19/12/2020 0:30:00</t>
  </si>
  <si>
    <t>19/12/2020 0:45:00</t>
  </si>
  <si>
    <t>19/12/2020 1:00:00</t>
  </si>
  <si>
    <t>19/12/2020 1:15:00</t>
  </si>
  <si>
    <t>19/12/2020 1:30:00</t>
  </si>
  <si>
    <t>19/12/2020 1:45:00</t>
  </si>
  <si>
    <t>19/12/2020 2:00:00</t>
  </si>
  <si>
    <t>19/12/2020 2:15:00</t>
  </si>
  <si>
    <t>19/12/2020 2:30:00</t>
  </si>
  <si>
    <t>19/12/2020 2:45:00</t>
  </si>
  <si>
    <t>19/12/2020 3:00:00</t>
  </si>
  <si>
    <t>19/12/2020 3:15:00</t>
  </si>
  <si>
    <t>19/12/2020 3:30:00</t>
  </si>
  <si>
    <t>19/12/2020 3:45:00</t>
  </si>
  <si>
    <t>19/12/2020 4:00:00</t>
  </si>
  <si>
    <t>19/12/2020 4:15:00</t>
  </si>
  <si>
    <t>19/12/2020 4:30:00</t>
  </si>
  <si>
    <t>19/12/2020 4:45:00</t>
  </si>
  <si>
    <t>19/12/2020 5:00:00</t>
  </si>
  <si>
    <t>19/12/2020 5:15:00</t>
  </si>
  <si>
    <t>19/12/2020 5:30:00</t>
  </si>
  <si>
    <t>19/12/2020 5:45:00</t>
  </si>
  <si>
    <t>19/12/2020 6:00:00</t>
  </si>
  <si>
    <t>19/12/2020 6:15:00</t>
  </si>
  <si>
    <t>19/12/2020 6:30:00</t>
  </si>
  <si>
    <t>19/12/2020 6:45:00</t>
  </si>
  <si>
    <t>19/12/2020 7:00:00</t>
  </si>
  <si>
    <t>19/12/2020 7:15:00</t>
  </si>
  <si>
    <t>19/12/2020 7:30:00</t>
  </si>
  <si>
    <t>19/12/2020 7:45:00</t>
  </si>
  <si>
    <t>19/12/2020 8:00:00</t>
  </si>
  <si>
    <t>19/12/2020 8:15:00</t>
  </si>
  <si>
    <t>19/12/2020 8:30:00</t>
  </si>
  <si>
    <t>19/12/2020 8:45:00</t>
  </si>
  <si>
    <t>19/12/2020 9:00:00</t>
  </si>
  <si>
    <t>19/12/2020 9:15:00</t>
  </si>
  <si>
    <t>19/12/2020 9:30:00</t>
  </si>
  <si>
    <t>19/12/2020 9:45:00</t>
  </si>
  <si>
    <t>19/12/2020 10:00:00</t>
  </si>
  <si>
    <t>19/12/2020 10:15:00</t>
  </si>
  <si>
    <t>19/12/2020 10:30:00</t>
  </si>
  <si>
    <t>19/12/2020 10:45:00</t>
  </si>
  <si>
    <t>19/12/2020 11:00:00</t>
  </si>
  <si>
    <t>19/12/2020 11:15:00</t>
  </si>
  <si>
    <t>19/12/2020 11:30:00</t>
  </si>
  <si>
    <t>19/12/2020 11:45:00</t>
  </si>
  <si>
    <t>19/12/2020 12:00:00</t>
  </si>
  <si>
    <t>19/12/2020 12:15:00</t>
  </si>
  <si>
    <t>19/12/2020 12:30:00</t>
  </si>
  <si>
    <t>19/12/2020 12:45:00</t>
  </si>
  <si>
    <t>19/12/2020 13:00:00</t>
  </si>
  <si>
    <t>19/12/2020 13:15:00</t>
  </si>
  <si>
    <t>19/12/2020 13:30:00</t>
  </si>
  <si>
    <t>19/12/2020 13:45:00</t>
  </si>
  <si>
    <t>19/12/2020 14:00:00</t>
  </si>
  <si>
    <t>19/12/2020 14:15:00</t>
  </si>
  <si>
    <t>19/12/2020 14:30:00</t>
  </si>
  <si>
    <t>19/12/2020 14:45:00</t>
  </si>
  <si>
    <t>19/12/2020 15:00:00</t>
  </si>
  <si>
    <t>19/12/2020 15:15:00</t>
  </si>
  <si>
    <t>19/12/2020 15:30:00</t>
  </si>
  <si>
    <t>19/12/2020 15:45:00</t>
  </si>
  <si>
    <t>19/12/2020 16:00:00</t>
  </si>
  <si>
    <t>L90 1 hr</t>
  </si>
  <si>
    <t>(paste values)</t>
  </si>
  <si>
    <t>(example in red)</t>
  </si>
  <si>
    <t>L90 15min</t>
  </si>
  <si>
    <t>L90 1 hour</t>
  </si>
  <si>
    <t>NOTE: paste data here before performing filter operation</t>
  </si>
  <si>
    <t>otherwise the data in this column will be filtered twice</t>
  </si>
  <si>
    <t>RESULTS</t>
  </si>
  <si>
    <t>by deleting "day"/"evening"/"night" text</t>
  </si>
  <si>
    <t>Paste working logger data here</t>
  </si>
  <si>
    <t>from column H leaving the cell blank</t>
  </si>
  <si>
    <t>arithmetic average integrate data to 1 hour data:</t>
  </si>
  <si>
    <t>ie: 3:00pm 1 hour data would be =AVERAGE(2:15pm,2:30pm,2:45pm,3:00pm)</t>
  </si>
  <si>
    <t>AVERAGE 15min DATA TO 1 HOUR</t>
  </si>
  <si>
    <t>=AVERAGE(H18:H21)</t>
  </si>
  <si>
    <t>*Table currently set up for 1500 hours of data (60 days)</t>
  </si>
  <si>
    <t>re-work columns if logging period is longer than 60 days (!?)</t>
  </si>
  <si>
    <t xml:space="preserve">*Exclude weather affected data </t>
  </si>
  <si>
    <t xml:space="preserve">changed time of day formulas </t>
  </si>
  <si>
    <t>added worked examples for reference</t>
  </si>
  <si>
    <t>RAIN</t>
  </si>
  <si>
    <t>DATA</t>
  </si>
  <si>
    <t>DELETED</t>
  </si>
  <si>
    <t>DUE</t>
  </si>
  <si>
    <t>TO</t>
  </si>
  <si>
    <t>&lt;-------</t>
  </si>
  <si>
    <t>Monday, 14 February 2022</t>
  </si>
  <si>
    <t>Time periods updated to 1826-4 - Still need some way to acount for public holidays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</si>
</sst>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:ss;@"/>
    <numFmt numFmtId="165" formatCode="[$-F800]dddd\,\ mmmm\ dd\,\ yyyy"/>
    <numFmt numFmtId="166" formatCode="[$-F400]h:mm:ss\ AM/PM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Open Sans"/>
      <family val="2"/>
    </font>
    <font>
      <sz val="10"/>
      <color theme="0"/>
      <name val="Open Sans"/>
      <family val="2"/>
    </font>
    <font>
      <sz val="10"/>
      <name val="Open Sans"/>
      <family val="2"/>
    </font>
    <font>
      <sz val="11"/>
      <color rgb="FFFF0000"/>
      <name val="Calibri"/>
      <family val="2"/>
      <scheme val="minor"/>
    </font>
    <font>
      <sz val="10"/>
      <color rgb="FFFF0000"/>
      <name val="Open Sans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6">
    <xf numFmtId="0" fontId="0" fillId="0" borderId="0" xfId="0"/>
    <xf numFmtId="0" fontId="0" fillId="0" borderId="0" xfId="0" quotePrefix="1"/>
    <xf numFmtId="0" fontId="2" fillId="0" borderId="0" xfId="0" applyFont="1"/>
    <xf numFmtId="164" fontId="2" fillId="0" borderId="0" xfId="0" applyNumberFormat="1" applyFont="1"/>
    <xf numFmtId="0" fontId="2" fillId="0" borderId="0" xfId="0" applyNumberFormat="1" applyFont="1"/>
    <xf numFmtId="0" fontId="3" fillId="0" borderId="0" xfId="0" applyNumberFormat="1" applyFont="1" applyFill="1" applyBorder="1" applyAlignment="1"/>
    <xf numFmtId="165" fontId="2" fillId="0" borderId="0" xfId="0" applyNumberFormat="1" applyFont="1"/>
    <xf numFmtId="165" fontId="0" fillId="0" borderId="0" xfId="0" applyNumberFormat="1"/>
    <xf numFmtId="0" fontId="2" fillId="4" borderId="0" xfId="0" applyFont="1" applyFill="1"/>
    <xf numFmtId="0" fontId="2" fillId="3" borderId="1" xfId="0" applyFont="1" applyFill="1" applyBorder="1"/>
    <xf numFmtId="0" fontId="2" fillId="3" borderId="3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4" fillId="3" borderId="9" xfId="0" applyFont="1" applyFill="1" applyBorder="1" applyAlignment="1"/>
    <xf numFmtId="0" fontId="4" fillId="3" borderId="10" xfId="0" applyFont="1" applyFill="1" applyBorder="1" applyAlignment="1"/>
    <xf numFmtId="0" fontId="0" fillId="0" borderId="0" xfId="0"/>
    <xf numFmtId="0" fontId="0" fillId="0" borderId="0" xfId="0" quotePrefix="1"/>
    <xf numFmtId="0" fontId="2" fillId="0" borderId="0" xfId="0" applyFont="1"/>
    <xf numFmtId="165" fontId="2" fillId="0" borderId="0" xfId="0" applyNumberFormat="1" applyFont="1"/>
    <xf numFmtId="166" fontId="2" fillId="0" borderId="0" xfId="0" applyNumberFormat="1" applyFont="1"/>
    <xf numFmtId="165" fontId="0" fillId="0" borderId="0" xfId="0" quotePrefix="1" applyNumberFormat="1"/>
    <xf numFmtId="0" fontId="2" fillId="3" borderId="9" xfId="0" applyFont="1" applyFill="1" applyBorder="1"/>
    <xf numFmtId="0" fontId="2" fillId="3" borderId="10" xfId="0" applyFont="1" applyFill="1" applyBorder="1"/>
    <xf numFmtId="165" fontId="2" fillId="3" borderId="1" xfId="0" applyNumberFormat="1" applyFont="1" applyFill="1" applyBorder="1"/>
    <xf numFmtId="164" fontId="2" fillId="3" borderId="3" xfId="0" applyNumberFormat="1" applyFont="1" applyFill="1" applyBorder="1"/>
    <xf numFmtId="165" fontId="2" fillId="3" borderId="7" xfId="0" applyNumberFormat="1" applyFont="1" applyFill="1" applyBorder="1"/>
    <xf numFmtId="164" fontId="2" fillId="3" borderId="8" xfId="0" applyNumberFormat="1" applyFont="1" applyFill="1" applyBorder="1"/>
    <xf numFmtId="165" fontId="2" fillId="3" borderId="9" xfId="0" applyNumberFormat="1" applyFont="1" applyFill="1" applyBorder="1" applyAlignment="1">
      <alignment horizontal="center"/>
    </xf>
    <xf numFmtId="164" fontId="2" fillId="3" borderId="10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right"/>
    </xf>
    <xf numFmtId="165" fontId="2" fillId="3" borderId="4" xfId="0" applyNumberFormat="1" applyFont="1" applyFill="1" applyBorder="1"/>
    <xf numFmtId="164" fontId="2" fillId="3" borderId="6" xfId="0" applyNumberFormat="1" applyFont="1" applyFill="1" applyBorder="1"/>
    <xf numFmtId="0" fontId="2" fillId="3" borderId="1" xfId="0" applyFont="1" applyFill="1" applyBorder="1" applyAlignment="1">
      <alignment horizontal="right"/>
    </xf>
    <xf numFmtId="0" fontId="0" fillId="0" borderId="0" xfId="0" quotePrefix="1"/>
    <xf numFmtId="0" fontId="0" fillId="0" borderId="0" xfId="0"/>
    <xf numFmtId="0" fontId="0" fillId="0" borderId="0" xfId="0" quotePrefix="1"/>
    <xf numFmtId="0" fontId="2" fillId="0" borderId="0" xfId="0" applyFont="1"/>
    <xf numFmtId="164" fontId="2" fillId="0" borderId="0" xfId="0" applyNumberFormat="1" applyFont="1"/>
    <xf numFmtId="0" fontId="2" fillId="0" borderId="0" xfId="0" applyNumberFormat="1" applyFont="1"/>
    <xf numFmtId="0" fontId="3" fillId="0" borderId="0" xfId="0" applyNumberFormat="1" applyFont="1" applyFill="1" applyBorder="1" applyAlignment="1"/>
    <xf numFmtId="0" fontId="3" fillId="2" borderId="5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4" xfId="0" applyNumberFormat="1" applyFont="1" applyFill="1" applyBorder="1"/>
    <xf numFmtId="0" fontId="2" fillId="3" borderId="0" xfId="0" applyNumberFormat="1" applyFont="1" applyFill="1" applyBorder="1"/>
    <xf numFmtId="0" fontId="2" fillId="3" borderId="0" xfId="0" applyFont="1" applyFill="1" applyBorder="1"/>
    <xf numFmtId="164" fontId="2" fillId="3" borderId="0" xfId="0" applyNumberFormat="1" applyFont="1" applyFill="1" applyBorder="1"/>
    <xf numFmtId="165" fontId="2" fillId="3" borderId="0" xfId="0" applyNumberFormat="1" applyFont="1" applyFill="1" applyBorder="1"/>
    <xf numFmtId="165" fontId="2" fillId="0" borderId="0" xfId="0" applyNumberFormat="1" applyFont="1"/>
    <xf numFmtId="14" fontId="3" fillId="2" borderId="3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right"/>
    </xf>
    <xf numFmtId="0" fontId="2" fillId="3" borderId="2" xfId="0" applyNumberFormat="1" applyFont="1" applyFill="1" applyBorder="1"/>
    <xf numFmtId="0" fontId="2" fillId="3" borderId="7" xfId="0" applyFont="1" applyFill="1" applyBorder="1" applyAlignment="1">
      <alignment horizontal="right"/>
    </xf>
    <xf numFmtId="0" fontId="2" fillId="3" borderId="9" xfId="0" applyFont="1" applyFill="1" applyBorder="1" applyAlignment="1">
      <alignment horizontal="right"/>
    </xf>
    <xf numFmtId="0" fontId="2" fillId="3" borderId="11" xfId="0" applyFont="1" applyFill="1" applyBorder="1" applyAlignment="1">
      <alignment horizontal="right"/>
    </xf>
    <xf numFmtId="0" fontId="2" fillId="3" borderId="11" xfId="0" applyNumberFormat="1" applyFont="1" applyFill="1" applyBorder="1"/>
    <xf numFmtId="14" fontId="3" fillId="2" borderId="4" xfId="0" applyNumberFormat="1" applyFont="1" applyFill="1" applyBorder="1" applyAlignment="1"/>
    <xf numFmtId="14" fontId="3" fillId="2" borderId="6" xfId="0" applyNumberFormat="1" applyFont="1" applyFill="1" applyBorder="1" applyAlignment="1"/>
    <xf numFmtId="0" fontId="2" fillId="3" borderId="1" xfId="0" applyNumberFormat="1" applyFont="1" applyFill="1" applyBorder="1"/>
    <xf numFmtId="0" fontId="2" fillId="3" borderId="7" xfId="0" applyNumberFormat="1" applyFont="1" applyFill="1" applyBorder="1"/>
    <xf numFmtId="0" fontId="2" fillId="3" borderId="9" xfId="0" applyNumberFormat="1" applyFont="1" applyFill="1" applyBorder="1"/>
    <xf numFmtId="0" fontId="2" fillId="3" borderId="0" xfId="0" quotePrefix="1" applyNumberFormat="1" applyFont="1" applyFill="1" applyBorder="1"/>
    <xf numFmtId="0" fontId="2" fillId="3" borderId="11" xfId="0" quotePrefix="1" applyNumberFormat="1" applyFont="1" applyFill="1" applyBorder="1"/>
    <xf numFmtId="0" fontId="2" fillId="3" borderId="2" xfId="0" applyNumberFormat="1" applyFont="1" applyFill="1" applyBorder="1" applyAlignment="1">
      <alignment horizontal="right"/>
    </xf>
    <xf numFmtId="0" fontId="2" fillId="3" borderId="0" xfId="0" applyNumberFormat="1" applyFont="1" applyFill="1" applyBorder="1" applyAlignment="1">
      <alignment horizontal="right"/>
    </xf>
    <xf numFmtId="0" fontId="2" fillId="3" borderId="11" xfId="0" applyNumberFormat="1" applyFont="1" applyFill="1" applyBorder="1" applyAlignment="1">
      <alignment horizontal="right"/>
    </xf>
    <xf numFmtId="14" fontId="3" fillId="2" borderId="5" xfId="0" applyNumberFormat="1" applyFont="1" applyFill="1" applyBorder="1" applyAlignment="1"/>
    <xf numFmtId="0" fontId="2" fillId="3" borderId="3" xfId="0" applyNumberFormat="1" applyFont="1" applyFill="1" applyBorder="1"/>
    <xf numFmtId="0" fontId="2" fillId="3" borderId="8" xfId="0" applyNumberFormat="1" applyFont="1" applyFill="1" applyBorder="1"/>
    <xf numFmtId="0" fontId="2" fillId="3" borderId="10" xfId="0" applyNumberFormat="1" applyFont="1" applyFill="1" applyBorder="1"/>
    <xf numFmtId="0" fontId="5" fillId="0" borderId="0" xfId="0" quotePrefix="1" applyFont="1"/>
    <xf numFmtId="0" fontId="6" fillId="0" borderId="0" xfId="0" applyFont="1"/>
    <xf numFmtId="0" fontId="5" fillId="0" borderId="0" xfId="0" applyFont="1"/>
    <xf numFmtId="165" fontId="5" fillId="0" borderId="0" xfId="0" quotePrefix="1" applyNumberFormat="1" applyFont="1"/>
    <xf numFmtId="166" fontId="6" fillId="0" borderId="0" xfId="0" applyNumberFormat="1" applyFont="1"/>
    <xf numFmtId="0" fontId="6" fillId="0" borderId="0" xfId="0" applyNumberFormat="1" applyFont="1"/>
    <xf numFmtId="0" fontId="6" fillId="0" borderId="1" xfId="0" applyNumberFormat="1" applyFont="1" applyBorder="1"/>
    <xf numFmtId="0" fontId="6" fillId="0" borderId="2" xfId="0" applyNumberFormat="1" applyFont="1" applyBorder="1"/>
    <xf numFmtId="0" fontId="6" fillId="0" borderId="3" xfId="0" applyNumberFormat="1" applyFont="1" applyBorder="1"/>
    <xf numFmtId="0" fontId="6" fillId="0" borderId="7" xfId="0" applyNumberFormat="1" applyFont="1" applyBorder="1"/>
    <xf numFmtId="0" fontId="6" fillId="0" borderId="0" xfId="0" applyNumberFormat="1" applyFont="1" applyBorder="1"/>
    <xf numFmtId="0" fontId="6" fillId="0" borderId="8" xfId="0" applyNumberFormat="1" applyFont="1" applyBorder="1"/>
    <xf numFmtId="165" fontId="0" fillId="0" borderId="7" xfId="0" quotePrefix="1" applyNumberFormat="1" applyBorder="1"/>
    <xf numFmtId="166" fontId="2" fillId="0" borderId="0" xfId="0" applyNumberFormat="1" applyFont="1" applyBorder="1"/>
    <xf numFmtId="0" fontId="0" fillId="0" borderId="8" xfId="0" applyBorder="1"/>
    <xf numFmtId="165" fontId="0" fillId="0" borderId="9" xfId="0" quotePrefix="1" applyNumberFormat="1" applyBorder="1"/>
    <xf numFmtId="0" fontId="0" fillId="0" borderId="10" xfId="0" applyBorder="1"/>
    <xf numFmtId="165" fontId="0" fillId="0" borderId="12" xfId="0" quotePrefix="1" applyNumberFormat="1" applyBorder="1"/>
    <xf numFmtId="0" fontId="0" fillId="0" borderId="13" xfId="0" applyBorder="1"/>
    <xf numFmtId="165" fontId="0" fillId="0" borderId="14" xfId="0" quotePrefix="1" applyNumberFormat="1" applyBorder="1"/>
    <xf numFmtId="166" fontId="2" fillId="0" borderId="15" xfId="0" applyNumberFormat="1" applyFont="1" applyBorder="1"/>
    <xf numFmtId="0" fontId="0" fillId="0" borderId="16" xfId="0" applyBorder="1"/>
    <xf numFmtId="0" fontId="6" fillId="0" borderId="9" xfId="0" applyNumberFormat="1" applyFont="1" applyBorder="1"/>
    <xf numFmtId="0" fontId="6" fillId="0" borderId="11" xfId="0" applyNumberFormat="1" applyFont="1" applyBorder="1"/>
    <xf numFmtId="0" fontId="6" fillId="0" borderId="10" xfId="0" applyNumberFormat="1" applyFont="1" applyBorder="1"/>
    <xf numFmtId="166" fontId="4" fillId="0" borderId="0" xfId="0" applyNumberFormat="1" applyFont="1"/>
    <xf numFmtId="166" fontId="3" fillId="2" borderId="5" xfId="0" applyNumberFormat="1" applyFont="1" applyFill="1" applyBorder="1" applyAlignment="1"/>
    <xf numFmtId="166" fontId="2" fillId="3" borderId="2" xfId="0" applyNumberFormat="1" applyFont="1" applyFill="1" applyBorder="1"/>
    <xf numFmtId="166" fontId="2" fillId="3" borderId="0" xfId="0" quotePrefix="1" applyNumberFormat="1" applyFont="1" applyFill="1" applyBorder="1"/>
    <xf numFmtId="166" fontId="2" fillId="3" borderId="11" xfId="0" quotePrefix="1" applyNumberFormat="1" applyFont="1" applyFill="1" applyBorder="1"/>
    <xf numFmtId="166" fontId="2" fillId="3" borderId="0" xfId="0" applyNumberFormat="1" applyFont="1" applyFill="1" applyBorder="1"/>
    <xf numFmtId="166" fontId="2" fillId="3" borderId="11" xfId="0" applyNumberFormat="1" applyFont="1" applyFill="1" applyBorder="1"/>
    <xf numFmtId="0" fontId="5" fillId="0" borderId="1" xfId="0" applyFont="1" applyBorder="1"/>
    <xf numFmtId="166" fontId="6" fillId="0" borderId="3" xfId="0" applyNumberFormat="1" applyFont="1" applyBorder="1"/>
    <xf numFmtId="0" fontId="5" fillId="0" borderId="7" xfId="0" applyFont="1" applyBorder="1"/>
    <xf numFmtId="166" fontId="6" fillId="0" borderId="8" xfId="0" applyNumberFormat="1" applyFont="1" applyBorder="1"/>
    <xf numFmtId="0" fontId="5" fillId="0" borderId="9" xfId="0" applyFont="1" applyBorder="1"/>
    <xf numFmtId="2" fontId="4" fillId="0" borderId="0" xfId="0" applyNumberFormat="1" applyFont="1" applyBorder="1"/>
    <xf numFmtId="166" fontId="6" fillId="0" borderId="0" xfId="0" applyNumberFormat="1" applyFont="1" applyBorder="1"/>
    <xf numFmtId="166" fontId="6" fillId="0" borderId="1" xfId="0" applyNumberFormat="1" applyFont="1" applyBorder="1"/>
    <xf numFmtId="166" fontId="6" fillId="0" borderId="7" xfId="0" applyNumberFormat="1" applyFont="1" applyBorder="1"/>
    <xf numFmtId="2" fontId="6" fillId="0" borderId="10" xfId="0" quotePrefix="1" applyNumberFormat="1" applyFont="1" applyBorder="1"/>
    <xf numFmtId="0" fontId="5" fillId="0" borderId="1" xfId="0" quotePrefix="1" applyFont="1" applyBorder="1"/>
    <xf numFmtId="0" fontId="5" fillId="0" borderId="3" xfId="0" applyFont="1" applyBorder="1"/>
    <xf numFmtId="0" fontId="5" fillId="0" borderId="7" xfId="0" quotePrefix="1" applyFont="1" applyBorder="1"/>
    <xf numFmtId="0" fontId="5" fillId="0" borderId="8" xfId="0" applyFont="1" applyBorder="1"/>
    <xf numFmtId="0" fontId="0" fillId="0" borderId="7" xfId="0" quotePrefix="1" applyBorder="1"/>
    <xf numFmtId="0" fontId="0" fillId="0" borderId="9" xfId="0" quotePrefix="1" applyBorder="1"/>
    <xf numFmtId="166" fontId="6" fillId="0" borderId="2" xfId="0" applyNumberFormat="1" applyFont="1" applyBorder="1"/>
    <xf numFmtId="166" fontId="6" fillId="0" borderId="11" xfId="0" applyNumberFormat="1" applyFont="1" applyBorder="1"/>
    <xf numFmtId="165" fontId="5" fillId="0" borderId="1" xfId="0" quotePrefix="1" applyNumberFormat="1" applyFont="1" applyBorder="1"/>
    <xf numFmtId="165" fontId="5" fillId="0" borderId="7" xfId="0" quotePrefix="1" applyNumberFormat="1" applyFont="1" applyBorder="1"/>
    <xf numFmtId="166" fontId="2" fillId="0" borderId="8" xfId="0" applyNumberFormat="1" applyFont="1" applyBorder="1"/>
    <xf numFmtId="166" fontId="2" fillId="0" borderId="10" xfId="0" applyNumberFormat="1" applyFont="1" applyBorder="1"/>
    <xf numFmtId="165" fontId="5" fillId="0" borderId="9" xfId="0" quotePrefix="1" applyNumberFormat="1" applyFont="1" applyBorder="1"/>
    <xf numFmtId="0" fontId="5" fillId="0" borderId="10" xfId="0" applyFont="1" applyBorder="1"/>
    <xf numFmtId="164" fontId="2" fillId="3" borderId="11" xfId="0" applyNumberFormat="1" applyFont="1" applyFill="1" applyBorder="1" applyAlignment="1">
      <alignment horizontal="center"/>
    </xf>
    <xf numFmtId="0" fontId="2" fillId="3" borderId="2" xfId="0" applyFont="1" applyFill="1" applyBorder="1"/>
    <xf numFmtId="165" fontId="2" fillId="3" borderId="2" xfId="0" applyNumberFormat="1" applyFont="1" applyFill="1" applyBorder="1"/>
    <xf numFmtId="164" fontId="2" fillId="3" borderId="2" xfId="0" applyNumberFormat="1" applyFont="1" applyFill="1" applyBorder="1"/>
    <xf numFmtId="0" fontId="2" fillId="3" borderId="11" xfId="0" applyFont="1" applyFill="1" applyBorder="1"/>
    <xf numFmtId="0" fontId="3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1" fontId="2" fillId="0" borderId="9" xfId="0" applyNumberFormat="1" applyFont="1" applyBorder="1"/>
    <xf numFmtId="1" fontId="2" fillId="0" borderId="11" xfId="0" applyNumberFormat="1" applyFont="1" applyBorder="1"/>
    <xf numFmtId="1" fontId="2" fillId="0" borderId="10" xfId="0" applyNumberFormat="1" applyFont="1" applyBorder="1"/>
    <xf numFmtId="0" fontId="3" fillId="2" borderId="4" xfId="0" applyNumberFormat="1" applyFont="1" applyFill="1" applyBorder="1" applyAlignment="1">
      <alignment horizontal="center"/>
    </xf>
    <xf numFmtId="165" fontId="6" fillId="3" borderId="0" xfId="0" applyNumberFormat="1" applyFont="1" applyFill="1" applyBorder="1"/>
    <xf numFmtId="0" fontId="4" fillId="3" borderId="0" xfId="0" applyNumberFormat="1" applyFont="1" applyFill="1" applyBorder="1"/>
    <xf numFmtId="0" fontId="4" fillId="3" borderId="2" xfId="0" applyNumberFormat="1" applyFont="1" applyFill="1" applyBorder="1"/>
    <xf numFmtId="0" fontId="2" fillId="0" borderId="0" xfId="0" applyFont="1" applyFill="1"/>
    <xf numFmtId="0" fontId="2" fillId="5" borderId="0" xfId="0" applyNumberFormat="1" applyFont="1" applyFill="1"/>
    <xf numFmtId="0" fontId="2" fillId="5" borderId="0" xfId="0" applyFont="1" applyFill="1"/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14" fontId="3" fillId="2" borderId="4" xfId="0" applyNumberFormat="1" applyFont="1" applyFill="1" applyBorder="1" applyAlignment="1">
      <alignment horizontal="center"/>
    </xf>
    <xf numFmtId="14" fontId="3" fillId="2" borderId="6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4" fontId="3" fillId="2" borderId="3" xfId="0" applyNumberFormat="1" applyFont="1" applyFill="1" applyBorder="1" applyAlignment="1">
      <alignment horizontal="center"/>
    </xf>
    <xf numFmtId="14" fontId="3" fillId="2" borderId="2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3" fillId="2" borderId="3" xfId="0" applyNumberFormat="1" applyFont="1" applyFill="1" applyBorder="1" applyAlignment="1">
      <alignment horizontal="center"/>
    </xf>
    <xf numFmtId="0" fontId="3" fillId="2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011CF-1FE5-4192-A4BE-248C70A7215B}">
  <sheetPr codeName="Sheet1"/>
  <dimension ref="A1:Q102"/>
  <sheetViews>
    <sheetView topLeftCell="A4" zoomScaleNormal="100" workbookViewId="0"/>
  </sheetViews>
  <sheetFormatPr defaultRowHeight="15" x14ac:dyDescent="0.25"/>
  <cols>
    <col min="2" max="2" width="9.140625" customWidth="1"/>
  </cols>
  <sheetData>
    <row r="1" spans="1:17" x14ac:dyDescent="0.25">
      <c r="A1" s="1"/>
      <c r="C1" s="1"/>
      <c r="I1" s="1"/>
      <c r="O1" s="1"/>
    </row>
    <row r="3" spans="1:17" x14ac:dyDescent="0.25">
      <c r="A3" s="1"/>
      <c r="B3" s="1"/>
      <c r="C3" s="1"/>
      <c r="D3" s="1"/>
      <c r="E3" s="1"/>
      <c r="I3" s="1"/>
      <c r="J3" s="1"/>
      <c r="K3" s="1"/>
      <c r="O3" s="1"/>
      <c r="P3" s="1"/>
      <c r="Q3" s="1"/>
    </row>
    <row r="4" spans="1:17" x14ac:dyDescent="0.25">
      <c r="A4" s="1"/>
      <c r="B4" s="1"/>
      <c r="C4" s="1"/>
      <c r="D4" s="1"/>
      <c r="E4" s="1"/>
      <c r="I4" s="1"/>
      <c r="J4" s="1"/>
      <c r="K4" s="1"/>
      <c r="O4" s="1"/>
      <c r="P4" s="1"/>
      <c r="Q4" s="1"/>
    </row>
    <row r="5" spans="1:17" x14ac:dyDescent="0.25">
      <c r="A5" s="1"/>
      <c r="B5" s="1"/>
      <c r="C5" s="1"/>
      <c r="D5" s="1"/>
      <c r="E5" s="1"/>
      <c r="I5" s="1"/>
      <c r="J5" s="1"/>
      <c r="K5" s="1"/>
      <c r="O5" s="1"/>
      <c r="P5" s="1"/>
      <c r="Q5" s="1"/>
    </row>
    <row r="6" spans="1:17" x14ac:dyDescent="0.25">
      <c r="B6" s="1"/>
      <c r="D6" s="1"/>
      <c r="J6" s="1"/>
      <c r="P6" s="1"/>
    </row>
    <row r="7" spans="1:17" x14ac:dyDescent="0.25">
      <c r="B7" s="1"/>
      <c r="D7" s="1"/>
      <c r="J7" s="1"/>
      <c r="P7" s="1"/>
    </row>
    <row r="8" spans="1:17" x14ac:dyDescent="0.25">
      <c r="B8" s="1"/>
      <c r="D8" s="1"/>
      <c r="J8" s="1"/>
      <c r="P8" s="1"/>
    </row>
    <row r="9" spans="1:17" x14ac:dyDescent="0.25">
      <c r="B9" s="1"/>
      <c r="D9" s="1"/>
      <c r="J9" s="1"/>
      <c r="P9" s="1"/>
    </row>
    <row r="10" spans="1:17" x14ac:dyDescent="0.25">
      <c r="B10" s="1"/>
      <c r="D10" s="1"/>
      <c r="J10" s="1"/>
      <c r="P10" s="1"/>
    </row>
    <row r="11" spans="1:17" x14ac:dyDescent="0.25">
      <c r="B11" s="1"/>
      <c r="D11" s="1"/>
      <c r="J11" s="1"/>
      <c r="P11" s="1"/>
    </row>
    <row r="12" spans="1:17" x14ac:dyDescent="0.25">
      <c r="B12" s="1"/>
      <c r="D12" s="1"/>
      <c r="J12" s="1"/>
      <c r="P12" s="1"/>
    </row>
    <row r="13" spans="1:17" x14ac:dyDescent="0.25">
      <c r="B13" s="1"/>
      <c r="D13" s="1"/>
      <c r="J13" s="1"/>
      <c r="P13" s="1"/>
    </row>
    <row r="14" spans="1:17" x14ac:dyDescent="0.25">
      <c r="B14" s="1"/>
      <c r="D14" s="1"/>
      <c r="J14" s="1"/>
      <c r="P14" s="1"/>
    </row>
    <row r="15" spans="1:17" x14ac:dyDescent="0.25">
      <c r="B15" s="1"/>
      <c r="D15" s="1"/>
      <c r="J15" s="1"/>
      <c r="P15" s="1"/>
    </row>
    <row r="16" spans="1:17" x14ac:dyDescent="0.25">
      <c r="B16" s="1"/>
      <c r="D16" s="1"/>
      <c r="J16" s="1"/>
      <c r="P16" s="1"/>
    </row>
    <row r="17" spans="2:16" x14ac:dyDescent="0.25">
      <c r="B17" s="1"/>
      <c r="D17" s="1"/>
      <c r="J17" s="1"/>
      <c r="P17" s="1"/>
    </row>
    <row r="18" spans="2:16" x14ac:dyDescent="0.25">
      <c r="B18" s="1"/>
      <c r="D18" s="1"/>
      <c r="J18" s="1"/>
      <c r="P18" s="1"/>
    </row>
    <row r="19" spans="2:16" x14ac:dyDescent="0.25">
      <c r="B19" s="1"/>
      <c r="D19" s="1"/>
      <c r="J19" s="1"/>
      <c r="P19" s="1"/>
    </row>
    <row r="20" spans="2:16" x14ac:dyDescent="0.25">
      <c r="B20" s="1"/>
      <c r="D20" s="1"/>
      <c r="J20" s="1"/>
      <c r="P20" s="1"/>
    </row>
    <row r="21" spans="2:16" x14ac:dyDescent="0.25">
      <c r="B21" s="1"/>
      <c r="D21" s="1"/>
      <c r="J21" s="1"/>
      <c r="P21" s="1"/>
    </row>
    <row r="22" spans="2:16" x14ac:dyDescent="0.25">
      <c r="B22" s="1"/>
      <c r="D22" s="1"/>
      <c r="J22" s="1"/>
      <c r="P22" s="1"/>
    </row>
    <row r="23" spans="2:16" x14ac:dyDescent="0.25">
      <c r="B23" s="1"/>
      <c r="D23" s="1"/>
      <c r="J23" s="1"/>
      <c r="P23" s="1"/>
    </row>
    <row r="24" spans="2:16" x14ac:dyDescent="0.25">
      <c r="B24" s="1"/>
      <c r="D24" s="1"/>
      <c r="J24" s="1"/>
      <c r="P24" s="1"/>
    </row>
    <row r="25" spans="2:16" x14ac:dyDescent="0.25">
      <c r="B25" s="1"/>
      <c r="D25" s="1"/>
      <c r="J25" s="1"/>
      <c r="P25" s="1"/>
    </row>
    <row r="26" spans="2:16" x14ac:dyDescent="0.25">
      <c r="B26" s="1"/>
      <c r="D26" s="1"/>
      <c r="J26" s="1"/>
      <c r="P26" s="1"/>
    </row>
    <row r="27" spans="2:16" x14ac:dyDescent="0.25">
      <c r="B27" s="1"/>
      <c r="D27" s="1"/>
      <c r="J27" s="1"/>
      <c r="P27" s="1"/>
    </row>
    <row r="28" spans="2:16" x14ac:dyDescent="0.25">
      <c r="B28" s="1"/>
      <c r="D28" s="1"/>
      <c r="J28" s="1"/>
      <c r="P28" s="1"/>
    </row>
    <row r="29" spans="2:16" x14ac:dyDescent="0.25">
      <c r="B29" s="1"/>
      <c r="D29" s="1"/>
      <c r="J29" s="1"/>
      <c r="P29" s="1"/>
    </row>
    <row r="30" spans="2:16" x14ac:dyDescent="0.25">
      <c r="B30" s="1"/>
      <c r="D30" s="1"/>
      <c r="J30" s="1"/>
      <c r="P30" s="1"/>
    </row>
    <row r="31" spans="2:16" x14ac:dyDescent="0.25">
      <c r="B31" s="1"/>
      <c r="D31" s="1"/>
      <c r="J31" s="1"/>
      <c r="P31" s="1"/>
    </row>
    <row r="32" spans="2:16" x14ac:dyDescent="0.25">
      <c r="B32" s="1"/>
      <c r="D32" s="1"/>
      <c r="J32" s="1"/>
      <c r="P32" s="1"/>
    </row>
    <row r="33" spans="2:16" x14ac:dyDescent="0.25">
      <c r="B33" s="1"/>
      <c r="D33" s="1"/>
      <c r="J33" s="1"/>
      <c r="P33" s="1"/>
    </row>
    <row r="34" spans="2:16" x14ac:dyDescent="0.25">
      <c r="B34" s="1"/>
      <c r="D34" s="1"/>
      <c r="J34" s="1"/>
      <c r="P34" s="1"/>
    </row>
    <row r="35" spans="2:16" x14ac:dyDescent="0.25">
      <c r="B35" s="1"/>
      <c r="D35" s="1"/>
      <c r="J35" s="1"/>
      <c r="P35" s="1"/>
    </row>
    <row r="36" spans="2:16" x14ac:dyDescent="0.25">
      <c r="B36" s="1"/>
      <c r="D36" s="1"/>
      <c r="J36" s="1"/>
      <c r="P36" s="1"/>
    </row>
    <row r="37" spans="2:16" x14ac:dyDescent="0.25">
      <c r="B37" s="1"/>
      <c r="D37" s="1"/>
      <c r="J37" s="1"/>
      <c r="P37" s="1"/>
    </row>
    <row r="38" spans="2:16" x14ac:dyDescent="0.25">
      <c r="B38" s="1"/>
      <c r="D38" s="1"/>
      <c r="J38" s="1"/>
      <c r="P38" s="1"/>
    </row>
    <row r="39" spans="2:16" x14ac:dyDescent="0.25">
      <c r="B39" s="1"/>
      <c r="D39" s="1"/>
      <c r="J39" s="1"/>
      <c r="P39" s="1"/>
    </row>
    <row r="40" spans="2:16" x14ac:dyDescent="0.25">
      <c r="B40" s="1"/>
      <c r="D40" s="1"/>
      <c r="J40" s="1"/>
      <c r="P40" s="1"/>
    </row>
    <row r="41" spans="2:16" x14ac:dyDescent="0.25">
      <c r="B41" s="1"/>
      <c r="D41" s="1"/>
      <c r="J41" s="1"/>
      <c r="P41" s="1"/>
    </row>
    <row r="42" spans="2:16" x14ac:dyDescent="0.25">
      <c r="B42" s="1"/>
      <c r="D42" s="1"/>
      <c r="J42" s="1"/>
      <c r="P42" s="1"/>
    </row>
    <row r="43" spans="2:16" x14ac:dyDescent="0.25">
      <c r="B43" s="1"/>
      <c r="D43" s="1"/>
      <c r="J43" s="1"/>
      <c r="P43" s="1"/>
    </row>
    <row r="44" spans="2:16" x14ac:dyDescent="0.25">
      <c r="B44" s="1"/>
      <c r="D44" s="1"/>
      <c r="J44" s="1"/>
      <c r="P44" s="1"/>
    </row>
    <row r="45" spans="2:16" x14ac:dyDescent="0.25">
      <c r="B45" s="1"/>
      <c r="D45" s="1"/>
      <c r="J45" s="1"/>
      <c r="P45" s="1"/>
    </row>
    <row r="46" spans="2:16" x14ac:dyDescent="0.25">
      <c r="B46" s="1"/>
      <c r="D46" s="1"/>
      <c r="J46" s="1"/>
      <c r="P46" s="1"/>
    </row>
    <row r="47" spans="2:16" x14ac:dyDescent="0.25">
      <c r="B47" s="1"/>
      <c r="D47" s="1"/>
      <c r="J47" s="1"/>
      <c r="P47" s="1"/>
    </row>
    <row r="48" spans="2:16" x14ac:dyDescent="0.25">
      <c r="B48" s="1"/>
      <c r="D48" s="1"/>
      <c r="J48" s="1"/>
      <c r="P48" s="1"/>
    </row>
    <row r="49" spans="2:16" x14ac:dyDescent="0.25">
      <c r="B49" s="1"/>
      <c r="D49" s="1"/>
      <c r="J49" s="1"/>
      <c r="P49" s="1"/>
    </row>
    <row r="50" spans="2:16" x14ac:dyDescent="0.25">
      <c r="B50" s="1"/>
      <c r="D50" s="1"/>
      <c r="J50" s="1"/>
      <c r="P50" s="1"/>
    </row>
    <row r="51" spans="2:16" x14ac:dyDescent="0.25">
      <c r="B51" s="1"/>
      <c r="D51" s="1"/>
      <c r="J51" s="1"/>
      <c r="P51" s="1"/>
    </row>
    <row r="52" spans="2:16" x14ac:dyDescent="0.25">
      <c r="B52" s="1"/>
      <c r="D52" s="1"/>
      <c r="J52" s="1"/>
      <c r="P52" s="1"/>
    </row>
    <row r="53" spans="2:16" x14ac:dyDescent="0.25">
      <c r="B53" s="1"/>
      <c r="D53" s="1"/>
      <c r="J53" s="1"/>
      <c r="P53" s="1"/>
    </row>
    <row r="54" spans="2:16" x14ac:dyDescent="0.25">
      <c r="B54" s="1"/>
      <c r="D54" s="1"/>
      <c r="J54" s="1"/>
      <c r="P54" s="1"/>
    </row>
    <row r="55" spans="2:16" x14ac:dyDescent="0.25">
      <c r="B55" s="1"/>
      <c r="D55" s="1"/>
      <c r="J55" s="1"/>
      <c r="P55" s="1"/>
    </row>
    <row r="56" spans="2:16" x14ac:dyDescent="0.25">
      <c r="B56" s="1"/>
      <c r="D56" s="1"/>
      <c r="J56" s="1"/>
      <c r="P56" s="1"/>
    </row>
    <row r="57" spans="2:16" x14ac:dyDescent="0.25">
      <c r="B57" s="1"/>
      <c r="D57" s="1"/>
      <c r="J57" s="1"/>
      <c r="P57" s="1"/>
    </row>
    <row r="58" spans="2:16" x14ac:dyDescent="0.25">
      <c r="B58" s="1"/>
      <c r="D58" s="1"/>
      <c r="J58" s="1"/>
      <c r="P58" s="1"/>
    </row>
    <row r="59" spans="2:16" x14ac:dyDescent="0.25">
      <c r="B59" s="1"/>
      <c r="D59" s="1"/>
      <c r="J59" s="1"/>
      <c r="P59" s="1"/>
    </row>
    <row r="60" spans="2:16" x14ac:dyDescent="0.25">
      <c r="B60" s="1"/>
      <c r="D60" s="1"/>
      <c r="J60" s="1"/>
      <c r="P60" s="1"/>
    </row>
    <row r="61" spans="2:16" x14ac:dyDescent="0.25">
      <c r="B61" s="1"/>
      <c r="D61" s="1"/>
      <c r="J61" s="1"/>
      <c r="P61" s="1"/>
    </row>
    <row r="62" spans="2:16" x14ac:dyDescent="0.25">
      <c r="B62" s="1"/>
      <c r="D62" s="1"/>
      <c r="J62" s="1"/>
      <c r="P62" s="1"/>
    </row>
    <row r="63" spans="2:16" x14ac:dyDescent="0.25">
      <c r="B63" s="1"/>
      <c r="D63" s="1"/>
      <c r="J63" s="1"/>
      <c r="P63" s="1"/>
    </row>
    <row r="64" spans="2:16" x14ac:dyDescent="0.25">
      <c r="B64" s="1"/>
      <c r="D64" s="1"/>
      <c r="J64" s="1"/>
      <c r="P64" s="1"/>
    </row>
    <row r="65" spans="2:16" x14ac:dyDescent="0.25">
      <c r="B65" s="1"/>
      <c r="D65" s="1"/>
      <c r="J65" s="1"/>
      <c r="P65" s="1"/>
    </row>
    <row r="66" spans="2:16" x14ac:dyDescent="0.25">
      <c r="B66" s="1"/>
      <c r="D66" s="1"/>
      <c r="J66" s="1"/>
      <c r="P66" s="1"/>
    </row>
    <row r="67" spans="2:16" x14ac:dyDescent="0.25">
      <c r="B67" s="1"/>
      <c r="D67" s="1"/>
      <c r="J67" s="1"/>
      <c r="P67" s="1"/>
    </row>
    <row r="68" spans="2:16" x14ac:dyDescent="0.25">
      <c r="B68" s="1"/>
      <c r="D68" s="1"/>
      <c r="J68" s="1"/>
      <c r="P68" s="1"/>
    </row>
    <row r="69" spans="2:16" x14ac:dyDescent="0.25">
      <c r="B69" s="1"/>
      <c r="D69" s="1"/>
      <c r="J69" s="1"/>
      <c r="P69" s="1"/>
    </row>
    <row r="70" spans="2:16" x14ac:dyDescent="0.25">
      <c r="B70" s="1"/>
      <c r="D70" s="1"/>
      <c r="J70" s="1"/>
      <c r="P70" s="1"/>
    </row>
    <row r="71" spans="2:16" x14ac:dyDescent="0.25">
      <c r="B71" s="1"/>
      <c r="D71" s="1"/>
      <c r="J71" s="1"/>
      <c r="P71" s="1"/>
    </row>
    <row r="72" spans="2:16" x14ac:dyDescent="0.25">
      <c r="B72" s="1"/>
      <c r="D72" s="1"/>
      <c r="J72" s="1"/>
      <c r="P72" s="1"/>
    </row>
    <row r="73" spans="2:16" x14ac:dyDescent="0.25">
      <c r="B73" s="1"/>
      <c r="D73" s="1"/>
      <c r="J73" s="1"/>
      <c r="P73" s="1"/>
    </row>
    <row r="74" spans="2:16" x14ac:dyDescent="0.25">
      <c r="B74" s="1"/>
      <c r="D74" s="1"/>
      <c r="J74" s="1"/>
      <c r="P74" s="1"/>
    </row>
    <row r="75" spans="2:16" x14ac:dyDescent="0.25">
      <c r="B75" s="1"/>
      <c r="D75" s="1"/>
      <c r="J75" s="1"/>
      <c r="P75" s="1"/>
    </row>
    <row r="76" spans="2:16" x14ac:dyDescent="0.25">
      <c r="B76" s="1"/>
      <c r="D76" s="1"/>
      <c r="J76" s="1"/>
      <c r="P76" s="1"/>
    </row>
    <row r="77" spans="2:16" x14ac:dyDescent="0.25">
      <c r="B77" s="1"/>
      <c r="D77" s="1"/>
      <c r="J77" s="1"/>
      <c r="P77" s="1"/>
    </row>
    <row r="78" spans="2:16" x14ac:dyDescent="0.25">
      <c r="B78" s="1"/>
      <c r="D78" s="1"/>
      <c r="J78" s="1"/>
      <c r="P78" s="1"/>
    </row>
    <row r="79" spans="2:16" x14ac:dyDescent="0.25">
      <c r="B79" s="1"/>
      <c r="D79" s="1"/>
      <c r="J79" s="1"/>
      <c r="P79" s="1"/>
    </row>
    <row r="80" spans="2:16" x14ac:dyDescent="0.25">
      <c r="B80" s="1"/>
      <c r="D80" s="1"/>
      <c r="J80" s="1"/>
      <c r="P80" s="1"/>
    </row>
    <row r="81" spans="2:16" x14ac:dyDescent="0.25">
      <c r="B81" s="1"/>
      <c r="D81" s="1"/>
      <c r="J81" s="1"/>
      <c r="P81" s="1"/>
    </row>
    <row r="82" spans="2:16" x14ac:dyDescent="0.25">
      <c r="B82" s="1"/>
      <c r="D82" s="1"/>
      <c r="J82" s="1"/>
      <c r="P82" s="1"/>
    </row>
    <row r="83" spans="2:16" x14ac:dyDescent="0.25">
      <c r="B83" s="1"/>
      <c r="D83" s="1"/>
      <c r="J83" s="1"/>
      <c r="P83" s="1"/>
    </row>
    <row r="84" spans="2:16" x14ac:dyDescent="0.25">
      <c r="B84" s="1"/>
      <c r="D84" s="1"/>
      <c r="J84" s="1"/>
      <c r="P84" s="1"/>
    </row>
    <row r="85" spans="2:16" x14ac:dyDescent="0.25">
      <c r="B85" s="1"/>
      <c r="D85" s="1"/>
      <c r="J85" s="1"/>
      <c r="P85" s="1"/>
    </row>
    <row r="86" spans="2:16" x14ac:dyDescent="0.25">
      <c r="B86" s="1"/>
      <c r="D86" s="1"/>
      <c r="J86" s="1"/>
      <c r="P86" s="1"/>
    </row>
    <row r="87" spans="2:16" x14ac:dyDescent="0.25">
      <c r="B87" s="1"/>
      <c r="D87" s="1"/>
      <c r="J87" s="1"/>
      <c r="P87" s="1"/>
    </row>
    <row r="88" spans="2:16" x14ac:dyDescent="0.25">
      <c r="B88" s="1"/>
      <c r="D88" s="1"/>
      <c r="J88" s="1"/>
      <c r="P88" s="1"/>
    </row>
    <row r="89" spans="2:16" x14ac:dyDescent="0.25">
      <c r="B89" s="1"/>
      <c r="D89" s="1"/>
      <c r="J89" s="1"/>
      <c r="P89" s="1"/>
    </row>
    <row r="90" spans="2:16" x14ac:dyDescent="0.25">
      <c r="B90" s="1"/>
      <c r="D90" s="1"/>
      <c r="J90" s="1"/>
      <c r="P90" s="1"/>
    </row>
    <row r="91" spans="2:16" x14ac:dyDescent="0.25">
      <c r="B91" s="1"/>
      <c r="D91" s="1"/>
      <c r="J91" s="1"/>
      <c r="P91" s="1"/>
    </row>
    <row r="92" spans="2:16" x14ac:dyDescent="0.25">
      <c r="B92" s="1"/>
      <c r="D92" s="1"/>
      <c r="J92" s="1"/>
      <c r="P92" s="1"/>
    </row>
    <row r="93" spans="2:16" x14ac:dyDescent="0.25">
      <c r="B93" s="1"/>
      <c r="D93" s="1"/>
      <c r="J93" s="1"/>
      <c r="P93" s="1"/>
    </row>
    <row r="94" spans="2:16" x14ac:dyDescent="0.25">
      <c r="B94" s="1"/>
      <c r="D94" s="1"/>
      <c r="J94" s="1"/>
      <c r="P94" s="1"/>
    </row>
    <row r="95" spans="2:16" x14ac:dyDescent="0.25">
      <c r="B95" s="1"/>
      <c r="D95" s="1"/>
      <c r="J95" s="1"/>
      <c r="P95" s="1"/>
    </row>
    <row r="96" spans="2:16" x14ac:dyDescent="0.25">
      <c r="B96" s="1"/>
      <c r="D96" s="1"/>
      <c r="J96" s="1"/>
      <c r="P96" s="1"/>
    </row>
    <row r="97" spans="2:16" x14ac:dyDescent="0.25">
      <c r="B97" s="1"/>
      <c r="D97" s="1"/>
      <c r="J97" s="1"/>
      <c r="P97" s="1"/>
    </row>
    <row r="98" spans="2:16" x14ac:dyDescent="0.25">
      <c r="B98" s="1"/>
      <c r="D98" s="1"/>
      <c r="J98" s="1"/>
      <c r="P98" s="1"/>
    </row>
    <row r="99" spans="2:16" x14ac:dyDescent="0.25">
      <c r="B99" s="1"/>
      <c r="D99" s="1"/>
      <c r="J99" s="1"/>
      <c r="P99" s="1"/>
    </row>
    <row r="100" spans="2:16" x14ac:dyDescent="0.25">
      <c r="B100" s="1"/>
      <c r="D100" s="1"/>
      <c r="J100" s="1"/>
      <c r="P100" s="1"/>
    </row>
    <row r="101" spans="2:16" x14ac:dyDescent="0.25">
      <c r="B101" s="1"/>
      <c r="D101" s="1"/>
      <c r="J101" s="1"/>
      <c r="P101" s="1"/>
    </row>
    <row r="102" spans="2:16" x14ac:dyDescent="0.25">
      <c r="B102" s="1"/>
      <c r="D102" s="1"/>
      <c r="J102" s="1"/>
      <c r="P10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71809-26C3-4FE2-B784-BF49711E5489}">
  <sheetPr codeName="Sheet2"/>
  <dimension ref="A1:T1509"/>
  <sheetViews>
    <sheetView zoomScaleNormal="100" workbookViewId="0">
      <pane ySplit="14" topLeftCell="A15" activePane="bottomLeft" state="frozen"/>
      <selection pane="bottomLeft" activeCell="A15" sqref="A15"/>
    </sheetView>
  </sheetViews>
  <sheetFormatPr defaultRowHeight="15" x14ac:dyDescent="0.3"/>
  <cols>
    <col min="1" max="1" width="9.140625" style="2"/>
    <col min="2" max="2" width="23.7109375" style="2" customWidth="1"/>
    <col min="3" max="4" width="9.140625" style="2"/>
    <col min="5" max="5" width="28.140625" style="6" customWidth="1"/>
    <col min="6" max="6" width="12.42578125" style="19" customWidth="1"/>
    <col min="7" max="14" width="9.140625" style="4"/>
    <col min="15" max="15" width="9.140625" style="4" customWidth="1"/>
    <col min="16" max="18" width="9.140625" style="4"/>
    <col min="19" max="16384" width="9.140625" style="2"/>
  </cols>
  <sheetData>
    <row r="1" spans="1:20" ht="15" customHeight="1" x14ac:dyDescent="0.3">
      <c r="A1" s="32"/>
      <c r="B1" s="144" t="s">
        <v>13</v>
      </c>
      <c r="C1" s="145"/>
      <c r="D1" s="49"/>
      <c r="E1" s="146" t="s">
        <v>36</v>
      </c>
      <c r="F1" s="147"/>
      <c r="G1" s="62"/>
      <c r="H1" s="55" t="s">
        <v>42</v>
      </c>
      <c r="I1" s="65"/>
      <c r="J1" s="65"/>
      <c r="K1" s="65"/>
      <c r="L1" s="65"/>
      <c r="M1" s="65"/>
      <c r="N1" s="65"/>
      <c r="O1" s="65"/>
      <c r="P1" s="56"/>
      <c r="Q1" s="38"/>
      <c r="R1" s="38"/>
      <c r="S1" s="38"/>
      <c r="T1" s="38"/>
    </row>
    <row r="2" spans="1:20" ht="15" customHeight="1" x14ac:dyDescent="0.3">
      <c r="A2" s="51" t="s">
        <v>15</v>
      </c>
      <c r="B2" s="9" t="s">
        <v>40</v>
      </c>
      <c r="C2" s="10"/>
      <c r="D2" s="29" t="s">
        <v>15</v>
      </c>
      <c r="E2" s="30" t="s">
        <v>17</v>
      </c>
      <c r="F2" s="31"/>
      <c r="G2" s="63" t="s">
        <v>15</v>
      </c>
      <c r="H2" s="57" t="s">
        <v>26</v>
      </c>
      <c r="I2" s="50"/>
      <c r="J2" s="50"/>
      <c r="K2" s="50"/>
      <c r="L2" s="50"/>
      <c r="M2" s="50"/>
      <c r="N2" s="50"/>
      <c r="O2" s="50"/>
      <c r="P2" s="66"/>
      <c r="Q2" s="38"/>
      <c r="R2" s="38"/>
      <c r="S2" s="38"/>
      <c r="T2" s="38"/>
    </row>
    <row r="3" spans="1:20" ht="15" customHeight="1" x14ac:dyDescent="0.3">
      <c r="A3" s="51"/>
      <c r="B3" s="11" t="s">
        <v>39</v>
      </c>
      <c r="C3" s="12"/>
      <c r="D3" s="29" t="s">
        <v>16</v>
      </c>
      <c r="E3" s="30" t="s">
        <v>14</v>
      </c>
      <c r="F3" s="31"/>
      <c r="G3" s="63"/>
      <c r="H3" s="58"/>
      <c r="I3" s="60" t="s">
        <v>28</v>
      </c>
      <c r="J3" s="43"/>
      <c r="K3" s="43"/>
      <c r="L3" s="43"/>
      <c r="M3" s="43"/>
      <c r="N3" s="43"/>
      <c r="O3" s="43"/>
      <c r="P3" s="67"/>
      <c r="Q3" s="38"/>
      <c r="R3" s="38"/>
      <c r="S3" s="38"/>
      <c r="T3" s="38"/>
    </row>
    <row r="4" spans="1:20" s="17" customFormat="1" ht="15" customHeight="1" x14ac:dyDescent="0.3">
      <c r="A4" s="51"/>
      <c r="B4" s="21"/>
      <c r="C4" s="22"/>
      <c r="D4" s="29" t="s">
        <v>18</v>
      </c>
      <c r="E4" s="30" t="s">
        <v>19</v>
      </c>
      <c r="F4" s="31"/>
      <c r="G4" s="63"/>
      <c r="H4" s="59"/>
      <c r="I4" s="61" t="s">
        <v>29</v>
      </c>
      <c r="J4" s="54"/>
      <c r="K4" s="54"/>
      <c r="L4" s="54"/>
      <c r="M4" s="54"/>
      <c r="N4" s="54"/>
      <c r="O4" s="54"/>
      <c r="P4" s="68"/>
      <c r="Q4" s="38"/>
      <c r="R4" s="38"/>
      <c r="S4" s="38"/>
      <c r="T4" s="38"/>
    </row>
    <row r="5" spans="1:20" s="17" customFormat="1" ht="15" customHeight="1" x14ac:dyDescent="0.3">
      <c r="A5" s="51" t="s">
        <v>16</v>
      </c>
      <c r="B5" s="9" t="s">
        <v>38</v>
      </c>
      <c r="C5" s="10"/>
      <c r="D5" s="29" t="s">
        <v>23</v>
      </c>
      <c r="E5" s="30" t="s">
        <v>20</v>
      </c>
      <c r="F5" s="31"/>
      <c r="G5" s="63" t="s">
        <v>16</v>
      </c>
      <c r="H5" s="57" t="s">
        <v>933</v>
      </c>
      <c r="I5" s="50"/>
      <c r="J5" s="50"/>
      <c r="K5" s="50"/>
      <c r="L5" s="50"/>
      <c r="M5" s="50"/>
      <c r="N5" s="50"/>
      <c r="O5" s="50"/>
      <c r="P5" s="66"/>
      <c r="Q5" s="38"/>
      <c r="R5" s="38"/>
      <c r="S5" s="38"/>
      <c r="T5" s="38"/>
    </row>
    <row r="6" spans="1:20" s="17" customFormat="1" ht="15" customHeight="1" x14ac:dyDescent="0.3">
      <c r="A6" s="51"/>
      <c r="B6" s="11" t="s">
        <v>41</v>
      </c>
      <c r="C6" s="12"/>
      <c r="D6" s="29" t="s">
        <v>24</v>
      </c>
      <c r="E6" s="30" t="s">
        <v>21</v>
      </c>
      <c r="F6" s="31"/>
      <c r="G6" s="63"/>
      <c r="H6" s="58"/>
      <c r="I6" s="43" t="s">
        <v>27</v>
      </c>
      <c r="J6" s="43"/>
      <c r="K6" s="43"/>
      <c r="L6" s="43"/>
      <c r="M6" s="43"/>
      <c r="N6" s="43"/>
      <c r="O6" s="43"/>
      <c r="P6" s="67"/>
      <c r="Q6" s="38"/>
      <c r="R6" s="38"/>
      <c r="S6" s="38"/>
      <c r="T6" s="38"/>
    </row>
    <row r="7" spans="1:20" ht="15" customHeight="1" x14ac:dyDescent="0.3">
      <c r="A7" s="51"/>
      <c r="B7" s="21"/>
      <c r="C7" s="22"/>
      <c r="D7" s="29" t="s">
        <v>25</v>
      </c>
      <c r="E7" s="30" t="s">
        <v>22</v>
      </c>
      <c r="F7" s="31"/>
      <c r="G7" s="63"/>
      <c r="H7" s="59"/>
      <c r="I7" s="61" t="s">
        <v>934</v>
      </c>
      <c r="J7" s="54"/>
      <c r="K7" s="54"/>
      <c r="L7" s="54"/>
      <c r="M7" s="54"/>
      <c r="N7" s="54"/>
      <c r="O7" s="54"/>
      <c r="P7" s="68"/>
      <c r="Q7" s="38"/>
      <c r="R7" s="38"/>
      <c r="S7" s="38"/>
      <c r="T7" s="38"/>
    </row>
    <row r="8" spans="1:20" s="36" customFormat="1" ht="15" customHeight="1" x14ac:dyDescent="0.3">
      <c r="A8" s="51"/>
      <c r="B8" s="11"/>
      <c r="C8" s="12"/>
      <c r="D8" s="29"/>
      <c r="E8" s="23"/>
      <c r="F8" s="24"/>
      <c r="G8" s="63" t="s">
        <v>18</v>
      </c>
      <c r="H8" s="57" t="s">
        <v>30</v>
      </c>
      <c r="I8" s="50"/>
      <c r="J8" s="50"/>
      <c r="K8" s="50"/>
      <c r="L8" s="50"/>
      <c r="M8" s="50"/>
      <c r="N8" s="50"/>
      <c r="O8" s="50"/>
      <c r="P8" s="66"/>
      <c r="Q8" s="38"/>
      <c r="R8" s="38"/>
      <c r="S8" s="38"/>
      <c r="T8" s="38"/>
    </row>
    <row r="9" spans="1:20" s="36" customFormat="1" ht="15" customHeight="1" x14ac:dyDescent="0.3">
      <c r="A9" s="51"/>
      <c r="B9" s="11"/>
      <c r="C9" s="12"/>
      <c r="D9" s="29"/>
      <c r="E9" s="25" t="s">
        <v>149</v>
      </c>
      <c r="F9" s="26"/>
      <c r="G9" s="63"/>
      <c r="H9" s="58"/>
      <c r="I9" s="43" t="s">
        <v>31</v>
      </c>
      <c r="J9" s="43"/>
      <c r="K9" s="43"/>
      <c r="L9" s="43"/>
      <c r="M9" s="43"/>
      <c r="N9" s="43"/>
      <c r="O9" s="43"/>
      <c r="P9" s="67"/>
      <c r="Q9" s="38"/>
      <c r="R9" s="38"/>
      <c r="S9" s="38"/>
      <c r="T9" s="38"/>
    </row>
    <row r="10" spans="1:20" s="36" customFormat="1" ht="15" customHeight="1" x14ac:dyDescent="0.3">
      <c r="A10" s="51"/>
      <c r="B10" s="11"/>
      <c r="C10" s="12"/>
      <c r="D10" s="29"/>
      <c r="E10" s="25" t="s">
        <v>150</v>
      </c>
      <c r="F10" s="26"/>
      <c r="G10" s="63"/>
      <c r="H10" s="58" t="s">
        <v>33</v>
      </c>
      <c r="I10" s="43"/>
      <c r="J10" s="43"/>
      <c r="K10" s="43"/>
      <c r="L10" s="43"/>
      <c r="M10" s="43"/>
      <c r="N10" s="43"/>
      <c r="O10" s="43"/>
      <c r="P10" s="67"/>
      <c r="Q10" s="38"/>
      <c r="R10" s="38"/>
      <c r="S10" s="38"/>
      <c r="T10" s="38"/>
    </row>
    <row r="11" spans="1:20" s="36" customFormat="1" ht="15" customHeight="1" x14ac:dyDescent="0.3">
      <c r="A11" s="51"/>
      <c r="B11" s="11"/>
      <c r="C11" s="12"/>
      <c r="D11" s="29"/>
      <c r="E11" s="25"/>
      <c r="F11" s="26"/>
      <c r="G11" s="63"/>
      <c r="H11" s="59"/>
      <c r="I11" s="54" t="s">
        <v>32</v>
      </c>
      <c r="J11" s="54"/>
      <c r="K11" s="54"/>
      <c r="L11" s="54"/>
      <c r="M11" s="54"/>
      <c r="N11" s="54"/>
      <c r="O11" s="54"/>
      <c r="P11" s="68"/>
      <c r="Q11" s="38"/>
      <c r="R11" s="38"/>
      <c r="S11" s="38"/>
      <c r="T11" s="38"/>
    </row>
    <row r="12" spans="1:20" s="36" customFormat="1" ht="15" customHeight="1" x14ac:dyDescent="0.3">
      <c r="A12" s="51"/>
      <c r="B12" s="11"/>
      <c r="C12" s="12"/>
      <c r="D12" s="29"/>
      <c r="E12" s="25"/>
      <c r="F12" s="26"/>
      <c r="G12" s="63"/>
      <c r="H12" s="55" t="s">
        <v>34</v>
      </c>
      <c r="I12" s="65"/>
      <c r="J12" s="65"/>
      <c r="K12" s="65"/>
      <c r="L12" s="65"/>
      <c r="M12" s="65"/>
      <c r="N12" s="65"/>
      <c r="O12" s="65"/>
      <c r="P12" s="56"/>
      <c r="Q12" s="38"/>
      <c r="R12" s="38"/>
      <c r="S12" s="38"/>
      <c r="T12" s="38"/>
    </row>
    <row r="13" spans="1:20" ht="15" customHeight="1" x14ac:dyDescent="0.3">
      <c r="A13" s="51"/>
      <c r="B13" s="148" t="s">
        <v>0</v>
      </c>
      <c r="C13" s="149"/>
      <c r="D13" s="29"/>
      <c r="E13" s="150"/>
      <c r="F13" s="151"/>
      <c r="G13" s="63"/>
      <c r="H13" s="58" t="s">
        <v>35</v>
      </c>
      <c r="I13" s="43"/>
      <c r="J13" s="43"/>
      <c r="K13" s="43"/>
      <c r="L13" s="43"/>
      <c r="M13" s="43"/>
      <c r="N13" s="43"/>
      <c r="O13" s="43"/>
      <c r="P13" s="67"/>
      <c r="Q13" s="38"/>
      <c r="R13" s="38"/>
      <c r="S13" s="38"/>
      <c r="T13" s="38"/>
    </row>
    <row r="14" spans="1:20" ht="15" customHeight="1" x14ac:dyDescent="0.3">
      <c r="A14" s="52"/>
      <c r="B14" s="13" t="s">
        <v>1</v>
      </c>
      <c r="C14" s="14" t="s">
        <v>2</v>
      </c>
      <c r="D14" s="53"/>
      <c r="E14" s="27" t="s">
        <v>1</v>
      </c>
      <c r="F14" s="28" t="s">
        <v>9</v>
      </c>
      <c r="G14" s="64"/>
      <c r="H14" s="59" t="s">
        <v>37</v>
      </c>
      <c r="I14" s="54"/>
      <c r="J14" s="54"/>
      <c r="K14" s="54"/>
      <c r="L14" s="54"/>
      <c r="M14" s="54"/>
      <c r="N14" s="54"/>
      <c r="O14" s="54"/>
      <c r="P14" s="68"/>
      <c r="Q14" s="38"/>
      <c r="R14" s="38"/>
      <c r="S14" s="38"/>
      <c r="T14" s="38"/>
    </row>
    <row r="15" spans="1:20" ht="15.75" x14ac:dyDescent="0.3">
      <c r="A15" s="2" t="str">
        <f xml:space="preserve"> IF( 'From SvanPC++'!A6= "", "", ('From SvanPC++'!A6))</f>
        <v/>
      </c>
      <c r="B15" s="16"/>
      <c r="C15" s="15"/>
      <c r="E15" s="20"/>
      <c r="I15" s="2"/>
      <c r="Q15" s="38"/>
      <c r="R15" s="38"/>
      <c r="S15" s="38"/>
      <c r="T15" s="38"/>
    </row>
    <row r="16" spans="1:20" ht="15.75" x14ac:dyDescent="0.3">
      <c r="A16" s="2" t="str">
        <f xml:space="preserve"> IF( 'From SvanPC++'!A7= "", "", ('From SvanPC++'!A7))</f>
        <v/>
      </c>
      <c r="B16" s="16"/>
      <c r="C16" s="15"/>
      <c r="E16" s="20"/>
      <c r="I16" s="2"/>
    </row>
    <row r="17" spans="1:17" ht="15.75" x14ac:dyDescent="0.3">
      <c r="A17" s="2" t="str">
        <f xml:space="preserve"> IF( 'From SvanPC++'!A8= "", "", ('From SvanPC++'!A8))</f>
        <v/>
      </c>
      <c r="B17" s="16"/>
      <c r="C17" s="15"/>
      <c r="E17" s="20"/>
      <c r="I17" s="2"/>
    </row>
    <row r="18" spans="1:17" ht="15.75" x14ac:dyDescent="0.3">
      <c r="A18" s="2" t="str">
        <f xml:space="preserve"> IF( 'From SvanPC++'!A9= "", "", ('From SvanPC++'!A9))</f>
        <v/>
      </c>
      <c r="B18" s="33"/>
      <c r="C18" s="15"/>
      <c r="E18" s="20"/>
      <c r="I18" s="2"/>
    </row>
    <row r="19" spans="1:17" ht="15.75" x14ac:dyDescent="0.3">
      <c r="A19" s="2" t="str">
        <f xml:space="preserve"> IF( 'From SvanPC++'!A10= "", "", ('From SvanPC++'!A10))</f>
        <v/>
      </c>
      <c r="B19" s="33"/>
      <c r="C19" s="15"/>
      <c r="E19" s="20"/>
      <c r="I19" s="2"/>
      <c r="O19" s="5"/>
      <c r="P19" s="5"/>
      <c r="Q19" s="5"/>
    </row>
    <row r="20" spans="1:17" ht="15.75" x14ac:dyDescent="0.3">
      <c r="A20" s="2" t="str">
        <f xml:space="preserve"> IF( 'From SvanPC++'!A11= "", "", ('From SvanPC++'!A11))</f>
        <v/>
      </c>
      <c r="B20" s="33"/>
      <c r="C20" s="15"/>
      <c r="E20" s="20"/>
      <c r="I20" s="2"/>
    </row>
    <row r="21" spans="1:17" ht="15.75" x14ac:dyDescent="0.3">
      <c r="A21" s="2" t="str">
        <f xml:space="preserve"> IF( 'From SvanPC++'!A12= "", "", ('From SvanPC++'!A12))</f>
        <v/>
      </c>
      <c r="B21" s="33"/>
      <c r="C21" s="15"/>
      <c r="E21" s="20"/>
      <c r="I21" s="2"/>
    </row>
    <row r="22" spans="1:17" ht="15.75" x14ac:dyDescent="0.3">
      <c r="A22" s="2" t="str">
        <f xml:space="preserve"> IF( 'From SvanPC++'!A13= "", "", ('From SvanPC++'!A13))</f>
        <v/>
      </c>
      <c r="B22" s="33"/>
      <c r="C22" s="15"/>
      <c r="E22" s="20"/>
      <c r="I22" s="2"/>
    </row>
    <row r="23" spans="1:17" ht="15.75" x14ac:dyDescent="0.3">
      <c r="A23" s="2" t="str">
        <f xml:space="preserve"> IF( 'From SvanPC++'!A14= "", "", ('From SvanPC++'!A14))</f>
        <v/>
      </c>
      <c r="B23" s="16"/>
      <c r="C23" s="15"/>
      <c r="E23" s="20"/>
      <c r="I23" s="2"/>
    </row>
    <row r="24" spans="1:17" ht="15.75" x14ac:dyDescent="0.3">
      <c r="A24" s="2" t="str">
        <f xml:space="preserve"> IF( 'From SvanPC++'!A15= "", "", ('From SvanPC++'!A15))</f>
        <v/>
      </c>
      <c r="B24" s="16"/>
      <c r="C24" s="15"/>
      <c r="E24" s="20"/>
      <c r="I24" s="2"/>
    </row>
    <row r="25" spans="1:17" ht="15.75" x14ac:dyDescent="0.3">
      <c r="A25" s="2" t="str">
        <f xml:space="preserve"> IF( 'From SvanPC++'!A16= "", "", ('From SvanPC++'!A16))</f>
        <v/>
      </c>
      <c r="B25" s="16"/>
      <c r="C25" s="15"/>
      <c r="E25" s="20"/>
      <c r="I25" s="2"/>
    </row>
    <row r="26" spans="1:17" ht="15.75" x14ac:dyDescent="0.3">
      <c r="A26" s="2" t="str">
        <f xml:space="preserve"> IF( 'From SvanPC++'!A17= "", "", ('From SvanPC++'!A17))</f>
        <v/>
      </c>
      <c r="B26" s="16"/>
      <c r="C26" s="15"/>
      <c r="E26" s="20"/>
      <c r="I26" s="2"/>
    </row>
    <row r="27" spans="1:17" ht="15.75" x14ac:dyDescent="0.3">
      <c r="A27" s="2" t="str">
        <f xml:space="preserve"> IF( 'From SvanPC++'!A18= "", "", ('From SvanPC++'!A18))</f>
        <v/>
      </c>
      <c r="B27" s="16"/>
      <c r="C27" s="15"/>
      <c r="E27" s="20"/>
      <c r="I27" s="2"/>
    </row>
    <row r="28" spans="1:17" ht="15.75" x14ac:dyDescent="0.3">
      <c r="A28" s="2" t="str">
        <f xml:space="preserve"> IF( 'From SvanPC++'!A19= "", "", ('From SvanPC++'!A19))</f>
        <v/>
      </c>
      <c r="B28" s="16"/>
      <c r="C28" s="15"/>
      <c r="E28" s="20"/>
      <c r="I28" s="2"/>
    </row>
    <row r="29" spans="1:17" ht="15.75" x14ac:dyDescent="0.3">
      <c r="A29" s="2" t="str">
        <f xml:space="preserve"> IF( 'From SvanPC++'!A20= "", "", ('From SvanPC++'!A20))</f>
        <v/>
      </c>
      <c r="B29" s="16"/>
      <c r="C29" s="15"/>
      <c r="E29" s="20"/>
      <c r="I29" s="2"/>
    </row>
    <row r="30" spans="1:17" ht="15.75" x14ac:dyDescent="0.3">
      <c r="A30" s="2" t="str">
        <f xml:space="preserve"> IF( 'From SvanPC++'!A21= "", "", ('From SvanPC++'!A21))</f>
        <v/>
      </c>
      <c r="B30" s="16"/>
      <c r="C30" s="15"/>
      <c r="E30" s="20"/>
      <c r="I30" s="2"/>
    </row>
    <row r="31" spans="1:17" ht="15.75" x14ac:dyDescent="0.3">
      <c r="A31" s="2" t="str">
        <f xml:space="preserve"> IF( 'From SvanPC++'!A22= "", "", ('From SvanPC++'!A22))</f>
        <v/>
      </c>
      <c r="B31" s="16"/>
      <c r="C31" s="15"/>
      <c r="E31" s="20"/>
      <c r="I31" s="2"/>
    </row>
    <row r="32" spans="1:17" ht="15.75" x14ac:dyDescent="0.3">
      <c r="A32" s="2" t="str">
        <f xml:space="preserve"> IF( 'From SvanPC++'!A23= "", "", ('From SvanPC++'!A23))</f>
        <v/>
      </c>
      <c r="B32" s="16"/>
      <c r="C32" s="15"/>
      <c r="E32" s="20"/>
      <c r="I32" s="2"/>
    </row>
    <row r="33" spans="1:9" ht="15.75" x14ac:dyDescent="0.3">
      <c r="A33" s="2" t="str">
        <f xml:space="preserve"> IF( 'From SvanPC++'!A24= "", "", ('From SvanPC++'!A24))</f>
        <v/>
      </c>
      <c r="B33" s="16"/>
      <c r="C33" s="15"/>
      <c r="E33" s="20"/>
      <c r="I33" s="2"/>
    </row>
    <row r="34" spans="1:9" ht="15.75" x14ac:dyDescent="0.3">
      <c r="A34" s="2" t="str">
        <f xml:space="preserve"> IF( 'From SvanPC++'!A25= "", "", ('From SvanPC++'!A25))</f>
        <v/>
      </c>
      <c r="B34" s="16"/>
      <c r="C34" s="15"/>
      <c r="E34" s="20"/>
      <c r="I34" s="2"/>
    </row>
    <row r="35" spans="1:9" ht="15.75" x14ac:dyDescent="0.3">
      <c r="A35" s="2" t="str">
        <f xml:space="preserve"> IF( 'From SvanPC++'!A26= "", "", ('From SvanPC++'!A26))</f>
        <v/>
      </c>
      <c r="B35" s="16"/>
      <c r="C35" s="15"/>
      <c r="E35" s="20"/>
      <c r="I35" s="2"/>
    </row>
    <row r="36" spans="1:9" ht="15.75" x14ac:dyDescent="0.3">
      <c r="A36" s="2" t="str">
        <f xml:space="preserve"> IF( 'From SvanPC++'!A27= "", "", ('From SvanPC++'!A27))</f>
        <v/>
      </c>
      <c r="B36" s="16"/>
      <c r="C36" s="15"/>
      <c r="E36" s="20"/>
      <c r="I36" s="2"/>
    </row>
    <row r="37" spans="1:9" ht="15.75" x14ac:dyDescent="0.3">
      <c r="A37" s="2" t="str">
        <f xml:space="preserve"> IF( 'From SvanPC++'!A28= "", "", ('From SvanPC++'!A28))</f>
        <v/>
      </c>
      <c r="B37" s="16"/>
      <c r="C37" s="15"/>
      <c r="E37" s="20"/>
      <c r="I37" s="2"/>
    </row>
    <row r="38" spans="1:9" ht="15.75" x14ac:dyDescent="0.3">
      <c r="A38" s="2" t="str">
        <f xml:space="preserve"> IF( 'From SvanPC++'!A29= "", "", ('From SvanPC++'!A29))</f>
        <v/>
      </c>
      <c r="B38" s="16"/>
      <c r="C38" s="15"/>
      <c r="E38" s="20"/>
      <c r="I38" s="2"/>
    </row>
    <row r="39" spans="1:9" ht="15.75" x14ac:dyDescent="0.3">
      <c r="A39" s="2" t="str">
        <f xml:space="preserve"> IF( 'From SvanPC++'!A30= "", "", ('From SvanPC++'!A30))</f>
        <v/>
      </c>
      <c r="B39" s="16"/>
      <c r="C39" s="15"/>
      <c r="E39" s="20"/>
      <c r="I39" s="2"/>
    </row>
    <row r="40" spans="1:9" ht="15.75" x14ac:dyDescent="0.3">
      <c r="A40" s="2" t="str">
        <f xml:space="preserve"> IF( 'From SvanPC++'!A31= "", "", ('From SvanPC++'!A31))</f>
        <v/>
      </c>
      <c r="B40" s="16"/>
      <c r="C40" s="15"/>
      <c r="E40" s="20"/>
      <c r="I40" s="2"/>
    </row>
    <row r="41" spans="1:9" ht="15.75" x14ac:dyDescent="0.3">
      <c r="A41" s="2" t="str">
        <f xml:space="preserve"> IF( 'From SvanPC++'!A32= "", "", ('From SvanPC++'!A32))</f>
        <v/>
      </c>
      <c r="B41" s="16"/>
      <c r="C41" s="15"/>
      <c r="E41" s="20"/>
      <c r="I41" s="2"/>
    </row>
    <row r="42" spans="1:9" ht="15.75" x14ac:dyDescent="0.3">
      <c r="A42" s="2" t="str">
        <f xml:space="preserve"> IF( 'From SvanPC++'!A33= "", "", ('From SvanPC++'!A33))</f>
        <v/>
      </c>
      <c r="B42" s="16"/>
      <c r="C42" s="15"/>
      <c r="E42" s="20"/>
      <c r="I42" s="2"/>
    </row>
    <row r="43" spans="1:9" ht="15.75" x14ac:dyDescent="0.3">
      <c r="A43" s="2" t="str">
        <f xml:space="preserve"> IF( 'From SvanPC++'!A34= "", "", ('From SvanPC++'!A34))</f>
        <v/>
      </c>
      <c r="B43" s="16"/>
      <c r="C43" s="15"/>
      <c r="E43" s="20"/>
      <c r="I43" s="2"/>
    </row>
    <row r="44" spans="1:9" ht="15.75" x14ac:dyDescent="0.3">
      <c r="A44" s="2" t="str">
        <f xml:space="preserve"> IF( 'From SvanPC++'!A35= "", "", ('From SvanPC++'!A35))</f>
        <v/>
      </c>
      <c r="B44" s="16"/>
      <c r="C44" s="15"/>
      <c r="E44" s="20"/>
      <c r="I44" s="2"/>
    </row>
    <row r="45" spans="1:9" ht="15.75" x14ac:dyDescent="0.3">
      <c r="A45" s="2" t="str">
        <f xml:space="preserve"> IF( 'From SvanPC++'!A36= "", "", ('From SvanPC++'!A36))</f>
        <v/>
      </c>
      <c r="B45" s="16"/>
      <c r="C45" s="15"/>
      <c r="E45" s="20"/>
      <c r="I45" s="2"/>
    </row>
    <row r="46" spans="1:9" ht="15.75" x14ac:dyDescent="0.3">
      <c r="A46" s="2" t="str">
        <f xml:space="preserve"> IF( 'From SvanPC++'!A37= "", "", ('From SvanPC++'!A37))</f>
        <v/>
      </c>
      <c r="B46" s="16"/>
      <c r="C46" s="15"/>
      <c r="E46" s="20"/>
      <c r="I46" s="2"/>
    </row>
    <row r="47" spans="1:9" ht="15.75" x14ac:dyDescent="0.3">
      <c r="A47" s="2" t="str">
        <f xml:space="preserve"> IF( 'From SvanPC++'!A38= "", "", ('From SvanPC++'!A38))</f>
        <v/>
      </c>
      <c r="B47" s="16"/>
      <c r="C47" s="15"/>
      <c r="E47" s="20"/>
      <c r="I47" s="2"/>
    </row>
    <row r="48" spans="1:9" ht="15.75" x14ac:dyDescent="0.3">
      <c r="A48" s="2" t="str">
        <f xml:space="preserve"> IF( 'From SvanPC++'!A39= "", "", ('From SvanPC++'!A39))</f>
        <v/>
      </c>
      <c r="B48" s="16"/>
      <c r="C48" s="15"/>
      <c r="E48" s="20"/>
      <c r="I48" s="2"/>
    </row>
    <row r="49" spans="1:9" ht="15.75" x14ac:dyDescent="0.3">
      <c r="A49" s="2" t="str">
        <f xml:space="preserve"> IF( 'From SvanPC++'!A40= "", "", ('From SvanPC++'!A40))</f>
        <v/>
      </c>
      <c r="B49" s="16"/>
      <c r="C49" s="15"/>
      <c r="E49" s="20"/>
      <c r="I49" s="2"/>
    </row>
    <row r="50" spans="1:9" ht="15.75" x14ac:dyDescent="0.3">
      <c r="A50" s="2" t="str">
        <f xml:space="preserve"> IF( 'From SvanPC++'!A41= "", "", ('From SvanPC++'!A41))</f>
        <v/>
      </c>
      <c r="B50" s="16"/>
      <c r="C50" s="15"/>
      <c r="E50" s="20"/>
      <c r="I50" s="2"/>
    </row>
    <row r="51" spans="1:9" ht="15.75" x14ac:dyDescent="0.3">
      <c r="A51" s="2" t="str">
        <f xml:space="preserve"> IF( 'From SvanPC++'!A42= "", "", ('From SvanPC++'!A42))</f>
        <v/>
      </c>
      <c r="B51" s="16"/>
      <c r="C51" s="15"/>
      <c r="E51" s="20"/>
      <c r="I51" s="2"/>
    </row>
    <row r="52" spans="1:9" ht="15.75" x14ac:dyDescent="0.3">
      <c r="A52" s="2" t="str">
        <f xml:space="preserve"> IF( 'From SvanPC++'!A43= "", "", ('From SvanPC++'!A43))</f>
        <v/>
      </c>
      <c r="B52" s="16"/>
      <c r="C52" s="15"/>
      <c r="E52" s="20"/>
      <c r="I52" s="2"/>
    </row>
    <row r="53" spans="1:9" ht="15.75" x14ac:dyDescent="0.3">
      <c r="A53" s="2" t="str">
        <f xml:space="preserve"> IF( 'From SvanPC++'!A44= "", "", ('From SvanPC++'!A44))</f>
        <v/>
      </c>
      <c r="B53" s="16"/>
      <c r="C53" s="15"/>
      <c r="E53" s="20"/>
      <c r="I53" s="2"/>
    </row>
    <row r="54" spans="1:9" ht="15.75" x14ac:dyDescent="0.3">
      <c r="A54" s="2" t="str">
        <f xml:space="preserve"> IF( 'From SvanPC++'!A45= "", "", ('From SvanPC++'!A45))</f>
        <v/>
      </c>
      <c r="B54" s="16"/>
      <c r="C54" s="15"/>
      <c r="E54" s="20"/>
      <c r="I54" s="2"/>
    </row>
    <row r="55" spans="1:9" ht="15.75" x14ac:dyDescent="0.3">
      <c r="A55" s="2" t="str">
        <f xml:space="preserve"> IF( 'From SvanPC++'!A46= "", "", ('From SvanPC++'!A46))</f>
        <v/>
      </c>
      <c r="B55" s="16"/>
      <c r="C55" s="15"/>
      <c r="E55" s="20"/>
      <c r="I55" s="2"/>
    </row>
    <row r="56" spans="1:9" ht="15.75" x14ac:dyDescent="0.3">
      <c r="A56" s="2" t="str">
        <f xml:space="preserve"> IF( 'From SvanPC++'!A47= "", "", ('From SvanPC++'!A47))</f>
        <v/>
      </c>
      <c r="B56" s="16"/>
      <c r="C56" s="15"/>
      <c r="E56" s="20"/>
      <c r="I56" s="2"/>
    </row>
    <row r="57" spans="1:9" ht="15.75" x14ac:dyDescent="0.3">
      <c r="A57" s="2" t="str">
        <f xml:space="preserve"> IF( 'From SvanPC++'!A48= "", "", ('From SvanPC++'!A48))</f>
        <v/>
      </c>
      <c r="B57" s="16"/>
      <c r="C57" s="15"/>
      <c r="E57" s="20"/>
      <c r="I57" s="2"/>
    </row>
    <row r="58" spans="1:9" ht="15.75" x14ac:dyDescent="0.3">
      <c r="A58" s="2" t="str">
        <f xml:space="preserve"> IF( 'From SvanPC++'!A49= "", "", ('From SvanPC++'!A49))</f>
        <v/>
      </c>
      <c r="B58" s="16"/>
      <c r="C58" s="15"/>
      <c r="E58" s="20"/>
      <c r="I58" s="2"/>
    </row>
    <row r="59" spans="1:9" ht="15.75" x14ac:dyDescent="0.3">
      <c r="A59" s="2" t="str">
        <f xml:space="preserve"> IF( 'From SvanPC++'!A50= "", "", ('From SvanPC++'!A50))</f>
        <v/>
      </c>
      <c r="B59" s="16"/>
      <c r="C59" s="15"/>
      <c r="E59" s="20"/>
      <c r="I59" s="2"/>
    </row>
    <row r="60" spans="1:9" ht="15.75" x14ac:dyDescent="0.3">
      <c r="A60" s="2" t="str">
        <f xml:space="preserve"> IF( 'From SvanPC++'!A51= "", "", ('From SvanPC++'!A51))</f>
        <v/>
      </c>
      <c r="B60" s="16"/>
      <c r="C60" s="15"/>
      <c r="E60" s="20"/>
      <c r="I60" s="2"/>
    </row>
    <row r="61" spans="1:9" ht="15.75" x14ac:dyDescent="0.3">
      <c r="A61" s="2" t="str">
        <f xml:space="preserve"> IF( 'From SvanPC++'!A52= "", "", ('From SvanPC++'!A52))</f>
        <v/>
      </c>
      <c r="B61" s="16"/>
      <c r="C61" s="15"/>
      <c r="E61" s="20"/>
      <c r="I61" s="2"/>
    </row>
    <row r="62" spans="1:9" ht="15.75" x14ac:dyDescent="0.3">
      <c r="A62" s="2" t="str">
        <f xml:space="preserve"> IF( 'From SvanPC++'!A53= "", "", ('From SvanPC++'!A53))</f>
        <v/>
      </c>
      <c r="B62" s="16"/>
      <c r="C62" s="15"/>
      <c r="E62" s="20"/>
      <c r="I62" s="2"/>
    </row>
    <row r="63" spans="1:9" ht="15.75" x14ac:dyDescent="0.3">
      <c r="A63" s="2" t="str">
        <f xml:space="preserve"> IF( 'From SvanPC++'!A54= "", "", ('From SvanPC++'!A54))</f>
        <v/>
      </c>
      <c r="B63" s="16"/>
      <c r="C63" s="15"/>
      <c r="E63" s="20"/>
      <c r="I63" s="2"/>
    </row>
    <row r="64" spans="1:9" ht="15.75" x14ac:dyDescent="0.3">
      <c r="A64" s="2" t="str">
        <f xml:space="preserve"> IF( 'From SvanPC++'!A55= "", "", ('From SvanPC++'!A55))</f>
        <v/>
      </c>
      <c r="B64" s="16"/>
      <c r="C64" s="15"/>
      <c r="E64" s="20"/>
      <c r="I64" s="2"/>
    </row>
    <row r="65" spans="1:9" ht="15.75" x14ac:dyDescent="0.3">
      <c r="A65" s="2" t="str">
        <f xml:space="preserve"> IF( 'From SvanPC++'!A56= "", "", ('From SvanPC++'!A56))</f>
        <v/>
      </c>
      <c r="B65" s="16"/>
      <c r="C65" s="15"/>
      <c r="E65" s="20"/>
      <c r="I65" s="2"/>
    </row>
    <row r="66" spans="1:9" ht="15.75" x14ac:dyDescent="0.3">
      <c r="A66" s="2" t="str">
        <f xml:space="preserve"> IF( 'From SvanPC++'!A57= "", "", ('From SvanPC++'!A57))</f>
        <v/>
      </c>
      <c r="B66" s="16"/>
      <c r="C66" s="15"/>
      <c r="E66" s="20"/>
      <c r="I66" s="2"/>
    </row>
    <row r="67" spans="1:9" ht="15.75" x14ac:dyDescent="0.3">
      <c r="A67" s="2" t="str">
        <f xml:space="preserve"> IF( 'From SvanPC++'!A58= "", "", ('From SvanPC++'!A58))</f>
        <v/>
      </c>
      <c r="B67" s="16"/>
      <c r="C67" s="15"/>
      <c r="E67" s="20"/>
      <c r="I67" s="2"/>
    </row>
    <row r="68" spans="1:9" ht="15.75" x14ac:dyDescent="0.3">
      <c r="A68" s="2" t="str">
        <f xml:space="preserve"> IF( 'From SvanPC++'!A59= "", "", ('From SvanPC++'!A59))</f>
        <v/>
      </c>
      <c r="B68" s="16"/>
      <c r="C68" s="15"/>
      <c r="E68" s="20"/>
      <c r="I68" s="2"/>
    </row>
    <row r="69" spans="1:9" ht="15.75" x14ac:dyDescent="0.3">
      <c r="A69" s="2" t="str">
        <f xml:space="preserve"> IF( 'From SvanPC++'!A60= "", "", ('From SvanPC++'!A60))</f>
        <v/>
      </c>
      <c r="B69" s="16"/>
      <c r="C69" s="15"/>
      <c r="E69" s="20"/>
      <c r="I69" s="2"/>
    </row>
    <row r="70" spans="1:9" ht="15.75" x14ac:dyDescent="0.3">
      <c r="A70" s="2" t="str">
        <f xml:space="preserve"> IF( 'From SvanPC++'!A61= "", "", ('From SvanPC++'!A61))</f>
        <v/>
      </c>
      <c r="B70" s="16"/>
      <c r="C70" s="15"/>
      <c r="E70" s="20"/>
      <c r="I70" s="2"/>
    </row>
    <row r="71" spans="1:9" ht="15.75" x14ac:dyDescent="0.3">
      <c r="A71" s="2" t="str">
        <f xml:space="preserve"> IF( 'From SvanPC++'!A62= "", "", ('From SvanPC++'!A62))</f>
        <v/>
      </c>
      <c r="B71" s="16"/>
      <c r="C71" s="15"/>
      <c r="E71" s="20"/>
      <c r="I71" s="2"/>
    </row>
    <row r="72" spans="1:9" ht="15.75" x14ac:dyDescent="0.3">
      <c r="A72" s="2" t="str">
        <f xml:space="preserve"> IF( 'From SvanPC++'!A63= "", "", ('From SvanPC++'!A63))</f>
        <v/>
      </c>
      <c r="B72" s="16"/>
      <c r="C72" s="15"/>
      <c r="E72" s="20"/>
      <c r="I72" s="2"/>
    </row>
    <row r="73" spans="1:9" ht="15.75" x14ac:dyDescent="0.3">
      <c r="A73" s="2" t="str">
        <f xml:space="preserve"> IF( 'From SvanPC++'!A64= "", "", ('From SvanPC++'!A64))</f>
        <v/>
      </c>
      <c r="B73" s="16"/>
      <c r="C73" s="15"/>
      <c r="E73" s="20"/>
      <c r="I73" s="2"/>
    </row>
    <row r="74" spans="1:9" ht="15.75" x14ac:dyDescent="0.3">
      <c r="A74" s="2" t="str">
        <f xml:space="preserve"> IF( 'From SvanPC++'!A65= "", "", ('From SvanPC++'!A65))</f>
        <v/>
      </c>
      <c r="B74" s="16"/>
      <c r="C74" s="15"/>
      <c r="E74" s="20"/>
      <c r="I74" s="2"/>
    </row>
    <row r="75" spans="1:9" ht="15.75" x14ac:dyDescent="0.3">
      <c r="A75" s="2" t="str">
        <f xml:space="preserve"> IF( 'From SvanPC++'!A66= "", "", ('From SvanPC++'!A66))</f>
        <v/>
      </c>
      <c r="B75" s="16"/>
      <c r="C75" s="15"/>
      <c r="E75" s="20"/>
      <c r="I75" s="2"/>
    </row>
    <row r="76" spans="1:9" ht="15.75" x14ac:dyDescent="0.3">
      <c r="A76" s="2" t="str">
        <f xml:space="preserve"> IF( 'From SvanPC++'!A67= "", "", ('From SvanPC++'!A67))</f>
        <v/>
      </c>
      <c r="B76" s="16"/>
      <c r="C76" s="15"/>
      <c r="E76" s="20"/>
      <c r="I76" s="2"/>
    </row>
    <row r="77" spans="1:9" ht="15.75" x14ac:dyDescent="0.3">
      <c r="A77" s="2" t="str">
        <f xml:space="preserve"> IF( 'From SvanPC++'!A68= "", "", ('From SvanPC++'!A68))</f>
        <v/>
      </c>
      <c r="B77" s="16"/>
      <c r="C77" s="15"/>
      <c r="E77" s="20"/>
      <c r="I77" s="2"/>
    </row>
    <row r="78" spans="1:9" ht="15.75" x14ac:dyDescent="0.3">
      <c r="A78" s="2" t="str">
        <f xml:space="preserve"> IF( 'From SvanPC++'!A69= "", "", ('From SvanPC++'!A69))</f>
        <v/>
      </c>
      <c r="B78" s="16"/>
      <c r="C78" s="15"/>
      <c r="E78" s="20"/>
      <c r="I78" s="2"/>
    </row>
    <row r="79" spans="1:9" ht="15.75" x14ac:dyDescent="0.3">
      <c r="A79" s="2" t="str">
        <f xml:space="preserve"> IF( 'From SvanPC++'!A70= "", "", ('From SvanPC++'!A70))</f>
        <v/>
      </c>
      <c r="B79" s="16"/>
      <c r="C79" s="15"/>
      <c r="E79" s="20"/>
      <c r="I79" s="2"/>
    </row>
    <row r="80" spans="1:9" ht="15.75" x14ac:dyDescent="0.3">
      <c r="A80" s="2" t="str">
        <f xml:space="preserve"> IF( 'From SvanPC++'!A71= "", "", ('From SvanPC++'!A71))</f>
        <v/>
      </c>
      <c r="B80" s="16"/>
      <c r="C80" s="15"/>
      <c r="E80" s="20"/>
      <c r="I80" s="2"/>
    </row>
    <row r="81" spans="1:9" ht="15.75" x14ac:dyDescent="0.3">
      <c r="A81" s="2" t="str">
        <f xml:space="preserve"> IF( 'From SvanPC++'!A72= "", "", ('From SvanPC++'!A72))</f>
        <v/>
      </c>
      <c r="B81" s="16"/>
      <c r="C81" s="15"/>
      <c r="E81" s="20"/>
      <c r="I81" s="2"/>
    </row>
    <row r="82" spans="1:9" ht="15.75" x14ac:dyDescent="0.3">
      <c r="A82" s="2" t="str">
        <f xml:space="preserve"> IF( 'From SvanPC++'!A73= "", "", ('From SvanPC++'!A73))</f>
        <v/>
      </c>
      <c r="B82" s="16"/>
      <c r="C82" s="15"/>
      <c r="E82" s="20"/>
      <c r="I82" s="2"/>
    </row>
    <row r="83" spans="1:9" ht="15.75" x14ac:dyDescent="0.3">
      <c r="A83" s="2" t="str">
        <f xml:space="preserve"> IF( 'From SvanPC++'!A74= "", "", ('From SvanPC++'!A74))</f>
        <v/>
      </c>
      <c r="B83" s="16"/>
      <c r="C83" s="15"/>
      <c r="E83" s="20"/>
      <c r="I83" s="2"/>
    </row>
    <row r="84" spans="1:9" ht="15.75" x14ac:dyDescent="0.3">
      <c r="A84" s="2" t="str">
        <f xml:space="preserve"> IF( 'From SvanPC++'!A75= "", "", ('From SvanPC++'!A75))</f>
        <v/>
      </c>
      <c r="B84" s="16"/>
      <c r="C84" s="15"/>
      <c r="E84" s="20"/>
      <c r="I84" s="2"/>
    </row>
    <row r="85" spans="1:9" ht="15.75" x14ac:dyDescent="0.3">
      <c r="A85" s="2" t="str">
        <f xml:space="preserve"> IF( 'From SvanPC++'!A76= "", "", ('From SvanPC++'!A76))</f>
        <v/>
      </c>
      <c r="B85" s="16"/>
      <c r="C85" s="15"/>
      <c r="E85" s="20"/>
      <c r="I85" s="2"/>
    </row>
    <row r="86" spans="1:9" ht="15.75" x14ac:dyDescent="0.3">
      <c r="A86" s="2" t="str">
        <f xml:space="preserve"> IF( 'From SvanPC++'!A77= "", "", ('From SvanPC++'!A77))</f>
        <v/>
      </c>
      <c r="B86" s="16"/>
      <c r="C86" s="15"/>
      <c r="E86" s="20"/>
      <c r="I86" s="2"/>
    </row>
    <row r="87" spans="1:9" ht="15.75" x14ac:dyDescent="0.3">
      <c r="A87" s="2" t="str">
        <f xml:space="preserve"> IF( 'From SvanPC++'!A78= "", "", ('From SvanPC++'!A78))</f>
        <v/>
      </c>
      <c r="B87" s="16"/>
      <c r="C87" s="15"/>
      <c r="E87" s="20"/>
      <c r="I87" s="2"/>
    </row>
    <row r="88" spans="1:9" ht="15.75" x14ac:dyDescent="0.3">
      <c r="A88" s="2" t="str">
        <f xml:space="preserve"> IF( 'From SvanPC++'!A79= "", "", ('From SvanPC++'!A79))</f>
        <v/>
      </c>
      <c r="B88" s="16"/>
      <c r="C88" s="15"/>
      <c r="E88" s="20"/>
      <c r="I88" s="2"/>
    </row>
    <row r="89" spans="1:9" ht="15.75" x14ac:dyDescent="0.3">
      <c r="A89" s="2" t="str">
        <f xml:space="preserve"> IF( 'From SvanPC++'!A80= "", "", ('From SvanPC++'!A80))</f>
        <v/>
      </c>
      <c r="B89" s="16"/>
      <c r="C89" s="15"/>
      <c r="E89" s="20"/>
      <c r="I89" s="2"/>
    </row>
    <row r="90" spans="1:9" ht="15.75" x14ac:dyDescent="0.3">
      <c r="A90" s="2" t="str">
        <f xml:space="preserve"> IF( 'From SvanPC++'!A81= "", "", ('From SvanPC++'!A81))</f>
        <v/>
      </c>
      <c r="B90" s="16"/>
      <c r="C90" s="15"/>
      <c r="E90" s="20"/>
      <c r="I90" s="2"/>
    </row>
    <row r="91" spans="1:9" ht="15.75" x14ac:dyDescent="0.3">
      <c r="A91" s="2" t="str">
        <f xml:space="preserve"> IF( 'From SvanPC++'!A82= "", "", ('From SvanPC++'!A82))</f>
        <v/>
      </c>
      <c r="B91" s="16"/>
      <c r="C91" s="15"/>
      <c r="E91" s="20"/>
      <c r="I91" s="2"/>
    </row>
    <row r="92" spans="1:9" ht="15.75" x14ac:dyDescent="0.3">
      <c r="A92" s="2" t="str">
        <f xml:space="preserve"> IF( 'From SvanPC++'!A83= "", "", ('From SvanPC++'!A83))</f>
        <v/>
      </c>
      <c r="B92" s="16"/>
      <c r="C92" s="15"/>
      <c r="E92" s="20"/>
      <c r="I92" s="2"/>
    </row>
    <row r="93" spans="1:9" ht="15.75" x14ac:dyDescent="0.3">
      <c r="A93" s="2" t="str">
        <f xml:space="preserve"> IF( 'From SvanPC++'!A84= "", "", ('From SvanPC++'!A84))</f>
        <v/>
      </c>
      <c r="B93" s="16"/>
      <c r="C93" s="15"/>
      <c r="E93" s="20"/>
      <c r="I93" s="2"/>
    </row>
    <row r="94" spans="1:9" ht="15.75" x14ac:dyDescent="0.3">
      <c r="A94" s="2" t="str">
        <f xml:space="preserve"> IF( 'From SvanPC++'!A85= "", "", ('From SvanPC++'!A85))</f>
        <v/>
      </c>
      <c r="B94" s="16"/>
      <c r="C94" s="15"/>
      <c r="E94" s="20"/>
      <c r="I94" s="2"/>
    </row>
    <row r="95" spans="1:9" ht="15.75" x14ac:dyDescent="0.3">
      <c r="A95" s="2" t="str">
        <f xml:space="preserve"> IF( 'From SvanPC++'!A86= "", "", ('From SvanPC++'!A86))</f>
        <v/>
      </c>
      <c r="B95" s="16"/>
      <c r="C95" s="15"/>
      <c r="E95" s="20"/>
      <c r="I95" s="2"/>
    </row>
    <row r="96" spans="1:9" ht="15.75" x14ac:dyDescent="0.3">
      <c r="A96" s="2" t="str">
        <f xml:space="preserve"> IF( 'From SvanPC++'!A87= "", "", ('From SvanPC++'!A87))</f>
        <v/>
      </c>
      <c r="B96" s="16"/>
      <c r="C96" s="15"/>
      <c r="E96" s="20"/>
      <c r="I96" s="2"/>
    </row>
    <row r="97" spans="1:9" ht="15.75" x14ac:dyDescent="0.3">
      <c r="A97" s="2" t="str">
        <f xml:space="preserve"> IF( 'From SvanPC++'!A88= "", "", ('From SvanPC++'!A88))</f>
        <v/>
      </c>
      <c r="B97" s="16"/>
      <c r="C97" s="15"/>
      <c r="E97" s="20"/>
      <c r="I97" s="2"/>
    </row>
    <row r="98" spans="1:9" ht="15.75" x14ac:dyDescent="0.3">
      <c r="A98" s="2" t="str">
        <f xml:space="preserve"> IF( 'From SvanPC++'!A89= "", "", ('From SvanPC++'!A89))</f>
        <v/>
      </c>
      <c r="B98" s="16"/>
      <c r="C98" s="15"/>
      <c r="E98" s="20"/>
      <c r="I98" s="2"/>
    </row>
    <row r="99" spans="1:9" ht="15.75" x14ac:dyDescent="0.3">
      <c r="A99" s="2" t="str">
        <f xml:space="preserve"> IF( 'From SvanPC++'!A90= "", "", ('From SvanPC++'!A90))</f>
        <v/>
      </c>
      <c r="B99" s="16"/>
      <c r="C99" s="15"/>
      <c r="E99" s="20"/>
      <c r="I99" s="2"/>
    </row>
    <row r="100" spans="1:9" ht="15.75" x14ac:dyDescent="0.3">
      <c r="A100" s="2" t="str">
        <f xml:space="preserve"> IF( 'From SvanPC++'!A91= "", "", ('From SvanPC++'!A91))</f>
        <v/>
      </c>
      <c r="B100" s="16"/>
      <c r="C100" s="15"/>
      <c r="E100" s="20"/>
      <c r="I100" s="2"/>
    </row>
    <row r="101" spans="1:9" ht="15.75" x14ac:dyDescent="0.3">
      <c r="A101" s="2" t="str">
        <f xml:space="preserve"> IF( 'From SvanPC++'!A92= "", "", ('From SvanPC++'!A92))</f>
        <v/>
      </c>
      <c r="B101" s="16"/>
      <c r="C101" s="15"/>
      <c r="E101" s="20"/>
      <c r="I101" s="2"/>
    </row>
    <row r="102" spans="1:9" ht="15.75" x14ac:dyDescent="0.3">
      <c r="A102" s="2" t="str">
        <f xml:space="preserve"> IF( 'From SvanPC++'!A93= "", "", ('From SvanPC++'!A93))</f>
        <v/>
      </c>
      <c r="B102" s="16"/>
      <c r="C102" s="15"/>
      <c r="E102" s="20"/>
      <c r="I102" s="2"/>
    </row>
    <row r="103" spans="1:9" ht="15.75" x14ac:dyDescent="0.3">
      <c r="A103" s="2" t="str">
        <f xml:space="preserve"> IF( 'From SvanPC++'!A94= "", "", ('From SvanPC++'!A94))</f>
        <v/>
      </c>
      <c r="B103" s="16"/>
      <c r="C103" s="15"/>
      <c r="E103" s="20"/>
      <c r="I103" s="2"/>
    </row>
    <row r="104" spans="1:9" ht="15.75" x14ac:dyDescent="0.3">
      <c r="A104" s="2" t="str">
        <f xml:space="preserve"> IF( 'From SvanPC++'!A95= "", "", ('From SvanPC++'!A95))</f>
        <v/>
      </c>
      <c r="B104" s="16"/>
      <c r="C104" s="15"/>
      <c r="E104" s="20"/>
      <c r="I104" s="2"/>
    </row>
    <row r="105" spans="1:9" ht="15.75" x14ac:dyDescent="0.3">
      <c r="A105" s="2" t="str">
        <f xml:space="preserve"> IF( 'From SvanPC++'!A96= "", "", ('From SvanPC++'!A96))</f>
        <v/>
      </c>
      <c r="B105" s="16"/>
      <c r="C105" s="15"/>
      <c r="E105" s="20"/>
      <c r="I105" s="2"/>
    </row>
    <row r="106" spans="1:9" ht="15.75" x14ac:dyDescent="0.3">
      <c r="A106" s="2" t="str">
        <f xml:space="preserve"> IF( 'From SvanPC++'!A97= "", "", ('From SvanPC++'!A97))</f>
        <v/>
      </c>
      <c r="B106" s="16"/>
      <c r="C106" s="15"/>
      <c r="E106" s="20"/>
      <c r="I106" s="2"/>
    </row>
    <row r="107" spans="1:9" ht="15.75" x14ac:dyDescent="0.3">
      <c r="A107" s="2" t="str">
        <f xml:space="preserve"> IF( 'From SvanPC++'!A98= "", "", ('From SvanPC++'!A98))</f>
        <v/>
      </c>
      <c r="B107" s="16"/>
      <c r="C107" s="15"/>
      <c r="E107" s="20"/>
      <c r="I107" s="2"/>
    </row>
    <row r="108" spans="1:9" ht="15.75" x14ac:dyDescent="0.3">
      <c r="A108" s="2" t="str">
        <f xml:space="preserve"> IF( 'From SvanPC++'!A99= "", "", ('From SvanPC++'!A99))</f>
        <v/>
      </c>
      <c r="B108" s="16"/>
      <c r="C108" s="15"/>
      <c r="E108" s="20"/>
      <c r="I108" s="2"/>
    </row>
    <row r="109" spans="1:9" ht="15.75" x14ac:dyDescent="0.3">
      <c r="A109" s="2" t="str">
        <f xml:space="preserve"> IF( 'From SvanPC++'!A100= "", "", ('From SvanPC++'!A100))</f>
        <v/>
      </c>
      <c r="B109" s="16"/>
      <c r="C109" s="15"/>
      <c r="E109" s="20"/>
      <c r="I109" s="2"/>
    </row>
    <row r="110" spans="1:9" ht="15.75" x14ac:dyDescent="0.3">
      <c r="A110" s="2" t="str">
        <f xml:space="preserve"> IF( 'From SvanPC++'!A101= "", "", ('From SvanPC++'!A101))</f>
        <v/>
      </c>
      <c r="B110" s="16"/>
      <c r="C110" s="15"/>
      <c r="E110" s="20"/>
      <c r="I110" s="2"/>
    </row>
    <row r="111" spans="1:9" ht="15.75" x14ac:dyDescent="0.3">
      <c r="A111" s="2" t="str">
        <f xml:space="preserve"> IF( 'From SvanPC++'!A102= "", "", ('From SvanPC++'!A102))</f>
        <v/>
      </c>
      <c r="B111" s="16"/>
      <c r="C111" s="15"/>
      <c r="E111" s="20"/>
      <c r="I111" s="2"/>
    </row>
    <row r="112" spans="1:9" ht="15.75" x14ac:dyDescent="0.3">
      <c r="A112" s="2" t="str">
        <f xml:space="preserve"> IF( 'From SvanPC++'!A103= "", "", ('From SvanPC++'!A103))</f>
        <v/>
      </c>
      <c r="B112" s="16"/>
      <c r="C112" s="15"/>
      <c r="E112" s="20"/>
      <c r="I112" s="2"/>
    </row>
    <row r="113" spans="1:9" ht="15.75" x14ac:dyDescent="0.3">
      <c r="A113" s="2" t="str">
        <f xml:space="preserve"> IF( 'From SvanPC++'!A104= "", "", ('From SvanPC++'!A104))</f>
        <v/>
      </c>
      <c r="B113" s="16"/>
      <c r="C113" s="15"/>
      <c r="E113" s="20"/>
      <c r="I113" s="2"/>
    </row>
    <row r="114" spans="1:9" ht="15.75" x14ac:dyDescent="0.3">
      <c r="A114" s="2" t="str">
        <f xml:space="preserve"> IF( 'From SvanPC++'!A105= "", "", ('From SvanPC++'!A105))</f>
        <v/>
      </c>
      <c r="B114" s="16"/>
      <c r="C114" s="15"/>
      <c r="E114" s="20"/>
      <c r="I114" s="2"/>
    </row>
    <row r="115" spans="1:9" ht="15.75" x14ac:dyDescent="0.3">
      <c r="A115" s="2" t="str">
        <f xml:space="preserve"> IF( 'From SvanPC++'!A106= "", "", ('From SvanPC++'!A106))</f>
        <v/>
      </c>
      <c r="B115" s="16"/>
      <c r="C115" s="15"/>
      <c r="E115" s="20"/>
      <c r="I115" s="2"/>
    </row>
    <row r="116" spans="1:9" ht="15.75" x14ac:dyDescent="0.3">
      <c r="A116" s="2" t="str">
        <f xml:space="preserve"> IF( 'From SvanPC++'!A107= "", "", ('From SvanPC++'!A107))</f>
        <v/>
      </c>
      <c r="B116" s="16"/>
      <c r="C116" s="15"/>
      <c r="E116" s="20"/>
      <c r="I116" s="2"/>
    </row>
    <row r="117" spans="1:9" ht="15.75" x14ac:dyDescent="0.3">
      <c r="A117" s="2" t="str">
        <f xml:space="preserve"> IF( 'From SvanPC++'!A108= "", "", ('From SvanPC++'!A108))</f>
        <v/>
      </c>
      <c r="B117" s="16"/>
      <c r="C117" s="15"/>
      <c r="E117" s="20"/>
      <c r="I117" s="2"/>
    </row>
    <row r="118" spans="1:9" ht="15.75" x14ac:dyDescent="0.3">
      <c r="A118" s="2" t="str">
        <f xml:space="preserve"> IF( 'From SvanPC++'!A109= "", "", ('From SvanPC++'!A109))</f>
        <v/>
      </c>
      <c r="B118" s="16"/>
      <c r="C118" s="15"/>
      <c r="E118" s="20"/>
      <c r="I118" s="2"/>
    </row>
    <row r="119" spans="1:9" ht="15.75" x14ac:dyDescent="0.3">
      <c r="A119" s="2" t="str">
        <f xml:space="preserve"> IF( 'From SvanPC++'!A110= "", "", ('From SvanPC++'!A110))</f>
        <v/>
      </c>
      <c r="B119" s="16"/>
      <c r="C119" s="15"/>
      <c r="E119" s="20"/>
      <c r="I119" s="2"/>
    </row>
    <row r="120" spans="1:9" ht="15.75" x14ac:dyDescent="0.3">
      <c r="A120" s="2" t="str">
        <f xml:space="preserve"> IF( 'From SvanPC++'!A111= "", "", ('From SvanPC++'!A111))</f>
        <v/>
      </c>
      <c r="B120" s="16"/>
      <c r="C120" s="15"/>
      <c r="E120" s="20"/>
      <c r="I120" s="2"/>
    </row>
    <row r="121" spans="1:9" ht="15.75" x14ac:dyDescent="0.3">
      <c r="A121" s="2" t="str">
        <f xml:space="preserve"> IF( 'From SvanPC++'!A112= "", "", ('From SvanPC++'!A112))</f>
        <v/>
      </c>
      <c r="B121" s="16"/>
      <c r="C121" s="15"/>
      <c r="E121" s="20"/>
      <c r="I121" s="2"/>
    </row>
    <row r="122" spans="1:9" ht="15.75" x14ac:dyDescent="0.3">
      <c r="A122" s="2" t="str">
        <f xml:space="preserve"> IF( 'From SvanPC++'!A113= "", "", ('From SvanPC++'!A113))</f>
        <v/>
      </c>
      <c r="B122" s="16"/>
      <c r="C122" s="15"/>
      <c r="E122" s="20"/>
      <c r="I122" s="2"/>
    </row>
    <row r="123" spans="1:9" ht="15.75" x14ac:dyDescent="0.3">
      <c r="A123" s="2" t="str">
        <f xml:space="preserve"> IF( 'From SvanPC++'!A114= "", "", ('From SvanPC++'!A114))</f>
        <v/>
      </c>
      <c r="B123" s="16"/>
      <c r="C123" s="15"/>
      <c r="E123" s="20"/>
      <c r="I123" s="2"/>
    </row>
    <row r="124" spans="1:9" ht="15.75" x14ac:dyDescent="0.3">
      <c r="A124" s="2" t="str">
        <f xml:space="preserve"> IF( 'From SvanPC++'!A115= "", "", ('From SvanPC++'!A115))</f>
        <v/>
      </c>
      <c r="B124" s="16"/>
      <c r="C124" s="15"/>
      <c r="E124" s="20"/>
      <c r="I124" s="2"/>
    </row>
    <row r="125" spans="1:9" ht="15.75" x14ac:dyDescent="0.3">
      <c r="A125" s="2" t="str">
        <f xml:space="preserve"> IF( 'From SvanPC++'!A116= "", "", ('From SvanPC++'!A116))</f>
        <v/>
      </c>
      <c r="B125" s="16"/>
      <c r="C125" s="15"/>
      <c r="E125" s="20"/>
      <c r="I125" s="2"/>
    </row>
    <row r="126" spans="1:9" ht="15.75" x14ac:dyDescent="0.3">
      <c r="A126" s="2" t="str">
        <f xml:space="preserve"> IF( 'From SvanPC++'!A117= "", "", ('From SvanPC++'!A117))</f>
        <v/>
      </c>
      <c r="B126" s="16"/>
      <c r="C126" s="15"/>
      <c r="E126" s="20"/>
      <c r="I126" s="2"/>
    </row>
    <row r="127" spans="1:9" ht="15.75" x14ac:dyDescent="0.3">
      <c r="A127" s="2" t="str">
        <f xml:space="preserve"> IF( 'From SvanPC++'!A118= "", "", ('From SvanPC++'!A118))</f>
        <v/>
      </c>
      <c r="B127" s="16"/>
      <c r="C127" s="15"/>
      <c r="E127" s="20"/>
      <c r="I127" s="2"/>
    </row>
    <row r="128" spans="1:9" ht="15.75" x14ac:dyDescent="0.3">
      <c r="A128" s="2" t="str">
        <f xml:space="preserve"> IF( 'From SvanPC++'!A119= "", "", ('From SvanPC++'!A119))</f>
        <v/>
      </c>
      <c r="B128" s="16"/>
      <c r="C128" s="15"/>
      <c r="E128" s="20"/>
      <c r="I128" s="2"/>
    </row>
    <row r="129" spans="1:9" ht="15.75" x14ac:dyDescent="0.3">
      <c r="A129" s="2" t="str">
        <f xml:space="preserve"> IF( 'From SvanPC++'!A120= "", "", ('From SvanPC++'!A120))</f>
        <v/>
      </c>
      <c r="B129" s="16"/>
      <c r="C129" s="15"/>
      <c r="E129" s="20"/>
      <c r="I129" s="2"/>
    </row>
    <row r="130" spans="1:9" ht="15.75" x14ac:dyDescent="0.3">
      <c r="A130" s="2" t="str">
        <f xml:space="preserve"> IF( 'From SvanPC++'!A121= "", "", ('From SvanPC++'!A121))</f>
        <v/>
      </c>
      <c r="B130" s="16"/>
      <c r="C130" s="15"/>
      <c r="E130" s="20"/>
      <c r="I130" s="2"/>
    </row>
    <row r="131" spans="1:9" ht="15.75" x14ac:dyDescent="0.3">
      <c r="A131" s="2" t="str">
        <f xml:space="preserve"> IF( 'From SvanPC++'!A122= "", "", ('From SvanPC++'!A122))</f>
        <v/>
      </c>
      <c r="B131" s="16"/>
      <c r="C131" s="15"/>
      <c r="E131" s="20"/>
      <c r="I131" s="2"/>
    </row>
    <row r="132" spans="1:9" ht="15.75" x14ac:dyDescent="0.3">
      <c r="A132" s="2" t="str">
        <f xml:space="preserve"> IF( 'From SvanPC++'!A123= "", "", ('From SvanPC++'!A123))</f>
        <v/>
      </c>
      <c r="B132" s="16"/>
      <c r="C132" s="15"/>
      <c r="E132" s="20"/>
      <c r="I132" s="2"/>
    </row>
    <row r="133" spans="1:9" ht="15.75" x14ac:dyDescent="0.3">
      <c r="A133" s="2" t="str">
        <f xml:space="preserve"> IF( 'From SvanPC++'!A124= "", "", ('From SvanPC++'!A124))</f>
        <v/>
      </c>
      <c r="B133" s="16"/>
      <c r="C133" s="15"/>
      <c r="E133" s="20"/>
      <c r="I133" s="2"/>
    </row>
    <row r="134" spans="1:9" ht="15.75" x14ac:dyDescent="0.3">
      <c r="A134" s="2" t="str">
        <f xml:space="preserve"> IF( 'From SvanPC++'!A125= "", "", ('From SvanPC++'!A125))</f>
        <v/>
      </c>
      <c r="B134" s="16"/>
      <c r="C134" s="15"/>
      <c r="E134" s="20"/>
      <c r="I134" s="2"/>
    </row>
    <row r="135" spans="1:9" ht="15.75" x14ac:dyDescent="0.3">
      <c r="A135" s="2" t="str">
        <f xml:space="preserve"> IF( 'From SvanPC++'!A126= "", "", ('From SvanPC++'!A126))</f>
        <v/>
      </c>
      <c r="B135" s="16"/>
      <c r="C135" s="15"/>
      <c r="E135" s="20"/>
      <c r="I135" s="2"/>
    </row>
    <row r="136" spans="1:9" ht="15.75" x14ac:dyDescent="0.3">
      <c r="A136" s="2" t="str">
        <f xml:space="preserve"> IF( 'From SvanPC++'!A127= "", "", ('From SvanPC++'!A127))</f>
        <v/>
      </c>
      <c r="B136" s="16"/>
      <c r="C136" s="15"/>
      <c r="E136" s="20"/>
      <c r="I136" s="2"/>
    </row>
    <row r="137" spans="1:9" ht="15.75" x14ac:dyDescent="0.3">
      <c r="A137" s="2" t="str">
        <f xml:space="preserve"> IF( 'From SvanPC++'!A128= "", "", ('From SvanPC++'!A128))</f>
        <v/>
      </c>
      <c r="B137" s="16"/>
      <c r="C137" s="15"/>
      <c r="E137" s="20"/>
      <c r="I137" s="2"/>
    </row>
    <row r="138" spans="1:9" ht="15.75" x14ac:dyDescent="0.3">
      <c r="A138" s="2" t="str">
        <f xml:space="preserve"> IF( 'From SvanPC++'!A129= "", "", ('From SvanPC++'!A129))</f>
        <v/>
      </c>
      <c r="B138" s="16"/>
      <c r="C138" s="15"/>
      <c r="E138" s="20"/>
      <c r="I138" s="2"/>
    </row>
    <row r="139" spans="1:9" ht="15.75" x14ac:dyDescent="0.3">
      <c r="A139" s="2" t="str">
        <f xml:space="preserve"> IF( 'From SvanPC++'!A130= "", "", ('From SvanPC++'!A130))</f>
        <v/>
      </c>
      <c r="B139" s="16"/>
      <c r="C139" s="15"/>
      <c r="E139" s="20"/>
      <c r="I139" s="2"/>
    </row>
    <row r="140" spans="1:9" ht="15.75" x14ac:dyDescent="0.3">
      <c r="A140" s="2" t="str">
        <f xml:space="preserve"> IF( 'From SvanPC++'!A131= "", "", ('From SvanPC++'!A131))</f>
        <v/>
      </c>
      <c r="B140" s="16"/>
      <c r="C140" s="15"/>
      <c r="E140" s="20"/>
      <c r="I140" s="2"/>
    </row>
    <row r="141" spans="1:9" ht="15.75" x14ac:dyDescent="0.3">
      <c r="A141" s="2" t="str">
        <f xml:space="preserve"> IF( 'From SvanPC++'!A132= "", "", ('From SvanPC++'!A132))</f>
        <v/>
      </c>
      <c r="B141" s="16"/>
      <c r="C141" s="15"/>
      <c r="E141" s="20"/>
      <c r="I141" s="2"/>
    </row>
    <row r="142" spans="1:9" ht="15.75" x14ac:dyDescent="0.3">
      <c r="A142" s="2" t="str">
        <f xml:space="preserve"> IF( 'From SvanPC++'!A133= "", "", ('From SvanPC++'!A133))</f>
        <v/>
      </c>
      <c r="B142" s="16"/>
      <c r="C142" s="15"/>
      <c r="E142" s="20"/>
      <c r="I142" s="2"/>
    </row>
    <row r="143" spans="1:9" ht="15.75" x14ac:dyDescent="0.3">
      <c r="A143" s="2" t="str">
        <f xml:space="preserve"> IF( 'From SvanPC++'!A134= "", "", ('From SvanPC++'!A134))</f>
        <v/>
      </c>
      <c r="B143" s="16"/>
      <c r="C143" s="15"/>
      <c r="E143" s="20"/>
      <c r="I143" s="2"/>
    </row>
    <row r="144" spans="1:9" ht="15.75" x14ac:dyDescent="0.3">
      <c r="A144" s="2" t="str">
        <f xml:space="preserve"> IF( 'From SvanPC++'!A135= "", "", ('From SvanPC++'!A135))</f>
        <v/>
      </c>
      <c r="B144" s="16"/>
      <c r="C144" s="15"/>
      <c r="E144" s="20"/>
      <c r="I144" s="2"/>
    </row>
    <row r="145" spans="1:9" ht="15.75" x14ac:dyDescent="0.3">
      <c r="A145" s="2" t="str">
        <f xml:space="preserve"> IF( 'From SvanPC++'!A136= "", "", ('From SvanPC++'!A136))</f>
        <v/>
      </c>
      <c r="B145" s="16"/>
      <c r="C145" s="15"/>
      <c r="E145" s="20"/>
      <c r="I145" s="2"/>
    </row>
    <row r="146" spans="1:9" ht="15.75" x14ac:dyDescent="0.3">
      <c r="A146" s="2" t="str">
        <f xml:space="preserve"> IF( 'From SvanPC++'!A137= "", "", ('From SvanPC++'!A137))</f>
        <v/>
      </c>
      <c r="B146" s="16"/>
      <c r="C146" s="15"/>
      <c r="E146" s="20"/>
      <c r="I146" s="2"/>
    </row>
    <row r="147" spans="1:9" ht="15.75" x14ac:dyDescent="0.3">
      <c r="A147" s="2" t="str">
        <f xml:space="preserve"> IF( 'From SvanPC++'!A138= "", "", ('From SvanPC++'!A138))</f>
        <v/>
      </c>
      <c r="B147" s="16"/>
      <c r="C147" s="15"/>
      <c r="E147" s="20"/>
      <c r="I147" s="2"/>
    </row>
    <row r="148" spans="1:9" ht="15.75" x14ac:dyDescent="0.3">
      <c r="A148" s="2" t="str">
        <f xml:space="preserve"> IF( 'From SvanPC++'!A139= "", "", ('From SvanPC++'!A139))</f>
        <v/>
      </c>
      <c r="B148" s="16"/>
      <c r="C148" s="15"/>
      <c r="E148" s="20"/>
      <c r="I148" s="2"/>
    </row>
    <row r="149" spans="1:9" ht="15.75" x14ac:dyDescent="0.3">
      <c r="A149" s="2" t="str">
        <f xml:space="preserve"> IF( 'From SvanPC++'!A140= "", "", ('From SvanPC++'!A140))</f>
        <v/>
      </c>
      <c r="B149" s="16"/>
      <c r="C149" s="15"/>
      <c r="E149" s="20"/>
      <c r="I149" s="2"/>
    </row>
    <row r="150" spans="1:9" ht="15.75" x14ac:dyDescent="0.3">
      <c r="A150" s="2" t="str">
        <f xml:space="preserve"> IF( 'From SvanPC++'!A141= "", "", ('From SvanPC++'!A141))</f>
        <v/>
      </c>
      <c r="B150" s="16"/>
      <c r="C150" s="15"/>
      <c r="E150" s="20"/>
      <c r="I150" s="2"/>
    </row>
    <row r="151" spans="1:9" ht="15.75" x14ac:dyDescent="0.3">
      <c r="A151" s="2" t="str">
        <f xml:space="preserve"> IF( 'From SvanPC++'!A142= "", "", ('From SvanPC++'!A142))</f>
        <v/>
      </c>
      <c r="B151" s="16"/>
      <c r="C151" s="15"/>
      <c r="E151" s="20"/>
      <c r="I151" s="2"/>
    </row>
    <row r="152" spans="1:9" ht="15.75" x14ac:dyDescent="0.3">
      <c r="A152" s="2" t="str">
        <f xml:space="preserve"> IF( 'From SvanPC++'!A143= "", "", ('From SvanPC++'!A143))</f>
        <v/>
      </c>
      <c r="B152" s="16"/>
      <c r="C152" s="15"/>
      <c r="E152" s="20"/>
      <c r="I152" s="2"/>
    </row>
    <row r="153" spans="1:9" ht="15.75" x14ac:dyDescent="0.3">
      <c r="A153" s="2" t="str">
        <f xml:space="preserve"> IF( 'From SvanPC++'!A144= "", "", ('From SvanPC++'!A144))</f>
        <v/>
      </c>
      <c r="B153" s="16"/>
      <c r="C153" s="15"/>
      <c r="E153" s="20"/>
      <c r="I153" s="2"/>
    </row>
    <row r="154" spans="1:9" ht="15.75" x14ac:dyDescent="0.3">
      <c r="A154" s="2" t="str">
        <f xml:space="preserve"> IF( 'From SvanPC++'!A145= "", "", ('From SvanPC++'!A145))</f>
        <v/>
      </c>
      <c r="B154" s="16"/>
      <c r="C154" s="15"/>
      <c r="E154" s="20"/>
      <c r="I154" s="2"/>
    </row>
    <row r="155" spans="1:9" ht="15.75" x14ac:dyDescent="0.3">
      <c r="A155" s="2" t="str">
        <f xml:space="preserve"> IF( 'From SvanPC++'!A146= "", "", ('From SvanPC++'!A146))</f>
        <v/>
      </c>
      <c r="B155" s="16"/>
      <c r="C155" s="15"/>
      <c r="E155" s="20"/>
      <c r="I155" s="2"/>
    </row>
    <row r="156" spans="1:9" ht="15.75" x14ac:dyDescent="0.3">
      <c r="A156" s="2" t="str">
        <f xml:space="preserve"> IF( 'From SvanPC++'!A147= "", "", ('From SvanPC++'!A147))</f>
        <v/>
      </c>
      <c r="B156" s="16"/>
      <c r="C156" s="15"/>
      <c r="E156" s="20"/>
      <c r="I156" s="2"/>
    </row>
    <row r="157" spans="1:9" ht="15.75" x14ac:dyDescent="0.3">
      <c r="A157" s="2" t="str">
        <f xml:space="preserve"> IF( 'From SvanPC++'!A148= "", "", ('From SvanPC++'!A148))</f>
        <v/>
      </c>
      <c r="B157" s="16"/>
      <c r="C157" s="15"/>
      <c r="E157" s="20"/>
      <c r="I157" s="2"/>
    </row>
    <row r="158" spans="1:9" ht="15.75" x14ac:dyDescent="0.3">
      <c r="A158" s="2" t="str">
        <f xml:space="preserve"> IF( 'From SvanPC++'!A149= "", "", ('From SvanPC++'!A149))</f>
        <v/>
      </c>
      <c r="B158" s="16"/>
      <c r="C158" s="15"/>
      <c r="E158" s="20"/>
      <c r="I158" s="2"/>
    </row>
    <row r="159" spans="1:9" ht="15.75" x14ac:dyDescent="0.3">
      <c r="A159" s="2" t="str">
        <f xml:space="preserve"> IF( 'From SvanPC++'!A150= "", "", ('From SvanPC++'!A150))</f>
        <v/>
      </c>
      <c r="B159" s="16"/>
      <c r="C159" s="15"/>
      <c r="E159" s="20"/>
      <c r="I159" s="2"/>
    </row>
    <row r="160" spans="1:9" ht="15.75" x14ac:dyDescent="0.3">
      <c r="A160" s="2" t="str">
        <f xml:space="preserve"> IF( 'From SvanPC++'!A151= "", "", ('From SvanPC++'!A151))</f>
        <v/>
      </c>
      <c r="B160" s="16"/>
      <c r="C160" s="15"/>
      <c r="E160" s="20"/>
      <c r="I160" s="2"/>
    </row>
    <row r="161" spans="1:9" ht="15.75" x14ac:dyDescent="0.3">
      <c r="A161" s="2" t="str">
        <f xml:space="preserve"> IF( 'From SvanPC++'!A152= "", "", ('From SvanPC++'!A152))</f>
        <v/>
      </c>
      <c r="B161" s="16"/>
      <c r="C161" s="15"/>
      <c r="E161" s="20"/>
      <c r="I161" s="2"/>
    </row>
    <row r="162" spans="1:9" ht="15.75" x14ac:dyDescent="0.3">
      <c r="A162" s="2" t="str">
        <f xml:space="preserve"> IF( 'From SvanPC++'!A153= "", "", ('From SvanPC++'!A153))</f>
        <v/>
      </c>
      <c r="B162" s="16"/>
      <c r="C162" s="15"/>
      <c r="E162" s="20"/>
      <c r="I162" s="2"/>
    </row>
    <row r="163" spans="1:9" ht="15.75" x14ac:dyDescent="0.3">
      <c r="A163" s="2" t="str">
        <f xml:space="preserve"> IF( 'From SvanPC++'!A154= "", "", ('From SvanPC++'!A154))</f>
        <v/>
      </c>
      <c r="B163" s="16"/>
      <c r="C163" s="15"/>
      <c r="E163" s="20"/>
      <c r="I163" s="2"/>
    </row>
    <row r="164" spans="1:9" ht="15.75" x14ac:dyDescent="0.3">
      <c r="A164" s="2" t="str">
        <f xml:space="preserve"> IF( 'From SvanPC++'!A155= "", "", ('From SvanPC++'!A155))</f>
        <v/>
      </c>
      <c r="B164" s="16"/>
      <c r="C164" s="15"/>
      <c r="E164" s="20"/>
      <c r="I164" s="2"/>
    </row>
    <row r="165" spans="1:9" ht="15.75" x14ac:dyDescent="0.3">
      <c r="A165" s="2" t="str">
        <f xml:space="preserve"> IF( 'From SvanPC++'!A156= "", "", ('From SvanPC++'!A156))</f>
        <v/>
      </c>
      <c r="B165" s="16"/>
      <c r="C165" s="15"/>
      <c r="E165" s="20"/>
      <c r="I165" s="2"/>
    </row>
    <row r="166" spans="1:9" ht="15.75" x14ac:dyDescent="0.3">
      <c r="A166" s="2" t="str">
        <f xml:space="preserve"> IF( 'From SvanPC++'!A157= "", "", ('From SvanPC++'!A157))</f>
        <v/>
      </c>
      <c r="B166" s="16"/>
      <c r="C166" s="15"/>
      <c r="E166" s="20"/>
      <c r="I166" s="2"/>
    </row>
    <row r="167" spans="1:9" ht="15.75" x14ac:dyDescent="0.3">
      <c r="A167" s="2" t="str">
        <f xml:space="preserve"> IF( 'From SvanPC++'!A158= "", "", ('From SvanPC++'!A158))</f>
        <v/>
      </c>
      <c r="B167" s="16"/>
      <c r="C167" s="15"/>
      <c r="E167" s="20"/>
      <c r="I167" s="2"/>
    </row>
    <row r="168" spans="1:9" ht="15.75" x14ac:dyDescent="0.3">
      <c r="A168" s="2" t="str">
        <f xml:space="preserve"> IF( 'From SvanPC++'!A159= "", "", ('From SvanPC++'!A159))</f>
        <v/>
      </c>
      <c r="B168" s="16"/>
      <c r="C168" s="15"/>
      <c r="E168" s="20"/>
      <c r="I168" s="2"/>
    </row>
    <row r="169" spans="1:9" ht="15.75" x14ac:dyDescent="0.3">
      <c r="A169" s="2" t="str">
        <f xml:space="preserve"> IF( 'From SvanPC++'!A160= "", "", ('From SvanPC++'!A160))</f>
        <v/>
      </c>
      <c r="B169" s="16"/>
      <c r="C169" s="15"/>
      <c r="E169" s="20"/>
      <c r="I169" s="2"/>
    </row>
    <row r="170" spans="1:9" ht="15.75" x14ac:dyDescent="0.3">
      <c r="A170" s="2" t="str">
        <f xml:space="preserve"> IF( 'From SvanPC++'!A161= "", "", ('From SvanPC++'!A161))</f>
        <v/>
      </c>
      <c r="B170" s="16"/>
      <c r="C170" s="15"/>
      <c r="E170" s="20"/>
      <c r="I170" s="2"/>
    </row>
    <row r="171" spans="1:9" ht="15.75" x14ac:dyDescent="0.3">
      <c r="A171" s="2" t="str">
        <f xml:space="preserve"> IF( 'From SvanPC++'!A162= "", "", ('From SvanPC++'!A162))</f>
        <v/>
      </c>
      <c r="B171" s="16"/>
      <c r="C171" s="15"/>
      <c r="E171" s="20"/>
      <c r="I171" s="2"/>
    </row>
    <row r="172" spans="1:9" ht="15.75" x14ac:dyDescent="0.3">
      <c r="A172" s="2" t="str">
        <f xml:space="preserve"> IF( 'From SvanPC++'!A163= "", "", ('From SvanPC++'!A163))</f>
        <v/>
      </c>
      <c r="B172" s="16"/>
      <c r="C172" s="15"/>
      <c r="E172" s="20"/>
      <c r="I172" s="2"/>
    </row>
    <row r="173" spans="1:9" ht="15.75" x14ac:dyDescent="0.3">
      <c r="A173" s="2" t="str">
        <f xml:space="preserve"> IF( 'From SvanPC++'!A164= "", "", ('From SvanPC++'!A164))</f>
        <v/>
      </c>
      <c r="B173" s="16"/>
      <c r="C173" s="15"/>
      <c r="E173" s="20"/>
      <c r="I173" s="2"/>
    </row>
    <row r="174" spans="1:9" ht="15.75" x14ac:dyDescent="0.3">
      <c r="A174" s="2" t="str">
        <f xml:space="preserve"> IF( 'From SvanPC++'!A165= "", "", ('From SvanPC++'!A165))</f>
        <v/>
      </c>
      <c r="B174" s="16"/>
      <c r="C174" s="15"/>
      <c r="E174" s="20"/>
      <c r="I174" s="2"/>
    </row>
    <row r="175" spans="1:9" ht="15.75" x14ac:dyDescent="0.3">
      <c r="A175" s="2" t="str">
        <f xml:space="preserve"> IF( 'From SvanPC++'!A166= "", "", ('From SvanPC++'!A166))</f>
        <v/>
      </c>
      <c r="B175" s="16"/>
      <c r="C175" s="15"/>
      <c r="E175" s="20"/>
      <c r="I175" s="2"/>
    </row>
    <row r="176" spans="1:9" ht="15.75" x14ac:dyDescent="0.3">
      <c r="A176" s="2" t="str">
        <f xml:space="preserve"> IF( 'From SvanPC++'!A167= "", "", ('From SvanPC++'!A167))</f>
        <v/>
      </c>
      <c r="B176" s="16"/>
      <c r="C176" s="15"/>
      <c r="E176" s="20"/>
      <c r="I176" s="2"/>
    </row>
    <row r="177" spans="1:9" ht="15.75" x14ac:dyDescent="0.3">
      <c r="A177" s="2" t="str">
        <f xml:space="preserve"> IF( 'From SvanPC++'!A168= "", "", ('From SvanPC++'!A168))</f>
        <v/>
      </c>
      <c r="B177" s="16"/>
      <c r="C177" s="15"/>
      <c r="E177" s="20"/>
      <c r="I177" s="2"/>
    </row>
    <row r="178" spans="1:9" ht="15.75" x14ac:dyDescent="0.3">
      <c r="A178" s="2" t="str">
        <f xml:space="preserve"> IF( 'From SvanPC++'!A169= "", "", ('From SvanPC++'!A169))</f>
        <v/>
      </c>
      <c r="B178" s="16"/>
      <c r="C178" s="15"/>
      <c r="E178" s="20"/>
      <c r="I178" s="2"/>
    </row>
    <row r="179" spans="1:9" ht="15.75" x14ac:dyDescent="0.3">
      <c r="A179" s="2" t="str">
        <f xml:space="preserve"> IF( 'From SvanPC++'!A170= "", "", ('From SvanPC++'!A170))</f>
        <v/>
      </c>
      <c r="B179" s="16"/>
      <c r="C179" s="15"/>
      <c r="E179" s="20"/>
      <c r="I179" s="2"/>
    </row>
    <row r="180" spans="1:9" ht="15.75" x14ac:dyDescent="0.3">
      <c r="A180" s="2" t="str">
        <f xml:space="preserve"> IF( 'From SvanPC++'!A171= "", "", ('From SvanPC++'!A171))</f>
        <v/>
      </c>
      <c r="B180" s="16"/>
      <c r="C180" s="15"/>
      <c r="E180" s="20"/>
      <c r="I180" s="2"/>
    </row>
    <row r="181" spans="1:9" ht="15.75" x14ac:dyDescent="0.3">
      <c r="A181" s="2" t="str">
        <f xml:space="preserve"> IF( 'From SvanPC++'!A172= "", "", ('From SvanPC++'!A172))</f>
        <v/>
      </c>
      <c r="B181" s="16"/>
      <c r="C181" s="15"/>
      <c r="E181" s="20"/>
      <c r="I181" s="2"/>
    </row>
    <row r="182" spans="1:9" ht="15.75" x14ac:dyDescent="0.3">
      <c r="A182" s="2" t="str">
        <f xml:space="preserve"> IF( 'From SvanPC++'!A173= "", "", ('From SvanPC++'!A173))</f>
        <v/>
      </c>
      <c r="B182" s="16"/>
      <c r="C182" s="15"/>
      <c r="E182" s="20"/>
      <c r="I182" s="2"/>
    </row>
    <row r="183" spans="1:9" ht="15.75" x14ac:dyDescent="0.3">
      <c r="A183" s="2" t="str">
        <f xml:space="preserve"> IF( 'From SvanPC++'!A174= "", "", ('From SvanPC++'!A174))</f>
        <v/>
      </c>
      <c r="B183" s="16"/>
      <c r="C183" s="15"/>
      <c r="E183" s="20"/>
      <c r="I183" s="2"/>
    </row>
    <row r="184" spans="1:9" ht="15.75" x14ac:dyDescent="0.3">
      <c r="A184" s="2" t="str">
        <f xml:space="preserve"> IF( 'From SvanPC++'!A175= "", "", ('From SvanPC++'!A175))</f>
        <v/>
      </c>
      <c r="B184" s="16"/>
      <c r="C184" s="15"/>
      <c r="E184" s="20"/>
      <c r="I184" s="2"/>
    </row>
    <row r="185" spans="1:9" ht="15.75" x14ac:dyDescent="0.3">
      <c r="A185" s="2" t="str">
        <f xml:space="preserve"> IF( 'From SvanPC++'!A176= "", "", ('From SvanPC++'!A176))</f>
        <v/>
      </c>
      <c r="B185" s="16"/>
      <c r="C185" s="15"/>
      <c r="E185" s="20"/>
      <c r="I185" s="2"/>
    </row>
    <row r="186" spans="1:9" ht="15.75" x14ac:dyDescent="0.3">
      <c r="A186" s="2" t="str">
        <f xml:space="preserve"> IF( 'From SvanPC++'!A177= "", "", ('From SvanPC++'!A177))</f>
        <v/>
      </c>
      <c r="B186" s="16"/>
      <c r="C186" s="15"/>
      <c r="E186" s="20"/>
      <c r="I186" s="2"/>
    </row>
    <row r="187" spans="1:9" ht="15.75" x14ac:dyDescent="0.3">
      <c r="A187" s="2" t="str">
        <f xml:space="preserve"> IF( 'From SvanPC++'!A178= "", "", ('From SvanPC++'!A178))</f>
        <v/>
      </c>
      <c r="B187" s="16"/>
      <c r="C187" s="15"/>
      <c r="E187" s="20"/>
      <c r="I187" s="2"/>
    </row>
    <row r="188" spans="1:9" x14ac:dyDescent="0.3">
      <c r="A188" s="2" t="str">
        <f xml:space="preserve"> IF( 'From SvanPC++'!A179= "", "", ('From SvanPC++'!A179))</f>
        <v/>
      </c>
      <c r="E188" s="18"/>
      <c r="I188" s="2"/>
    </row>
    <row r="189" spans="1:9" x14ac:dyDescent="0.3">
      <c r="A189" s="2" t="str">
        <f xml:space="preserve"> IF( 'From SvanPC++'!A180= "", "", ('From SvanPC++'!A180))</f>
        <v/>
      </c>
      <c r="E189" s="18"/>
      <c r="I189" s="2"/>
    </row>
    <row r="190" spans="1:9" x14ac:dyDescent="0.3">
      <c r="A190" s="2" t="str">
        <f xml:space="preserve"> IF( 'From SvanPC++'!A181= "", "", ('From SvanPC++'!A181))</f>
        <v/>
      </c>
      <c r="E190" s="18"/>
      <c r="I190" s="2"/>
    </row>
    <row r="191" spans="1:9" x14ac:dyDescent="0.3">
      <c r="A191" s="2" t="str">
        <f xml:space="preserve"> IF( 'From SvanPC++'!A182= "", "", ('From SvanPC++'!A182))</f>
        <v/>
      </c>
      <c r="E191" s="18"/>
      <c r="I191" s="2"/>
    </row>
    <row r="192" spans="1:9" x14ac:dyDescent="0.3">
      <c r="A192" s="2" t="str">
        <f xml:space="preserve"> IF( 'From SvanPC++'!A183= "", "", ('From SvanPC++'!A183))</f>
        <v/>
      </c>
      <c r="E192" s="18"/>
      <c r="I192" s="2"/>
    </row>
    <row r="193" spans="1:9" x14ac:dyDescent="0.3">
      <c r="A193" s="2" t="str">
        <f xml:space="preserve"> IF( 'From SvanPC++'!A184= "", "", ('From SvanPC++'!A184))</f>
        <v/>
      </c>
      <c r="E193" s="18"/>
      <c r="I193" s="2"/>
    </row>
    <row r="194" spans="1:9" x14ac:dyDescent="0.3">
      <c r="A194" s="2" t="str">
        <f xml:space="preserve"> IF( 'From SvanPC++'!A185= "", "", ('From SvanPC++'!A185))</f>
        <v/>
      </c>
      <c r="E194" s="18"/>
      <c r="I194" s="2"/>
    </row>
    <row r="195" spans="1:9" x14ac:dyDescent="0.3">
      <c r="A195" s="2" t="str">
        <f xml:space="preserve"> IF( 'From SvanPC++'!A186= "", "", ('From SvanPC++'!A186))</f>
        <v/>
      </c>
      <c r="E195" s="18"/>
      <c r="I195" s="2"/>
    </row>
    <row r="196" spans="1:9" x14ac:dyDescent="0.3">
      <c r="A196" s="2" t="str">
        <f xml:space="preserve"> IF( 'From SvanPC++'!A187= "", "", ('From SvanPC++'!A187))</f>
        <v/>
      </c>
      <c r="E196" s="18"/>
      <c r="I196" s="2"/>
    </row>
    <row r="197" spans="1:9" x14ac:dyDescent="0.3">
      <c r="A197" s="2" t="str">
        <f xml:space="preserve"> IF( 'From SvanPC++'!A188= "", "", ('From SvanPC++'!A188))</f>
        <v/>
      </c>
      <c r="E197" s="18"/>
      <c r="I197" s="2"/>
    </row>
    <row r="198" spans="1:9" x14ac:dyDescent="0.3">
      <c r="A198" s="2" t="str">
        <f xml:space="preserve"> IF( 'From SvanPC++'!A189= "", "", ('From SvanPC++'!A189))</f>
        <v/>
      </c>
      <c r="E198" s="18"/>
      <c r="I198" s="2"/>
    </row>
    <row r="199" spans="1:9" x14ac:dyDescent="0.3">
      <c r="A199" s="2" t="str">
        <f xml:space="preserve"> IF( 'From SvanPC++'!A190= "", "", ('From SvanPC++'!A190))</f>
        <v/>
      </c>
      <c r="E199" s="18"/>
      <c r="I199" s="2"/>
    </row>
    <row r="200" spans="1:9" x14ac:dyDescent="0.3">
      <c r="A200" s="2" t="str">
        <f xml:space="preserve"> IF( 'From SvanPC++'!A191= "", "", ('From SvanPC++'!A191))</f>
        <v/>
      </c>
      <c r="E200" s="18"/>
      <c r="I200" s="2"/>
    </row>
    <row r="201" spans="1:9" x14ac:dyDescent="0.3">
      <c r="A201" s="2" t="str">
        <f xml:space="preserve"> IF( 'From SvanPC++'!A192= "", "", ('From SvanPC++'!A192))</f>
        <v/>
      </c>
      <c r="E201" s="18"/>
      <c r="I201" s="2"/>
    </row>
    <row r="202" spans="1:9" x14ac:dyDescent="0.3">
      <c r="A202" s="2" t="str">
        <f xml:space="preserve"> IF( 'From SvanPC++'!A193= "", "", ('From SvanPC++'!A193))</f>
        <v/>
      </c>
      <c r="E202" s="18"/>
      <c r="I202" s="2"/>
    </row>
    <row r="203" spans="1:9" x14ac:dyDescent="0.3">
      <c r="A203" s="2" t="str">
        <f xml:space="preserve"> IF( 'From SvanPC++'!A194= "", "", ('From SvanPC++'!A194))</f>
        <v/>
      </c>
      <c r="E203" s="18"/>
      <c r="I203" s="2"/>
    </row>
    <row r="204" spans="1:9" x14ac:dyDescent="0.3">
      <c r="A204" s="2" t="str">
        <f xml:space="preserve"> IF( 'From SvanPC++'!A195= "", "", ('From SvanPC++'!A195))</f>
        <v/>
      </c>
      <c r="E204" s="18"/>
      <c r="I204" s="2"/>
    </row>
    <row r="205" spans="1:9" x14ac:dyDescent="0.3">
      <c r="A205" s="2" t="str">
        <f xml:space="preserve"> IF( 'From SvanPC++'!A196= "", "", ('From SvanPC++'!A196))</f>
        <v/>
      </c>
      <c r="E205" s="18"/>
      <c r="I205" s="2"/>
    </row>
    <row r="206" spans="1:9" x14ac:dyDescent="0.3">
      <c r="A206" s="2" t="str">
        <f xml:space="preserve"> IF( 'From SvanPC++'!A197= "", "", ('From SvanPC++'!A197))</f>
        <v/>
      </c>
      <c r="E206" s="18"/>
      <c r="I206" s="2"/>
    </row>
    <row r="207" spans="1:9" x14ac:dyDescent="0.3">
      <c r="A207" s="2" t="str">
        <f xml:space="preserve"> IF( 'From SvanPC++'!A198= "", "", ('From SvanPC++'!A198))</f>
        <v/>
      </c>
      <c r="E207" s="18"/>
      <c r="I207" s="2"/>
    </row>
    <row r="208" spans="1:9" x14ac:dyDescent="0.3">
      <c r="A208" s="2" t="str">
        <f xml:space="preserve"> IF( 'From SvanPC++'!A199= "", "", ('From SvanPC++'!A199))</f>
        <v/>
      </c>
      <c r="E208" s="18"/>
      <c r="I208" s="2"/>
    </row>
    <row r="209" spans="1:9" x14ac:dyDescent="0.3">
      <c r="A209" s="2" t="str">
        <f xml:space="preserve"> IF( 'From SvanPC++'!A200= "", "", ('From SvanPC++'!A200))</f>
        <v/>
      </c>
      <c r="E209" s="18"/>
      <c r="I209" s="2"/>
    </row>
    <row r="210" spans="1:9" x14ac:dyDescent="0.3">
      <c r="A210" s="2" t="str">
        <f xml:space="preserve"> IF( 'From SvanPC++'!A201= "", "", ('From SvanPC++'!A201))</f>
        <v/>
      </c>
      <c r="E210" s="18"/>
      <c r="I210" s="2"/>
    </row>
    <row r="211" spans="1:9" x14ac:dyDescent="0.3">
      <c r="A211" s="2" t="str">
        <f xml:space="preserve"> IF( 'From SvanPC++'!A202= "", "", ('From SvanPC++'!A202))</f>
        <v/>
      </c>
      <c r="E211" s="18"/>
      <c r="I211" s="2"/>
    </row>
    <row r="212" spans="1:9" x14ac:dyDescent="0.3">
      <c r="A212" s="2" t="str">
        <f xml:space="preserve"> IF( 'From SvanPC++'!A203= "", "", ('From SvanPC++'!A203))</f>
        <v/>
      </c>
      <c r="E212" s="18"/>
      <c r="I212" s="2"/>
    </row>
    <row r="213" spans="1:9" x14ac:dyDescent="0.3">
      <c r="A213" s="2" t="str">
        <f xml:space="preserve"> IF( 'From SvanPC++'!A204= "", "", ('From SvanPC++'!A204))</f>
        <v/>
      </c>
      <c r="E213" s="18"/>
      <c r="I213" s="2"/>
    </row>
    <row r="214" spans="1:9" x14ac:dyDescent="0.3">
      <c r="A214" s="2" t="str">
        <f xml:space="preserve"> IF( 'From SvanPC++'!A205= "", "", ('From SvanPC++'!A205))</f>
        <v/>
      </c>
      <c r="E214" s="18"/>
      <c r="I214" s="2"/>
    </row>
    <row r="215" spans="1:9" x14ac:dyDescent="0.3">
      <c r="A215" s="2" t="str">
        <f xml:space="preserve"> IF( 'From SvanPC++'!A206= "", "", ('From SvanPC++'!A206))</f>
        <v/>
      </c>
      <c r="E215" s="18"/>
      <c r="I215" s="2"/>
    </row>
    <row r="216" spans="1:9" x14ac:dyDescent="0.3">
      <c r="A216" s="2" t="str">
        <f xml:space="preserve"> IF( 'From SvanPC++'!A207= "", "", ('From SvanPC++'!A207))</f>
        <v/>
      </c>
      <c r="E216" s="18"/>
      <c r="I216" s="2"/>
    </row>
    <row r="217" spans="1:9" x14ac:dyDescent="0.3">
      <c r="A217" s="2" t="str">
        <f xml:space="preserve"> IF( 'From SvanPC++'!A208= "", "", ('From SvanPC++'!A208))</f>
        <v/>
      </c>
      <c r="E217" s="18"/>
      <c r="I217" s="2"/>
    </row>
    <row r="218" spans="1:9" x14ac:dyDescent="0.3">
      <c r="A218" s="2" t="str">
        <f xml:space="preserve"> IF( 'From SvanPC++'!A209= "", "", ('From SvanPC++'!A209))</f>
        <v/>
      </c>
      <c r="E218" s="18"/>
      <c r="I218" s="2"/>
    </row>
    <row r="219" spans="1:9" x14ac:dyDescent="0.3">
      <c r="A219" s="2" t="str">
        <f xml:space="preserve"> IF( 'From SvanPC++'!A210= "", "", ('From SvanPC++'!A210))</f>
        <v/>
      </c>
      <c r="E219" s="18"/>
      <c r="I219" s="2"/>
    </row>
    <row r="220" spans="1:9" x14ac:dyDescent="0.3">
      <c r="A220" s="2" t="str">
        <f xml:space="preserve"> IF( 'From SvanPC++'!A211= "", "", ('From SvanPC++'!A211))</f>
        <v/>
      </c>
      <c r="E220" s="18"/>
      <c r="I220" s="2"/>
    </row>
    <row r="221" spans="1:9" x14ac:dyDescent="0.3">
      <c r="A221" s="2" t="str">
        <f xml:space="preserve"> IF( 'From SvanPC++'!A212= "", "", ('From SvanPC++'!A212))</f>
        <v/>
      </c>
      <c r="E221" s="18"/>
      <c r="I221" s="2"/>
    </row>
    <row r="222" spans="1:9" x14ac:dyDescent="0.3">
      <c r="A222" s="2" t="str">
        <f xml:space="preserve"> IF( 'From SvanPC++'!A213= "", "", ('From SvanPC++'!A213))</f>
        <v/>
      </c>
      <c r="E222" s="18"/>
      <c r="I222" s="2"/>
    </row>
    <row r="223" spans="1:9" x14ac:dyDescent="0.3">
      <c r="A223" s="2" t="str">
        <f xml:space="preserve"> IF( 'From SvanPC++'!A214= "", "", ('From SvanPC++'!A214))</f>
        <v/>
      </c>
      <c r="E223" s="18"/>
      <c r="I223" s="2"/>
    </row>
    <row r="224" spans="1:9" x14ac:dyDescent="0.3">
      <c r="A224" s="2" t="str">
        <f xml:space="preserve"> IF( 'From SvanPC++'!A215= "", "", ('From SvanPC++'!A215))</f>
        <v/>
      </c>
      <c r="E224" s="18"/>
      <c r="I224" s="2"/>
    </row>
    <row r="225" spans="1:9" x14ac:dyDescent="0.3">
      <c r="A225" s="2" t="str">
        <f xml:space="preserve"> IF( 'From SvanPC++'!A216= "", "", ('From SvanPC++'!A216))</f>
        <v/>
      </c>
      <c r="E225" s="18"/>
      <c r="I225" s="2"/>
    </row>
    <row r="226" spans="1:9" x14ac:dyDescent="0.3">
      <c r="A226" s="2" t="str">
        <f xml:space="preserve"> IF( 'From SvanPC++'!A217= "", "", ('From SvanPC++'!A217))</f>
        <v/>
      </c>
      <c r="E226" s="18"/>
      <c r="I226" s="2"/>
    </row>
    <row r="227" spans="1:9" x14ac:dyDescent="0.3">
      <c r="A227" s="2" t="str">
        <f xml:space="preserve"> IF( 'From SvanPC++'!A218= "", "", ('From SvanPC++'!A218))</f>
        <v/>
      </c>
      <c r="E227" s="18"/>
      <c r="I227" s="2"/>
    </row>
    <row r="228" spans="1:9" x14ac:dyDescent="0.3">
      <c r="A228" s="2" t="str">
        <f xml:space="preserve"> IF( 'From SvanPC++'!A219= "", "", ('From SvanPC++'!A219))</f>
        <v/>
      </c>
      <c r="E228" s="18"/>
      <c r="I228" s="2"/>
    </row>
    <row r="229" spans="1:9" x14ac:dyDescent="0.3">
      <c r="A229" s="2" t="str">
        <f xml:space="preserve"> IF( 'From SvanPC++'!A220= "", "", ('From SvanPC++'!A220))</f>
        <v/>
      </c>
      <c r="E229" s="18"/>
      <c r="I229" s="2"/>
    </row>
    <row r="230" spans="1:9" x14ac:dyDescent="0.3">
      <c r="A230" s="2" t="str">
        <f xml:space="preserve"> IF( 'From SvanPC++'!A221= "", "", ('From SvanPC++'!A221))</f>
        <v/>
      </c>
      <c r="E230" s="18"/>
      <c r="I230" s="2"/>
    </row>
    <row r="231" spans="1:9" x14ac:dyDescent="0.3">
      <c r="A231" s="2" t="str">
        <f xml:space="preserve"> IF( 'From SvanPC++'!A222= "", "", ('From SvanPC++'!A222))</f>
        <v/>
      </c>
      <c r="E231" s="18"/>
      <c r="I231" s="2"/>
    </row>
    <row r="232" spans="1:9" x14ac:dyDescent="0.3">
      <c r="A232" s="2" t="str">
        <f xml:space="preserve"> IF( 'From SvanPC++'!A223= "", "", ('From SvanPC++'!A223))</f>
        <v/>
      </c>
      <c r="E232" s="18"/>
      <c r="I232" s="2"/>
    </row>
    <row r="233" spans="1:9" x14ac:dyDescent="0.3">
      <c r="A233" s="2" t="str">
        <f xml:space="preserve"> IF( 'From SvanPC++'!A224= "", "", ('From SvanPC++'!A224))</f>
        <v/>
      </c>
      <c r="E233" s="18"/>
      <c r="I233" s="2"/>
    </row>
    <row r="234" spans="1:9" x14ac:dyDescent="0.3">
      <c r="A234" s="2" t="str">
        <f xml:space="preserve"> IF( 'From SvanPC++'!A225= "", "", ('From SvanPC++'!A225))</f>
        <v/>
      </c>
      <c r="E234" s="18"/>
      <c r="I234" s="2"/>
    </row>
    <row r="235" spans="1:9" x14ac:dyDescent="0.3">
      <c r="A235" s="2" t="str">
        <f xml:space="preserve"> IF( 'From SvanPC++'!A226= "", "", ('From SvanPC++'!A226))</f>
        <v/>
      </c>
      <c r="E235" s="18"/>
      <c r="I235" s="2"/>
    </row>
    <row r="236" spans="1:9" x14ac:dyDescent="0.3">
      <c r="A236" s="2" t="str">
        <f xml:space="preserve"> IF( 'From SvanPC++'!A227= "", "", ('From SvanPC++'!A227))</f>
        <v/>
      </c>
      <c r="E236" s="18"/>
      <c r="I236" s="2"/>
    </row>
    <row r="237" spans="1:9" x14ac:dyDescent="0.3">
      <c r="A237" s="2" t="str">
        <f xml:space="preserve"> IF( 'From SvanPC++'!A228= "", "", ('From SvanPC++'!A228))</f>
        <v/>
      </c>
      <c r="E237" s="18"/>
      <c r="I237" s="2"/>
    </row>
    <row r="238" spans="1:9" x14ac:dyDescent="0.3">
      <c r="A238" s="2" t="str">
        <f xml:space="preserve"> IF( 'From SvanPC++'!A229= "", "", ('From SvanPC++'!A229))</f>
        <v/>
      </c>
      <c r="E238" s="18"/>
      <c r="I238" s="2"/>
    </row>
    <row r="239" spans="1:9" x14ac:dyDescent="0.3">
      <c r="A239" s="2" t="str">
        <f xml:space="preserve"> IF( 'From SvanPC++'!A230= "", "", ('From SvanPC++'!A230))</f>
        <v/>
      </c>
      <c r="E239" s="18"/>
      <c r="I239" s="2"/>
    </row>
    <row r="240" spans="1:9" x14ac:dyDescent="0.3">
      <c r="A240" s="2" t="str">
        <f xml:space="preserve"> IF( 'From SvanPC++'!A231= "", "", ('From SvanPC++'!A231))</f>
        <v/>
      </c>
      <c r="E240" s="18"/>
      <c r="I240" s="2"/>
    </row>
    <row r="241" spans="1:9" x14ac:dyDescent="0.3">
      <c r="A241" s="2" t="str">
        <f xml:space="preserve"> IF( 'From SvanPC++'!A232= "", "", ('From SvanPC++'!A232))</f>
        <v/>
      </c>
      <c r="E241" s="18"/>
      <c r="I241" s="2"/>
    </row>
    <row r="242" spans="1:9" x14ac:dyDescent="0.3">
      <c r="A242" s="2" t="str">
        <f xml:space="preserve"> IF( 'From SvanPC++'!A233= "", "", ('From SvanPC++'!A233))</f>
        <v/>
      </c>
      <c r="E242" s="18"/>
      <c r="I242" s="2"/>
    </row>
    <row r="243" spans="1:9" x14ac:dyDescent="0.3">
      <c r="A243" s="2" t="str">
        <f xml:space="preserve"> IF( 'From SvanPC++'!A234= "", "", ('From SvanPC++'!A234))</f>
        <v/>
      </c>
      <c r="E243" s="18"/>
      <c r="I243" s="2"/>
    </row>
    <row r="244" spans="1:9" x14ac:dyDescent="0.3">
      <c r="A244" s="2" t="str">
        <f xml:space="preserve"> IF( 'From SvanPC++'!A235= "", "", ('From SvanPC++'!A235))</f>
        <v/>
      </c>
      <c r="E244" s="18"/>
      <c r="I244" s="2"/>
    </row>
    <row r="245" spans="1:9" x14ac:dyDescent="0.3">
      <c r="A245" s="2" t="str">
        <f xml:space="preserve"> IF( 'From SvanPC++'!A236= "", "", ('From SvanPC++'!A236))</f>
        <v/>
      </c>
      <c r="E245" s="18"/>
      <c r="I245" s="2"/>
    </row>
    <row r="246" spans="1:9" x14ac:dyDescent="0.3">
      <c r="A246" s="2" t="str">
        <f xml:space="preserve"> IF( 'From SvanPC++'!A237= "", "", ('From SvanPC++'!A237))</f>
        <v/>
      </c>
      <c r="E246" s="18"/>
      <c r="I246" s="2"/>
    </row>
    <row r="247" spans="1:9" x14ac:dyDescent="0.3">
      <c r="A247" s="2" t="str">
        <f xml:space="preserve"> IF( 'From SvanPC++'!A238= "", "", ('From SvanPC++'!A238))</f>
        <v/>
      </c>
      <c r="E247" s="18"/>
      <c r="I247" s="2"/>
    </row>
    <row r="248" spans="1:9" x14ac:dyDescent="0.3">
      <c r="A248" s="2" t="str">
        <f xml:space="preserve"> IF( 'From SvanPC++'!A239= "", "", ('From SvanPC++'!A239))</f>
        <v/>
      </c>
      <c r="E248" s="18"/>
      <c r="I248" s="2"/>
    </row>
    <row r="249" spans="1:9" x14ac:dyDescent="0.3">
      <c r="A249" s="2" t="str">
        <f xml:space="preserve"> IF( 'From SvanPC++'!A240= "", "", ('From SvanPC++'!A240))</f>
        <v/>
      </c>
      <c r="E249" s="18"/>
      <c r="I249" s="2"/>
    </row>
    <row r="250" spans="1:9" x14ac:dyDescent="0.3">
      <c r="A250" s="2" t="str">
        <f xml:space="preserve"> IF( 'From SvanPC++'!A241= "", "", ('From SvanPC++'!A241))</f>
        <v/>
      </c>
      <c r="E250" s="18"/>
      <c r="I250" s="2"/>
    </row>
    <row r="251" spans="1:9" x14ac:dyDescent="0.3">
      <c r="A251" s="2" t="str">
        <f xml:space="preserve"> IF( 'From SvanPC++'!A242= "", "", ('From SvanPC++'!A242))</f>
        <v/>
      </c>
      <c r="E251" s="18"/>
      <c r="I251" s="2"/>
    </row>
    <row r="252" spans="1:9" x14ac:dyDescent="0.3">
      <c r="A252" s="2" t="str">
        <f xml:space="preserve"> IF( 'From SvanPC++'!A243= "", "", ('From SvanPC++'!A243))</f>
        <v/>
      </c>
      <c r="E252" s="18"/>
      <c r="I252" s="2"/>
    </row>
    <row r="253" spans="1:9" x14ac:dyDescent="0.3">
      <c r="A253" s="2" t="str">
        <f xml:space="preserve"> IF( 'From SvanPC++'!A244= "", "", ('From SvanPC++'!A244))</f>
        <v/>
      </c>
      <c r="E253" s="18"/>
      <c r="I253" s="2"/>
    </row>
    <row r="254" spans="1:9" x14ac:dyDescent="0.3">
      <c r="A254" s="2" t="str">
        <f xml:space="preserve"> IF( 'From SvanPC++'!A245= "", "", ('From SvanPC++'!A245))</f>
        <v/>
      </c>
      <c r="E254" s="18"/>
      <c r="I254" s="2"/>
    </row>
    <row r="255" spans="1:9" x14ac:dyDescent="0.3">
      <c r="A255" s="2" t="str">
        <f xml:space="preserve"> IF( 'From SvanPC++'!A246= "", "", ('From SvanPC++'!A246))</f>
        <v/>
      </c>
      <c r="E255" s="18"/>
      <c r="I255" s="2"/>
    </row>
    <row r="256" spans="1:9" x14ac:dyDescent="0.3">
      <c r="A256" s="2" t="str">
        <f xml:space="preserve"> IF( 'From SvanPC++'!A247= "", "", ('From SvanPC++'!A247))</f>
        <v/>
      </c>
      <c r="E256" s="18"/>
      <c r="I256" s="2"/>
    </row>
    <row r="257" spans="1:9" x14ac:dyDescent="0.3">
      <c r="A257" s="2" t="str">
        <f xml:space="preserve"> IF( 'From SvanPC++'!A248= "", "", ('From SvanPC++'!A248))</f>
        <v/>
      </c>
      <c r="E257" s="18"/>
      <c r="I257" s="2"/>
    </row>
    <row r="258" spans="1:9" x14ac:dyDescent="0.3">
      <c r="A258" s="2" t="str">
        <f xml:space="preserve"> IF( 'From SvanPC++'!A249= "", "", ('From SvanPC++'!A249))</f>
        <v/>
      </c>
      <c r="E258" s="18"/>
      <c r="I258" s="2"/>
    </row>
    <row r="259" spans="1:9" x14ac:dyDescent="0.3">
      <c r="A259" s="2" t="str">
        <f xml:space="preserve"> IF( 'From SvanPC++'!A250= "", "", ('From SvanPC++'!A250))</f>
        <v/>
      </c>
      <c r="E259" s="18"/>
      <c r="I259" s="2"/>
    </row>
    <row r="260" spans="1:9" x14ac:dyDescent="0.3">
      <c r="A260" s="2" t="str">
        <f xml:space="preserve"> IF( 'From SvanPC++'!A251= "", "", ('From SvanPC++'!A251))</f>
        <v/>
      </c>
      <c r="E260" s="18"/>
      <c r="I260" s="2"/>
    </row>
    <row r="261" spans="1:9" x14ac:dyDescent="0.3">
      <c r="A261" s="2" t="str">
        <f xml:space="preserve"> IF( 'From SvanPC++'!A252= "", "", ('From SvanPC++'!A252))</f>
        <v/>
      </c>
      <c r="E261" s="18"/>
      <c r="I261" s="2"/>
    </row>
    <row r="262" spans="1:9" x14ac:dyDescent="0.3">
      <c r="A262" s="2" t="str">
        <f xml:space="preserve"> IF( 'From SvanPC++'!A253= "", "", ('From SvanPC++'!A253))</f>
        <v/>
      </c>
      <c r="E262" s="18"/>
      <c r="I262" s="2"/>
    </row>
    <row r="263" spans="1:9" x14ac:dyDescent="0.3">
      <c r="A263" s="2" t="str">
        <f xml:space="preserve"> IF( 'From SvanPC++'!A254= "", "", ('From SvanPC++'!A254))</f>
        <v/>
      </c>
      <c r="E263" s="18"/>
      <c r="I263" s="2"/>
    </row>
    <row r="264" spans="1:9" x14ac:dyDescent="0.3">
      <c r="A264" s="2" t="str">
        <f xml:space="preserve"> IF( 'From SvanPC++'!A255= "", "", ('From SvanPC++'!A255))</f>
        <v/>
      </c>
      <c r="E264" s="18"/>
      <c r="I264" s="2"/>
    </row>
    <row r="265" spans="1:9" x14ac:dyDescent="0.3">
      <c r="A265" s="2" t="str">
        <f xml:space="preserve"> IF( 'From SvanPC++'!A256= "", "", ('From SvanPC++'!A256))</f>
        <v/>
      </c>
      <c r="E265" s="18"/>
      <c r="I265" s="2"/>
    </row>
    <row r="266" spans="1:9" x14ac:dyDescent="0.3">
      <c r="A266" s="2" t="str">
        <f xml:space="preserve"> IF( 'From SvanPC++'!A257= "", "", ('From SvanPC++'!A257))</f>
        <v/>
      </c>
      <c r="E266" s="18"/>
      <c r="I266" s="2"/>
    </row>
    <row r="267" spans="1:9" x14ac:dyDescent="0.3">
      <c r="A267" s="2" t="str">
        <f xml:space="preserve"> IF( 'From SvanPC++'!A258= "", "", ('From SvanPC++'!A258))</f>
        <v/>
      </c>
      <c r="E267" s="18"/>
      <c r="I267" s="2"/>
    </row>
    <row r="268" spans="1:9" x14ac:dyDescent="0.3">
      <c r="A268" s="2" t="str">
        <f xml:space="preserve"> IF( 'From SvanPC++'!A259= "", "", ('From SvanPC++'!A259))</f>
        <v/>
      </c>
      <c r="E268" s="18"/>
      <c r="I268" s="2"/>
    </row>
    <row r="269" spans="1:9" x14ac:dyDescent="0.3">
      <c r="A269" s="2" t="str">
        <f xml:space="preserve"> IF( 'From SvanPC++'!A260= "", "", ('From SvanPC++'!A260))</f>
        <v/>
      </c>
      <c r="E269" s="18"/>
      <c r="I269" s="2"/>
    </row>
    <row r="270" spans="1:9" x14ac:dyDescent="0.3">
      <c r="A270" s="2" t="str">
        <f xml:space="preserve"> IF( 'From SvanPC++'!A261= "", "", ('From SvanPC++'!A261))</f>
        <v/>
      </c>
      <c r="E270" s="18"/>
      <c r="I270" s="2"/>
    </row>
    <row r="271" spans="1:9" x14ac:dyDescent="0.3">
      <c r="A271" s="2" t="str">
        <f xml:space="preserve"> IF( 'From SvanPC++'!A262= "", "", ('From SvanPC++'!A262))</f>
        <v/>
      </c>
      <c r="E271" s="18"/>
      <c r="I271" s="2"/>
    </row>
    <row r="272" spans="1:9" x14ac:dyDescent="0.3">
      <c r="A272" s="2" t="str">
        <f xml:space="preserve"> IF( 'From SvanPC++'!A263= "", "", ('From SvanPC++'!A263))</f>
        <v/>
      </c>
      <c r="E272" s="18"/>
      <c r="I272" s="2"/>
    </row>
    <row r="273" spans="1:9" x14ac:dyDescent="0.3">
      <c r="A273" s="2" t="str">
        <f xml:space="preserve"> IF( 'From SvanPC++'!A264= "", "", ('From SvanPC++'!A264))</f>
        <v/>
      </c>
      <c r="E273" s="18"/>
      <c r="I273" s="2"/>
    </row>
    <row r="274" spans="1:9" x14ac:dyDescent="0.3">
      <c r="A274" s="2" t="str">
        <f xml:space="preserve"> IF( 'From SvanPC++'!A265= "", "", ('From SvanPC++'!A265))</f>
        <v/>
      </c>
      <c r="E274" s="18"/>
      <c r="I274" s="2"/>
    </row>
    <row r="275" spans="1:9" x14ac:dyDescent="0.3">
      <c r="A275" s="2" t="str">
        <f xml:space="preserve"> IF( 'From SvanPC++'!A266= "", "", ('From SvanPC++'!A266))</f>
        <v/>
      </c>
      <c r="E275" s="18"/>
      <c r="I275" s="2"/>
    </row>
    <row r="276" spans="1:9" x14ac:dyDescent="0.3">
      <c r="A276" s="2" t="str">
        <f xml:space="preserve"> IF( 'From SvanPC++'!A267= "", "", ('From SvanPC++'!A267))</f>
        <v/>
      </c>
      <c r="E276" s="18"/>
      <c r="I276" s="2"/>
    </row>
    <row r="277" spans="1:9" x14ac:dyDescent="0.3">
      <c r="A277" s="2" t="str">
        <f xml:space="preserve"> IF( 'From SvanPC++'!A268= "", "", ('From SvanPC++'!A268))</f>
        <v/>
      </c>
      <c r="E277" s="18"/>
      <c r="I277" s="2"/>
    </row>
    <row r="278" spans="1:9" x14ac:dyDescent="0.3">
      <c r="A278" s="2" t="str">
        <f xml:space="preserve"> IF( 'From SvanPC++'!A269= "", "", ('From SvanPC++'!A269))</f>
        <v/>
      </c>
      <c r="E278" s="18"/>
      <c r="I278" s="2"/>
    </row>
    <row r="279" spans="1:9" x14ac:dyDescent="0.3">
      <c r="A279" s="2" t="str">
        <f xml:space="preserve"> IF( 'From SvanPC++'!A270= "", "", ('From SvanPC++'!A270))</f>
        <v/>
      </c>
      <c r="E279" s="18"/>
      <c r="I279" s="2"/>
    </row>
    <row r="280" spans="1:9" x14ac:dyDescent="0.3">
      <c r="A280" s="2" t="str">
        <f xml:space="preserve"> IF( 'From SvanPC++'!A271= "", "", ('From SvanPC++'!A271))</f>
        <v/>
      </c>
      <c r="E280" s="18"/>
      <c r="I280" s="2"/>
    </row>
    <row r="281" spans="1:9" x14ac:dyDescent="0.3">
      <c r="A281" s="2" t="str">
        <f xml:space="preserve"> IF( 'From SvanPC++'!A272= "", "", ('From SvanPC++'!A272))</f>
        <v/>
      </c>
      <c r="E281" s="18"/>
      <c r="I281" s="2"/>
    </row>
    <row r="282" spans="1:9" x14ac:dyDescent="0.3">
      <c r="A282" s="2" t="str">
        <f xml:space="preserve"> IF( 'From SvanPC++'!A273= "", "", ('From SvanPC++'!A273))</f>
        <v/>
      </c>
      <c r="E282" s="18"/>
      <c r="I282" s="2"/>
    </row>
    <row r="283" spans="1:9" x14ac:dyDescent="0.3">
      <c r="A283" s="2" t="str">
        <f xml:space="preserve"> IF( 'From SvanPC++'!A274= "", "", ('From SvanPC++'!A274))</f>
        <v/>
      </c>
      <c r="E283" s="18"/>
      <c r="I283" s="2"/>
    </row>
    <row r="284" spans="1:9" x14ac:dyDescent="0.3">
      <c r="A284" s="2" t="str">
        <f xml:space="preserve"> IF( 'From SvanPC++'!A275= "", "", ('From SvanPC++'!A275))</f>
        <v/>
      </c>
      <c r="E284" s="18"/>
      <c r="I284" s="2"/>
    </row>
    <row r="285" spans="1:9" x14ac:dyDescent="0.3">
      <c r="A285" s="2" t="str">
        <f xml:space="preserve"> IF( 'From SvanPC++'!A276= "", "", ('From SvanPC++'!A276))</f>
        <v/>
      </c>
      <c r="E285" s="18"/>
      <c r="I285" s="2"/>
    </row>
    <row r="286" spans="1:9" x14ac:dyDescent="0.3">
      <c r="A286" s="2" t="str">
        <f xml:space="preserve"> IF( 'From SvanPC++'!A277= "", "", ('From SvanPC++'!A277))</f>
        <v/>
      </c>
      <c r="E286" s="18"/>
      <c r="I286" s="2"/>
    </row>
    <row r="287" spans="1:9" x14ac:dyDescent="0.3">
      <c r="A287" s="2" t="str">
        <f xml:space="preserve"> IF( 'From SvanPC++'!A278= "", "", ('From SvanPC++'!A278))</f>
        <v/>
      </c>
      <c r="E287" s="18"/>
      <c r="I287" s="2"/>
    </row>
    <row r="288" spans="1:9" x14ac:dyDescent="0.3">
      <c r="A288" s="2" t="str">
        <f xml:space="preserve"> IF( 'From SvanPC++'!A279= "", "", ('From SvanPC++'!A279))</f>
        <v/>
      </c>
      <c r="E288" s="18"/>
      <c r="I288" s="2"/>
    </row>
    <row r="289" spans="1:9" x14ac:dyDescent="0.3">
      <c r="A289" s="2" t="str">
        <f xml:space="preserve"> IF( 'From SvanPC++'!A280= "", "", ('From SvanPC++'!A280))</f>
        <v/>
      </c>
      <c r="E289" s="18"/>
      <c r="I289" s="2"/>
    </row>
    <row r="290" spans="1:9" x14ac:dyDescent="0.3">
      <c r="A290" s="2" t="str">
        <f xml:space="preserve"> IF( 'From SvanPC++'!A281= "", "", ('From SvanPC++'!A281))</f>
        <v/>
      </c>
      <c r="E290" s="18"/>
      <c r="I290" s="2"/>
    </row>
    <row r="291" spans="1:9" x14ac:dyDescent="0.3">
      <c r="A291" s="2" t="str">
        <f xml:space="preserve"> IF( 'From SvanPC++'!A282= "", "", ('From SvanPC++'!A282))</f>
        <v/>
      </c>
      <c r="E291" s="18"/>
      <c r="I291" s="2"/>
    </row>
    <row r="292" spans="1:9" x14ac:dyDescent="0.3">
      <c r="A292" s="2" t="str">
        <f xml:space="preserve"> IF( 'From SvanPC++'!A283= "", "", ('From SvanPC++'!A283))</f>
        <v/>
      </c>
      <c r="E292" s="18"/>
      <c r="I292" s="2"/>
    </row>
    <row r="293" spans="1:9" x14ac:dyDescent="0.3">
      <c r="A293" s="2" t="str">
        <f xml:space="preserve"> IF( 'From SvanPC++'!A284= "", "", ('From SvanPC++'!A284))</f>
        <v/>
      </c>
      <c r="E293" s="18"/>
      <c r="I293" s="2"/>
    </row>
    <row r="294" spans="1:9" x14ac:dyDescent="0.3">
      <c r="A294" s="2" t="str">
        <f xml:space="preserve"> IF( 'From SvanPC++'!A285= "", "", ('From SvanPC++'!A285))</f>
        <v/>
      </c>
      <c r="E294" s="18"/>
      <c r="I294" s="2"/>
    </row>
    <row r="295" spans="1:9" x14ac:dyDescent="0.3">
      <c r="A295" s="2" t="str">
        <f xml:space="preserve"> IF( 'From SvanPC++'!A286= "", "", ('From SvanPC++'!A286))</f>
        <v/>
      </c>
      <c r="E295" s="18"/>
      <c r="I295" s="2"/>
    </row>
    <row r="296" spans="1:9" x14ac:dyDescent="0.3">
      <c r="A296" s="2" t="str">
        <f xml:space="preserve"> IF( 'From SvanPC++'!A287= "", "", ('From SvanPC++'!A287))</f>
        <v/>
      </c>
      <c r="E296" s="18"/>
      <c r="I296" s="2"/>
    </row>
    <row r="297" spans="1:9" x14ac:dyDescent="0.3">
      <c r="A297" s="2" t="str">
        <f xml:space="preserve"> IF( 'From SvanPC++'!A288= "", "", ('From SvanPC++'!A288))</f>
        <v/>
      </c>
      <c r="E297" s="18"/>
      <c r="I297" s="2"/>
    </row>
    <row r="298" spans="1:9" x14ac:dyDescent="0.3">
      <c r="A298" s="2" t="str">
        <f xml:space="preserve"> IF( 'From SvanPC++'!A289= "", "", ('From SvanPC++'!A289))</f>
        <v/>
      </c>
      <c r="E298" s="18"/>
      <c r="I298" s="2"/>
    </row>
    <row r="299" spans="1:9" x14ac:dyDescent="0.3">
      <c r="A299" s="2" t="str">
        <f xml:space="preserve"> IF( 'From SvanPC++'!A290= "", "", ('From SvanPC++'!A290))</f>
        <v/>
      </c>
      <c r="E299" s="18"/>
      <c r="I299" s="2"/>
    </row>
    <row r="300" spans="1:9" x14ac:dyDescent="0.3">
      <c r="A300" s="2" t="str">
        <f xml:space="preserve"> IF( 'From SvanPC++'!A291= "", "", ('From SvanPC++'!A291))</f>
        <v/>
      </c>
      <c r="E300" s="18"/>
      <c r="I300" s="2"/>
    </row>
    <row r="301" spans="1:9" x14ac:dyDescent="0.3">
      <c r="A301" s="2" t="str">
        <f xml:space="preserve"> IF( 'From SvanPC++'!A292= "", "", ('From SvanPC++'!A292))</f>
        <v/>
      </c>
      <c r="E301" s="18"/>
      <c r="I301" s="2"/>
    </row>
    <row r="302" spans="1:9" x14ac:dyDescent="0.3">
      <c r="A302" s="2" t="str">
        <f xml:space="preserve"> IF( 'From SvanPC++'!A293= "", "", ('From SvanPC++'!A293))</f>
        <v/>
      </c>
      <c r="E302" s="18"/>
      <c r="I302" s="2"/>
    </row>
    <row r="303" spans="1:9" x14ac:dyDescent="0.3">
      <c r="A303" s="2" t="str">
        <f xml:space="preserve"> IF( 'From SvanPC++'!A294= "", "", ('From SvanPC++'!A294))</f>
        <v/>
      </c>
      <c r="E303" s="18"/>
      <c r="I303" s="2"/>
    </row>
    <row r="304" spans="1:9" x14ac:dyDescent="0.3">
      <c r="A304" s="2" t="str">
        <f xml:space="preserve"> IF( 'From SvanPC++'!A295= "", "", ('From SvanPC++'!A295))</f>
        <v/>
      </c>
      <c r="E304" s="18"/>
      <c r="I304" s="2"/>
    </row>
    <row r="305" spans="1:9" x14ac:dyDescent="0.3">
      <c r="A305" s="2" t="str">
        <f xml:space="preserve"> IF( 'From SvanPC++'!A296= "", "", ('From SvanPC++'!A296))</f>
        <v/>
      </c>
      <c r="E305" s="18"/>
      <c r="I305" s="2"/>
    </row>
    <row r="306" spans="1:9" x14ac:dyDescent="0.3">
      <c r="A306" s="2" t="str">
        <f xml:space="preserve"> IF( 'From SvanPC++'!A297= "", "", ('From SvanPC++'!A297))</f>
        <v/>
      </c>
      <c r="E306" s="18"/>
      <c r="I306" s="2"/>
    </row>
    <row r="307" spans="1:9" x14ac:dyDescent="0.3">
      <c r="A307" s="2" t="str">
        <f xml:space="preserve"> IF( 'From SvanPC++'!A298= "", "", ('From SvanPC++'!A298))</f>
        <v/>
      </c>
      <c r="E307" s="18"/>
      <c r="I307" s="2"/>
    </row>
    <row r="308" spans="1:9" x14ac:dyDescent="0.3">
      <c r="A308" s="2" t="str">
        <f xml:space="preserve"> IF( 'From SvanPC++'!A299= "", "", ('From SvanPC++'!A299))</f>
        <v/>
      </c>
      <c r="E308" s="18"/>
      <c r="I308" s="2"/>
    </row>
    <row r="309" spans="1:9" x14ac:dyDescent="0.3">
      <c r="A309" s="2" t="str">
        <f xml:space="preserve"> IF( 'From SvanPC++'!A300= "", "", ('From SvanPC++'!A300))</f>
        <v/>
      </c>
      <c r="E309" s="18"/>
      <c r="I309" s="2"/>
    </row>
    <row r="310" spans="1:9" x14ac:dyDescent="0.3">
      <c r="A310" s="2" t="str">
        <f xml:space="preserve"> IF( 'From SvanPC++'!A301= "", "", ('From SvanPC++'!A301))</f>
        <v/>
      </c>
      <c r="E310" s="18"/>
      <c r="I310" s="2"/>
    </row>
    <row r="311" spans="1:9" x14ac:dyDescent="0.3">
      <c r="A311" s="2" t="str">
        <f xml:space="preserve"> IF( 'From SvanPC++'!A302= "", "", ('From SvanPC++'!A302))</f>
        <v/>
      </c>
      <c r="E311" s="18"/>
      <c r="I311" s="2"/>
    </row>
    <row r="312" spans="1:9" x14ac:dyDescent="0.3">
      <c r="A312" s="2" t="str">
        <f xml:space="preserve"> IF( 'From SvanPC++'!A303= "", "", ('From SvanPC++'!A303))</f>
        <v/>
      </c>
      <c r="E312" s="18"/>
      <c r="I312" s="2"/>
    </row>
    <row r="313" spans="1:9" x14ac:dyDescent="0.3">
      <c r="A313" s="2" t="str">
        <f xml:space="preserve"> IF( 'From SvanPC++'!A304= "", "", ('From SvanPC++'!A304))</f>
        <v/>
      </c>
      <c r="E313" s="18"/>
      <c r="I313" s="2"/>
    </row>
    <row r="314" spans="1:9" x14ac:dyDescent="0.3">
      <c r="A314" s="2" t="str">
        <f xml:space="preserve"> IF( 'From SvanPC++'!A305= "", "", ('From SvanPC++'!A305))</f>
        <v/>
      </c>
      <c r="E314" s="18"/>
      <c r="I314" s="2"/>
    </row>
    <row r="315" spans="1:9" x14ac:dyDescent="0.3">
      <c r="A315" s="2" t="str">
        <f xml:space="preserve"> IF( 'From SvanPC++'!A306= "", "", ('From SvanPC++'!A306))</f>
        <v/>
      </c>
      <c r="E315" s="18"/>
      <c r="I315" s="2"/>
    </row>
    <row r="316" spans="1:9" x14ac:dyDescent="0.3">
      <c r="A316" s="2" t="str">
        <f xml:space="preserve"> IF( 'From SvanPC++'!A307= "", "", ('From SvanPC++'!A307))</f>
        <v/>
      </c>
      <c r="E316" s="18"/>
      <c r="I316" s="2"/>
    </row>
    <row r="317" spans="1:9" x14ac:dyDescent="0.3">
      <c r="A317" s="2" t="str">
        <f xml:space="preserve"> IF( 'From SvanPC++'!A308= "", "", ('From SvanPC++'!A308))</f>
        <v/>
      </c>
      <c r="E317" s="18"/>
      <c r="I317" s="2"/>
    </row>
    <row r="318" spans="1:9" x14ac:dyDescent="0.3">
      <c r="A318" s="2" t="str">
        <f xml:space="preserve"> IF( 'From SvanPC++'!A309= "", "", ('From SvanPC++'!A309))</f>
        <v/>
      </c>
      <c r="E318" s="18"/>
      <c r="I318" s="2"/>
    </row>
    <row r="319" spans="1:9" x14ac:dyDescent="0.3">
      <c r="A319" s="2" t="str">
        <f xml:space="preserve"> IF( 'From SvanPC++'!A310= "", "", ('From SvanPC++'!A310))</f>
        <v/>
      </c>
      <c r="E319" s="18"/>
      <c r="I319" s="2"/>
    </row>
    <row r="320" spans="1:9" x14ac:dyDescent="0.3">
      <c r="A320" s="2" t="str">
        <f xml:space="preserve"> IF( 'From SvanPC++'!A311= "", "", ('From SvanPC++'!A311))</f>
        <v/>
      </c>
      <c r="E320" s="18"/>
      <c r="I320" s="2"/>
    </row>
    <row r="321" spans="1:9" x14ac:dyDescent="0.3">
      <c r="A321" s="2" t="str">
        <f xml:space="preserve"> IF( 'From SvanPC++'!A312= "", "", ('From SvanPC++'!A312))</f>
        <v/>
      </c>
      <c r="E321" s="18"/>
      <c r="I321" s="2"/>
    </row>
    <row r="322" spans="1:9" x14ac:dyDescent="0.3">
      <c r="A322" s="2" t="str">
        <f xml:space="preserve"> IF( 'From SvanPC++'!A313= "", "", ('From SvanPC++'!A313))</f>
        <v/>
      </c>
      <c r="E322" s="18"/>
      <c r="I322" s="2"/>
    </row>
    <row r="323" spans="1:9" x14ac:dyDescent="0.3">
      <c r="A323" s="2" t="str">
        <f xml:space="preserve"> IF( 'From SvanPC++'!A314= "", "", ('From SvanPC++'!A314))</f>
        <v/>
      </c>
      <c r="E323" s="18"/>
      <c r="I323" s="2"/>
    </row>
    <row r="324" spans="1:9" x14ac:dyDescent="0.3">
      <c r="A324" s="2" t="str">
        <f xml:space="preserve"> IF( 'From SvanPC++'!A315= "", "", ('From SvanPC++'!A315))</f>
        <v/>
      </c>
      <c r="E324" s="18"/>
      <c r="I324" s="2"/>
    </row>
    <row r="325" spans="1:9" x14ac:dyDescent="0.3">
      <c r="A325" s="2" t="str">
        <f xml:space="preserve"> IF( 'From SvanPC++'!A316= "", "", ('From SvanPC++'!A316))</f>
        <v/>
      </c>
      <c r="E325" s="18"/>
      <c r="I325" s="2"/>
    </row>
    <row r="326" spans="1:9" x14ac:dyDescent="0.3">
      <c r="A326" s="2" t="str">
        <f xml:space="preserve"> IF( 'From SvanPC++'!A317= "", "", ('From SvanPC++'!A317))</f>
        <v/>
      </c>
      <c r="E326" s="18"/>
      <c r="I326" s="2"/>
    </row>
    <row r="327" spans="1:9" x14ac:dyDescent="0.3">
      <c r="A327" s="2" t="str">
        <f xml:space="preserve"> IF( 'From SvanPC++'!A318= "", "", ('From SvanPC++'!A318))</f>
        <v/>
      </c>
      <c r="E327" s="18"/>
      <c r="I327" s="2"/>
    </row>
    <row r="328" spans="1:9" x14ac:dyDescent="0.3">
      <c r="A328" s="2" t="str">
        <f xml:space="preserve"> IF( 'From SvanPC++'!A319= "", "", ('From SvanPC++'!A319))</f>
        <v/>
      </c>
      <c r="E328" s="18"/>
      <c r="I328" s="2"/>
    </row>
    <row r="329" spans="1:9" x14ac:dyDescent="0.3">
      <c r="A329" s="2" t="str">
        <f xml:space="preserve"> IF( 'From SvanPC++'!A320= "", "", ('From SvanPC++'!A320))</f>
        <v/>
      </c>
      <c r="E329" s="18"/>
      <c r="I329" s="2"/>
    </row>
    <row r="330" spans="1:9" x14ac:dyDescent="0.3">
      <c r="A330" s="2" t="str">
        <f xml:space="preserve"> IF( 'From SvanPC++'!A321= "", "", ('From SvanPC++'!A321))</f>
        <v/>
      </c>
      <c r="E330" s="18"/>
      <c r="I330" s="2"/>
    </row>
    <row r="331" spans="1:9" x14ac:dyDescent="0.3">
      <c r="A331" s="2" t="str">
        <f xml:space="preserve"> IF( 'From SvanPC++'!A322= "", "", ('From SvanPC++'!A322))</f>
        <v/>
      </c>
      <c r="E331" s="18"/>
      <c r="I331" s="2"/>
    </row>
    <row r="332" spans="1:9" x14ac:dyDescent="0.3">
      <c r="A332" s="2" t="str">
        <f xml:space="preserve"> IF( 'From SvanPC++'!A323= "", "", ('From SvanPC++'!A323))</f>
        <v/>
      </c>
      <c r="E332" s="18"/>
      <c r="I332" s="2"/>
    </row>
    <row r="333" spans="1:9" x14ac:dyDescent="0.3">
      <c r="A333" s="2" t="str">
        <f xml:space="preserve"> IF( 'From SvanPC++'!A324= "", "", ('From SvanPC++'!A324))</f>
        <v/>
      </c>
      <c r="E333" s="18"/>
      <c r="I333" s="2"/>
    </row>
    <row r="334" spans="1:9" x14ac:dyDescent="0.3">
      <c r="A334" s="2" t="str">
        <f xml:space="preserve"> IF( 'From SvanPC++'!A325= "", "", ('From SvanPC++'!A325))</f>
        <v/>
      </c>
      <c r="E334" s="18"/>
      <c r="I334" s="2"/>
    </row>
    <row r="335" spans="1:9" x14ac:dyDescent="0.3">
      <c r="A335" s="2" t="str">
        <f xml:space="preserve"> IF( 'From SvanPC++'!A326= "", "", ('From SvanPC++'!A326))</f>
        <v/>
      </c>
      <c r="E335" s="18"/>
      <c r="I335" s="2"/>
    </row>
    <row r="336" spans="1:9" x14ac:dyDescent="0.3">
      <c r="A336" s="2" t="str">
        <f xml:space="preserve"> IF( 'From SvanPC++'!A327= "", "", ('From SvanPC++'!A327))</f>
        <v/>
      </c>
      <c r="E336" s="18"/>
      <c r="I336" s="2"/>
    </row>
    <row r="337" spans="1:9" x14ac:dyDescent="0.3">
      <c r="A337" s="2" t="str">
        <f xml:space="preserve"> IF( 'From SvanPC++'!A328= "", "", ('From SvanPC++'!A328))</f>
        <v/>
      </c>
      <c r="E337" s="18"/>
      <c r="I337" s="2"/>
    </row>
    <row r="338" spans="1:9" x14ac:dyDescent="0.3">
      <c r="A338" s="2" t="str">
        <f xml:space="preserve"> IF( 'From SvanPC++'!A329= "", "", ('From SvanPC++'!A329))</f>
        <v/>
      </c>
      <c r="E338" s="18"/>
      <c r="I338" s="2"/>
    </row>
    <row r="339" spans="1:9" x14ac:dyDescent="0.3">
      <c r="A339" s="2" t="str">
        <f xml:space="preserve"> IF( 'From SvanPC++'!A330= "", "", ('From SvanPC++'!A330))</f>
        <v/>
      </c>
      <c r="E339" s="18"/>
      <c r="I339" s="2"/>
    </row>
    <row r="340" spans="1:9" x14ac:dyDescent="0.3">
      <c r="A340" s="2" t="str">
        <f xml:space="preserve"> IF( 'From SvanPC++'!A331= "", "", ('From SvanPC++'!A331))</f>
        <v/>
      </c>
      <c r="E340" s="18"/>
      <c r="I340" s="2"/>
    </row>
    <row r="341" spans="1:9" x14ac:dyDescent="0.3">
      <c r="A341" s="2" t="str">
        <f xml:space="preserve"> IF( 'From SvanPC++'!A332= "", "", ('From SvanPC++'!A332))</f>
        <v/>
      </c>
      <c r="E341" s="18"/>
      <c r="I341" s="2"/>
    </row>
    <row r="342" spans="1:9" x14ac:dyDescent="0.3">
      <c r="A342" s="2" t="str">
        <f xml:space="preserve"> IF( 'From SvanPC++'!A333= "", "", ('From SvanPC++'!A333))</f>
        <v/>
      </c>
      <c r="E342" s="18"/>
      <c r="I342" s="2"/>
    </row>
    <row r="343" spans="1:9" x14ac:dyDescent="0.3">
      <c r="A343" s="2" t="str">
        <f xml:space="preserve"> IF( 'From SvanPC++'!A334= "", "", ('From SvanPC++'!A334))</f>
        <v/>
      </c>
      <c r="E343" s="18"/>
      <c r="I343" s="2"/>
    </row>
    <row r="344" spans="1:9" x14ac:dyDescent="0.3">
      <c r="A344" s="2" t="str">
        <f xml:space="preserve"> IF( 'From SvanPC++'!A335= "", "", ('From SvanPC++'!A335))</f>
        <v/>
      </c>
      <c r="E344" s="18"/>
      <c r="I344" s="2"/>
    </row>
    <row r="345" spans="1:9" x14ac:dyDescent="0.3">
      <c r="A345" s="2" t="str">
        <f xml:space="preserve"> IF( 'From SvanPC++'!A336= "", "", ('From SvanPC++'!A336))</f>
        <v/>
      </c>
      <c r="E345" s="18"/>
      <c r="I345" s="2"/>
    </row>
    <row r="346" spans="1:9" x14ac:dyDescent="0.3">
      <c r="A346" s="2" t="str">
        <f xml:space="preserve"> IF( 'From SvanPC++'!A337= "", "", ('From SvanPC++'!A337))</f>
        <v/>
      </c>
      <c r="E346" s="18"/>
      <c r="I346" s="2"/>
    </row>
    <row r="347" spans="1:9" x14ac:dyDescent="0.3">
      <c r="A347" s="2" t="str">
        <f xml:space="preserve"> IF( 'From SvanPC++'!A338= "", "", ('From SvanPC++'!A338))</f>
        <v/>
      </c>
      <c r="E347" s="18"/>
      <c r="I347" s="2"/>
    </row>
    <row r="348" spans="1:9" x14ac:dyDescent="0.3">
      <c r="A348" s="2" t="str">
        <f xml:space="preserve"> IF( 'From SvanPC++'!A339= "", "", ('From SvanPC++'!A339))</f>
        <v/>
      </c>
      <c r="E348" s="18"/>
      <c r="I348" s="2"/>
    </row>
    <row r="349" spans="1:9" x14ac:dyDescent="0.3">
      <c r="A349" s="2" t="str">
        <f xml:space="preserve"> IF( 'From SvanPC++'!A340= "", "", ('From SvanPC++'!A340))</f>
        <v/>
      </c>
      <c r="E349" s="18"/>
      <c r="I349" s="2"/>
    </row>
    <row r="350" spans="1:9" x14ac:dyDescent="0.3">
      <c r="A350" s="2" t="str">
        <f xml:space="preserve"> IF( 'From SvanPC++'!A341= "", "", ('From SvanPC++'!A341))</f>
        <v/>
      </c>
      <c r="E350" s="18"/>
      <c r="I350" s="2"/>
    </row>
    <row r="351" spans="1:9" x14ac:dyDescent="0.3">
      <c r="A351" s="2" t="str">
        <f xml:space="preserve"> IF( 'From SvanPC++'!A342= "", "", ('From SvanPC++'!A342))</f>
        <v/>
      </c>
      <c r="E351" s="18"/>
      <c r="I351" s="2"/>
    </row>
    <row r="352" spans="1:9" x14ac:dyDescent="0.3">
      <c r="A352" s="2" t="str">
        <f xml:space="preserve"> IF( 'From SvanPC++'!A343= "", "", ('From SvanPC++'!A343))</f>
        <v/>
      </c>
      <c r="E352" s="18"/>
      <c r="I352" s="2"/>
    </row>
    <row r="353" spans="1:9" x14ac:dyDescent="0.3">
      <c r="A353" s="2" t="str">
        <f xml:space="preserve"> IF( 'From SvanPC++'!A344= "", "", ('From SvanPC++'!A344))</f>
        <v/>
      </c>
      <c r="E353" s="18"/>
      <c r="I353" s="2"/>
    </row>
    <row r="354" spans="1:9" x14ac:dyDescent="0.3">
      <c r="A354" s="2" t="str">
        <f xml:space="preserve"> IF( 'From SvanPC++'!A345= "", "", ('From SvanPC++'!A345))</f>
        <v/>
      </c>
      <c r="E354" s="18"/>
      <c r="I354" s="2"/>
    </row>
    <row r="355" spans="1:9" x14ac:dyDescent="0.3">
      <c r="A355" s="2" t="str">
        <f xml:space="preserve"> IF( 'From SvanPC++'!A346= "", "", ('From SvanPC++'!A346))</f>
        <v/>
      </c>
      <c r="E355" s="18"/>
      <c r="I355" s="2"/>
    </row>
    <row r="356" spans="1:9" x14ac:dyDescent="0.3">
      <c r="A356" s="2" t="str">
        <f xml:space="preserve"> IF( 'From SvanPC++'!A347= "", "", ('From SvanPC++'!A347))</f>
        <v/>
      </c>
      <c r="E356" s="18"/>
      <c r="I356" s="2"/>
    </row>
    <row r="357" spans="1:9" x14ac:dyDescent="0.3">
      <c r="A357" s="2" t="str">
        <f xml:space="preserve"> IF( 'From SvanPC++'!A348= "", "", ('From SvanPC++'!A348))</f>
        <v/>
      </c>
      <c r="E357" s="18"/>
      <c r="I357" s="2"/>
    </row>
    <row r="358" spans="1:9" x14ac:dyDescent="0.3">
      <c r="A358" s="2" t="str">
        <f xml:space="preserve"> IF( 'From SvanPC++'!A349= "", "", ('From SvanPC++'!A349))</f>
        <v/>
      </c>
      <c r="E358" s="18"/>
      <c r="I358" s="2"/>
    </row>
    <row r="359" spans="1:9" x14ac:dyDescent="0.3">
      <c r="A359" s="2" t="str">
        <f xml:space="preserve"> IF( 'From SvanPC++'!A350= "", "", ('From SvanPC++'!A350))</f>
        <v/>
      </c>
      <c r="E359" s="18"/>
      <c r="I359" s="2"/>
    </row>
    <row r="360" spans="1:9" x14ac:dyDescent="0.3">
      <c r="A360" s="2" t="str">
        <f xml:space="preserve"> IF( 'From SvanPC++'!A351= "", "", ('From SvanPC++'!A351))</f>
        <v/>
      </c>
      <c r="E360" s="18"/>
      <c r="I360" s="2"/>
    </row>
    <row r="361" spans="1:9" x14ac:dyDescent="0.3">
      <c r="A361" s="2" t="str">
        <f xml:space="preserve"> IF( 'From SvanPC++'!A352= "", "", ('From SvanPC++'!A352))</f>
        <v/>
      </c>
      <c r="E361" s="18"/>
      <c r="I361" s="2"/>
    </row>
    <row r="362" spans="1:9" x14ac:dyDescent="0.3">
      <c r="A362" s="2" t="str">
        <f xml:space="preserve"> IF( 'From SvanPC++'!A353= "", "", ('From SvanPC++'!A353))</f>
        <v/>
      </c>
      <c r="E362" s="18"/>
      <c r="I362" s="2"/>
    </row>
    <row r="363" spans="1:9" x14ac:dyDescent="0.3">
      <c r="A363" s="2" t="str">
        <f xml:space="preserve"> IF( 'From SvanPC++'!A354= "", "", ('From SvanPC++'!A354))</f>
        <v/>
      </c>
      <c r="E363" s="18"/>
      <c r="I363" s="2"/>
    </row>
    <row r="364" spans="1:9" x14ac:dyDescent="0.3">
      <c r="A364" s="2" t="str">
        <f xml:space="preserve"> IF( 'From SvanPC++'!A355= "", "", ('From SvanPC++'!A355))</f>
        <v/>
      </c>
      <c r="E364" s="18"/>
      <c r="I364" s="2"/>
    </row>
    <row r="365" spans="1:9" x14ac:dyDescent="0.3">
      <c r="A365" s="2" t="str">
        <f xml:space="preserve"> IF( 'From SvanPC++'!A356= "", "", ('From SvanPC++'!A356))</f>
        <v/>
      </c>
      <c r="E365" s="18"/>
      <c r="I365" s="2"/>
    </row>
    <row r="366" spans="1:9" x14ac:dyDescent="0.3">
      <c r="A366" s="2" t="str">
        <f xml:space="preserve"> IF( 'From SvanPC++'!A357= "", "", ('From SvanPC++'!A357))</f>
        <v/>
      </c>
      <c r="E366" s="18"/>
      <c r="I366" s="2"/>
    </row>
    <row r="367" spans="1:9" x14ac:dyDescent="0.3">
      <c r="A367" s="2" t="str">
        <f xml:space="preserve"> IF( 'From SvanPC++'!A358= "", "", ('From SvanPC++'!A358))</f>
        <v/>
      </c>
      <c r="E367" s="18"/>
      <c r="I367" s="2"/>
    </row>
    <row r="368" spans="1:9" x14ac:dyDescent="0.3">
      <c r="A368" s="2" t="str">
        <f xml:space="preserve"> IF( 'From SvanPC++'!A359= "", "", ('From SvanPC++'!A359))</f>
        <v/>
      </c>
      <c r="E368" s="18"/>
      <c r="I368" s="2"/>
    </row>
    <row r="369" spans="1:9" x14ac:dyDescent="0.3">
      <c r="A369" s="2" t="str">
        <f xml:space="preserve"> IF( 'From SvanPC++'!A360= "", "", ('From SvanPC++'!A360))</f>
        <v/>
      </c>
      <c r="E369" s="18"/>
      <c r="I369" s="2"/>
    </row>
    <row r="370" spans="1:9" x14ac:dyDescent="0.3">
      <c r="A370" s="2" t="str">
        <f xml:space="preserve"> IF( 'From SvanPC++'!A361= "", "", ('From SvanPC++'!A361))</f>
        <v/>
      </c>
      <c r="E370" s="18"/>
      <c r="I370" s="2"/>
    </row>
    <row r="371" spans="1:9" x14ac:dyDescent="0.3">
      <c r="A371" s="2" t="str">
        <f xml:space="preserve"> IF( 'From SvanPC++'!A362= "", "", ('From SvanPC++'!A362))</f>
        <v/>
      </c>
      <c r="E371" s="18"/>
      <c r="I371" s="2"/>
    </row>
    <row r="372" spans="1:9" x14ac:dyDescent="0.3">
      <c r="A372" s="2" t="str">
        <f xml:space="preserve"> IF( 'From SvanPC++'!A363= "", "", ('From SvanPC++'!A363))</f>
        <v/>
      </c>
      <c r="E372" s="18"/>
      <c r="I372" s="2"/>
    </row>
    <row r="373" spans="1:9" x14ac:dyDescent="0.3">
      <c r="A373" s="2" t="str">
        <f xml:space="preserve"> IF( 'From SvanPC++'!A364= "", "", ('From SvanPC++'!A364))</f>
        <v/>
      </c>
      <c r="E373" s="18"/>
      <c r="I373" s="2"/>
    </row>
    <row r="374" spans="1:9" x14ac:dyDescent="0.3">
      <c r="A374" s="2" t="str">
        <f xml:space="preserve"> IF( 'From SvanPC++'!A365= "", "", ('From SvanPC++'!A365))</f>
        <v/>
      </c>
      <c r="E374" s="18"/>
      <c r="I374" s="2"/>
    </row>
    <row r="375" spans="1:9" x14ac:dyDescent="0.3">
      <c r="A375" s="2" t="str">
        <f xml:space="preserve"> IF( 'From SvanPC++'!A366= "", "", ('From SvanPC++'!A366))</f>
        <v/>
      </c>
      <c r="E375" s="18"/>
      <c r="I375" s="2"/>
    </row>
    <row r="376" spans="1:9" x14ac:dyDescent="0.3">
      <c r="A376" s="2" t="str">
        <f xml:space="preserve"> IF( 'From SvanPC++'!A367= "", "", ('From SvanPC++'!A367))</f>
        <v/>
      </c>
      <c r="E376" s="18"/>
      <c r="I376" s="2"/>
    </row>
    <row r="377" spans="1:9" x14ac:dyDescent="0.3">
      <c r="A377" s="2" t="str">
        <f xml:space="preserve"> IF( 'From SvanPC++'!A368= "", "", ('From SvanPC++'!A368))</f>
        <v/>
      </c>
      <c r="E377" s="18"/>
      <c r="I377" s="2"/>
    </row>
    <row r="378" spans="1:9" x14ac:dyDescent="0.3">
      <c r="A378" s="2" t="str">
        <f xml:space="preserve"> IF( 'From SvanPC++'!A369= "", "", ('From SvanPC++'!A369))</f>
        <v/>
      </c>
      <c r="E378" s="18"/>
      <c r="I378" s="2"/>
    </row>
    <row r="379" spans="1:9" x14ac:dyDescent="0.3">
      <c r="A379" s="2" t="str">
        <f xml:space="preserve"> IF( 'From SvanPC++'!A370= "", "", ('From SvanPC++'!A370))</f>
        <v/>
      </c>
      <c r="E379" s="18"/>
      <c r="I379" s="2"/>
    </row>
    <row r="380" spans="1:9" x14ac:dyDescent="0.3">
      <c r="A380" s="2" t="str">
        <f xml:space="preserve"> IF( 'From SvanPC++'!A371= "", "", ('From SvanPC++'!A371))</f>
        <v/>
      </c>
      <c r="E380" s="18"/>
      <c r="I380" s="2"/>
    </row>
    <row r="381" spans="1:9" x14ac:dyDescent="0.3">
      <c r="A381" s="2" t="str">
        <f xml:space="preserve"> IF( 'From SvanPC++'!A372= "", "", ('From SvanPC++'!A372))</f>
        <v/>
      </c>
      <c r="E381" s="18"/>
      <c r="I381" s="2"/>
    </row>
    <row r="382" spans="1:9" x14ac:dyDescent="0.3">
      <c r="A382" s="2" t="str">
        <f xml:space="preserve"> IF( 'From SvanPC++'!A373= "", "", ('From SvanPC++'!A373))</f>
        <v/>
      </c>
      <c r="E382" s="18"/>
      <c r="I382" s="2"/>
    </row>
    <row r="383" spans="1:9" x14ac:dyDescent="0.3">
      <c r="A383" s="2" t="str">
        <f xml:space="preserve"> IF( 'From SvanPC++'!A374= "", "", ('From SvanPC++'!A374))</f>
        <v/>
      </c>
      <c r="E383" s="18"/>
      <c r="I383" s="2"/>
    </row>
    <row r="384" spans="1:9" x14ac:dyDescent="0.3">
      <c r="A384" s="2" t="str">
        <f xml:space="preserve"> IF( 'From SvanPC++'!A375= "", "", ('From SvanPC++'!A375))</f>
        <v/>
      </c>
      <c r="E384" s="18"/>
      <c r="I384" s="2"/>
    </row>
    <row r="385" spans="1:9" x14ac:dyDescent="0.3">
      <c r="A385" s="2" t="str">
        <f xml:space="preserve"> IF( 'From SvanPC++'!A376= "", "", ('From SvanPC++'!A376))</f>
        <v/>
      </c>
      <c r="E385" s="18"/>
      <c r="I385" s="2"/>
    </row>
    <row r="386" spans="1:9" x14ac:dyDescent="0.3">
      <c r="A386" s="2" t="str">
        <f xml:space="preserve"> IF( 'From SvanPC++'!A377= "", "", ('From SvanPC++'!A377))</f>
        <v/>
      </c>
      <c r="E386" s="18"/>
      <c r="I386" s="2"/>
    </row>
    <row r="387" spans="1:9" x14ac:dyDescent="0.3">
      <c r="A387" s="2" t="str">
        <f xml:space="preserve"> IF( 'From SvanPC++'!A378= "", "", ('From SvanPC++'!A378))</f>
        <v/>
      </c>
      <c r="E387" s="18"/>
      <c r="I387" s="2"/>
    </row>
    <row r="388" spans="1:9" x14ac:dyDescent="0.3">
      <c r="A388" s="2" t="str">
        <f xml:space="preserve"> IF( 'From SvanPC++'!A379= "", "", ('From SvanPC++'!A379))</f>
        <v/>
      </c>
      <c r="E388" s="18"/>
      <c r="I388" s="2"/>
    </row>
    <row r="389" spans="1:9" x14ac:dyDescent="0.3">
      <c r="A389" s="2" t="str">
        <f xml:space="preserve"> IF( 'From SvanPC++'!A380= "", "", ('From SvanPC++'!A380))</f>
        <v/>
      </c>
      <c r="E389" s="18"/>
      <c r="I389" s="2"/>
    </row>
    <row r="390" spans="1:9" x14ac:dyDescent="0.3">
      <c r="A390" s="2" t="str">
        <f xml:space="preserve"> IF( 'From SvanPC++'!A381= "", "", ('From SvanPC++'!A381))</f>
        <v/>
      </c>
      <c r="E390" s="18"/>
      <c r="I390" s="2"/>
    </row>
    <row r="391" spans="1:9" x14ac:dyDescent="0.3">
      <c r="A391" s="2" t="str">
        <f xml:space="preserve"> IF( 'From SvanPC++'!A382= "", "", ('From SvanPC++'!A382))</f>
        <v/>
      </c>
      <c r="E391" s="18"/>
      <c r="I391" s="2"/>
    </row>
    <row r="392" spans="1:9" x14ac:dyDescent="0.3">
      <c r="A392" s="2" t="str">
        <f xml:space="preserve"> IF( 'From SvanPC++'!A383= "", "", ('From SvanPC++'!A383))</f>
        <v/>
      </c>
      <c r="E392" s="18"/>
      <c r="I392" s="2"/>
    </row>
    <row r="393" spans="1:9" x14ac:dyDescent="0.3">
      <c r="A393" s="2" t="str">
        <f xml:space="preserve"> IF( 'From SvanPC++'!A384= "", "", ('From SvanPC++'!A384))</f>
        <v/>
      </c>
      <c r="E393" s="18"/>
      <c r="I393" s="2"/>
    </row>
    <row r="394" spans="1:9" x14ac:dyDescent="0.3">
      <c r="A394" s="2" t="str">
        <f xml:space="preserve"> IF( 'From SvanPC++'!A385= "", "", ('From SvanPC++'!A385))</f>
        <v/>
      </c>
      <c r="E394" s="18"/>
      <c r="I394" s="2"/>
    </row>
    <row r="395" spans="1:9" x14ac:dyDescent="0.3">
      <c r="A395" s="2" t="str">
        <f xml:space="preserve"> IF( 'From SvanPC++'!A386= "", "", ('From SvanPC++'!A386))</f>
        <v/>
      </c>
      <c r="E395" s="18"/>
      <c r="I395" s="2"/>
    </row>
    <row r="396" spans="1:9" x14ac:dyDescent="0.3">
      <c r="A396" s="2" t="str">
        <f xml:space="preserve"> IF( 'From SvanPC++'!A387= "", "", ('From SvanPC++'!A387))</f>
        <v/>
      </c>
      <c r="E396" s="18"/>
      <c r="I396" s="2"/>
    </row>
    <row r="397" spans="1:9" x14ac:dyDescent="0.3">
      <c r="A397" s="2" t="str">
        <f xml:space="preserve"> IF( 'From SvanPC++'!A388= "", "", ('From SvanPC++'!A388))</f>
        <v/>
      </c>
      <c r="E397" s="18"/>
      <c r="I397" s="2"/>
    </row>
    <row r="398" spans="1:9" x14ac:dyDescent="0.3">
      <c r="A398" s="2" t="str">
        <f xml:space="preserve"> IF( 'From SvanPC++'!A389= "", "", ('From SvanPC++'!A389))</f>
        <v/>
      </c>
      <c r="E398" s="18"/>
      <c r="I398" s="2"/>
    </row>
    <row r="399" spans="1:9" x14ac:dyDescent="0.3">
      <c r="A399" s="2" t="str">
        <f xml:space="preserve"> IF( 'From SvanPC++'!A390= "", "", ('From SvanPC++'!A390))</f>
        <v/>
      </c>
      <c r="E399" s="18"/>
      <c r="I399" s="2"/>
    </row>
    <row r="400" spans="1:9" x14ac:dyDescent="0.3">
      <c r="A400" s="2" t="str">
        <f xml:space="preserve"> IF( 'From SvanPC++'!A391= "", "", ('From SvanPC++'!A391))</f>
        <v/>
      </c>
      <c r="E400" s="18"/>
      <c r="I400" s="2"/>
    </row>
    <row r="401" spans="1:9" x14ac:dyDescent="0.3">
      <c r="A401" s="2" t="str">
        <f xml:space="preserve"> IF( 'From SvanPC++'!A392= "", "", ('From SvanPC++'!A392))</f>
        <v/>
      </c>
      <c r="E401" s="18"/>
      <c r="I401" s="2"/>
    </row>
    <row r="402" spans="1:9" x14ac:dyDescent="0.3">
      <c r="A402" s="2" t="str">
        <f xml:space="preserve"> IF( 'From SvanPC++'!A393= "", "", ('From SvanPC++'!A393))</f>
        <v/>
      </c>
      <c r="E402" s="18"/>
      <c r="I402" s="2"/>
    </row>
    <row r="403" spans="1:9" x14ac:dyDescent="0.3">
      <c r="A403" s="2" t="str">
        <f xml:space="preserve"> IF( 'From SvanPC++'!A394= "", "", ('From SvanPC++'!A394))</f>
        <v/>
      </c>
      <c r="E403" s="18"/>
      <c r="I403" s="2"/>
    </row>
    <row r="404" spans="1:9" x14ac:dyDescent="0.3">
      <c r="A404" s="2" t="str">
        <f xml:space="preserve"> IF( 'From SvanPC++'!A395= "", "", ('From SvanPC++'!A395))</f>
        <v/>
      </c>
      <c r="E404" s="18"/>
      <c r="I404" s="2"/>
    </row>
    <row r="405" spans="1:9" x14ac:dyDescent="0.3">
      <c r="A405" s="2" t="str">
        <f xml:space="preserve"> IF( 'From SvanPC++'!A396= "", "", ('From SvanPC++'!A396))</f>
        <v/>
      </c>
      <c r="E405" s="18"/>
      <c r="I405" s="2"/>
    </row>
    <row r="406" spans="1:9" x14ac:dyDescent="0.3">
      <c r="A406" s="2" t="str">
        <f xml:space="preserve"> IF( 'From SvanPC++'!A397= "", "", ('From SvanPC++'!A397))</f>
        <v/>
      </c>
      <c r="E406" s="18"/>
      <c r="I406" s="2"/>
    </row>
    <row r="407" spans="1:9" x14ac:dyDescent="0.3">
      <c r="A407" s="2" t="str">
        <f xml:space="preserve"> IF( 'From SvanPC++'!A398= "", "", ('From SvanPC++'!A398))</f>
        <v/>
      </c>
      <c r="E407" s="18"/>
      <c r="I407" s="2"/>
    </row>
    <row r="408" spans="1:9" x14ac:dyDescent="0.3">
      <c r="A408" s="2" t="str">
        <f xml:space="preserve"> IF( 'From SvanPC++'!A399= "", "", ('From SvanPC++'!A399))</f>
        <v/>
      </c>
      <c r="E408" s="18"/>
      <c r="I408" s="2"/>
    </row>
    <row r="409" spans="1:9" x14ac:dyDescent="0.3">
      <c r="A409" s="2" t="str">
        <f xml:space="preserve"> IF( 'From SvanPC++'!A400= "", "", ('From SvanPC++'!A400))</f>
        <v/>
      </c>
      <c r="E409" s="18"/>
      <c r="I409" s="2"/>
    </row>
    <row r="410" spans="1:9" x14ac:dyDescent="0.3">
      <c r="A410" s="2" t="str">
        <f xml:space="preserve"> IF( 'From SvanPC++'!A401= "", "", ('From SvanPC++'!A401))</f>
        <v/>
      </c>
      <c r="E410" s="18"/>
      <c r="I410" s="2"/>
    </row>
    <row r="411" spans="1:9" x14ac:dyDescent="0.3">
      <c r="A411" s="2" t="str">
        <f xml:space="preserve"> IF( 'From SvanPC++'!A402= "", "", ('From SvanPC++'!A402))</f>
        <v/>
      </c>
      <c r="E411" s="18"/>
      <c r="I411" s="2"/>
    </row>
    <row r="412" spans="1:9" x14ac:dyDescent="0.3">
      <c r="A412" s="2" t="str">
        <f xml:space="preserve"> IF( 'From SvanPC++'!A403= "", "", ('From SvanPC++'!A403))</f>
        <v/>
      </c>
      <c r="E412" s="18"/>
      <c r="I412" s="2"/>
    </row>
    <row r="413" spans="1:9" x14ac:dyDescent="0.3">
      <c r="A413" s="2" t="str">
        <f xml:space="preserve"> IF( 'From SvanPC++'!A404= "", "", ('From SvanPC++'!A404))</f>
        <v/>
      </c>
      <c r="E413" s="18"/>
      <c r="I413" s="2"/>
    </row>
    <row r="414" spans="1:9" x14ac:dyDescent="0.3">
      <c r="A414" s="2" t="str">
        <f xml:space="preserve"> IF( 'From SvanPC++'!A405= "", "", ('From SvanPC++'!A405))</f>
        <v/>
      </c>
      <c r="E414" s="18"/>
      <c r="I414" s="2"/>
    </row>
    <row r="415" spans="1:9" x14ac:dyDescent="0.3">
      <c r="A415" s="2" t="str">
        <f xml:space="preserve"> IF( 'From SvanPC++'!A406= "", "", ('From SvanPC++'!A406))</f>
        <v/>
      </c>
      <c r="E415" s="18"/>
      <c r="I415" s="2"/>
    </row>
    <row r="416" spans="1:9" x14ac:dyDescent="0.3">
      <c r="A416" s="2" t="str">
        <f xml:space="preserve"> IF( 'From SvanPC++'!A407= "", "", ('From SvanPC++'!A407))</f>
        <v/>
      </c>
      <c r="E416" s="18"/>
      <c r="I416" s="2"/>
    </row>
    <row r="417" spans="1:9" x14ac:dyDescent="0.3">
      <c r="A417" s="2" t="str">
        <f xml:space="preserve"> IF( 'From SvanPC++'!A408= "", "", ('From SvanPC++'!A408))</f>
        <v/>
      </c>
      <c r="E417" s="18"/>
      <c r="I417" s="2"/>
    </row>
    <row r="418" spans="1:9" x14ac:dyDescent="0.3">
      <c r="A418" s="2" t="str">
        <f xml:space="preserve"> IF( 'From SvanPC++'!A409= "", "", ('From SvanPC++'!A409))</f>
        <v/>
      </c>
      <c r="E418" s="18"/>
      <c r="I418" s="2"/>
    </row>
    <row r="419" spans="1:9" x14ac:dyDescent="0.3">
      <c r="A419" s="2" t="str">
        <f xml:space="preserve"> IF( 'From SvanPC++'!A410= "", "", ('From SvanPC++'!A410))</f>
        <v/>
      </c>
      <c r="E419" s="18"/>
      <c r="I419" s="2"/>
    </row>
    <row r="420" spans="1:9" x14ac:dyDescent="0.3">
      <c r="A420" s="2" t="str">
        <f xml:space="preserve"> IF( 'From SvanPC++'!A411= "", "", ('From SvanPC++'!A411))</f>
        <v/>
      </c>
      <c r="E420" s="18"/>
      <c r="I420" s="2"/>
    </row>
    <row r="421" spans="1:9" x14ac:dyDescent="0.3">
      <c r="A421" s="2" t="str">
        <f xml:space="preserve"> IF( 'From SvanPC++'!A412= "", "", ('From SvanPC++'!A412))</f>
        <v/>
      </c>
      <c r="E421" s="18"/>
      <c r="I421" s="2"/>
    </row>
    <row r="422" spans="1:9" x14ac:dyDescent="0.3">
      <c r="A422" s="2" t="str">
        <f xml:space="preserve"> IF( 'From SvanPC++'!A413= "", "", ('From SvanPC++'!A413))</f>
        <v/>
      </c>
      <c r="E422" s="18"/>
      <c r="I422" s="2"/>
    </row>
    <row r="423" spans="1:9" x14ac:dyDescent="0.3">
      <c r="A423" s="2" t="str">
        <f xml:space="preserve"> IF( 'From SvanPC++'!A414= "", "", ('From SvanPC++'!A414))</f>
        <v/>
      </c>
      <c r="E423" s="18"/>
      <c r="I423" s="2"/>
    </row>
    <row r="424" spans="1:9" x14ac:dyDescent="0.3">
      <c r="A424" s="2" t="str">
        <f xml:space="preserve"> IF( 'From SvanPC++'!A415= "", "", ('From SvanPC++'!A415))</f>
        <v/>
      </c>
      <c r="E424" s="18"/>
      <c r="I424" s="2"/>
    </row>
    <row r="425" spans="1:9" x14ac:dyDescent="0.3">
      <c r="A425" s="2" t="str">
        <f xml:space="preserve"> IF( 'From SvanPC++'!A416= "", "", ('From SvanPC++'!A416))</f>
        <v/>
      </c>
      <c r="E425" s="18"/>
      <c r="I425" s="2"/>
    </row>
    <row r="426" spans="1:9" x14ac:dyDescent="0.3">
      <c r="A426" s="2" t="str">
        <f xml:space="preserve"> IF( 'From SvanPC++'!A417= "", "", ('From SvanPC++'!A417))</f>
        <v/>
      </c>
      <c r="E426" s="18"/>
      <c r="I426" s="2"/>
    </row>
    <row r="427" spans="1:9" x14ac:dyDescent="0.3">
      <c r="A427" s="2" t="str">
        <f xml:space="preserve"> IF( 'From SvanPC++'!A418= "", "", ('From SvanPC++'!A418))</f>
        <v/>
      </c>
      <c r="E427" s="18"/>
      <c r="I427" s="2"/>
    </row>
    <row r="428" spans="1:9" x14ac:dyDescent="0.3">
      <c r="A428" s="2" t="str">
        <f xml:space="preserve"> IF( 'From SvanPC++'!A419= "", "", ('From SvanPC++'!A419))</f>
        <v/>
      </c>
      <c r="E428" s="18"/>
      <c r="I428" s="2"/>
    </row>
    <row r="429" spans="1:9" x14ac:dyDescent="0.3">
      <c r="A429" s="2" t="str">
        <f xml:space="preserve"> IF( 'From SvanPC++'!A420= "", "", ('From SvanPC++'!A420))</f>
        <v/>
      </c>
      <c r="E429" s="18"/>
      <c r="I429" s="2"/>
    </row>
    <row r="430" spans="1:9" x14ac:dyDescent="0.3">
      <c r="A430" s="2" t="str">
        <f xml:space="preserve"> IF( 'From SvanPC++'!A421= "", "", ('From SvanPC++'!A421))</f>
        <v/>
      </c>
      <c r="E430" s="18"/>
      <c r="I430" s="2"/>
    </row>
    <row r="431" spans="1:9" x14ac:dyDescent="0.3">
      <c r="A431" s="2" t="str">
        <f xml:space="preserve"> IF( 'From SvanPC++'!A422= "", "", ('From SvanPC++'!A422))</f>
        <v/>
      </c>
      <c r="E431" s="18"/>
      <c r="I431" s="2"/>
    </row>
    <row r="432" spans="1:9" x14ac:dyDescent="0.3">
      <c r="A432" s="2" t="str">
        <f xml:space="preserve"> IF( 'From SvanPC++'!A423= "", "", ('From SvanPC++'!A423))</f>
        <v/>
      </c>
      <c r="E432" s="18"/>
      <c r="I432" s="2"/>
    </row>
    <row r="433" spans="1:9" x14ac:dyDescent="0.3">
      <c r="A433" s="2" t="str">
        <f xml:space="preserve"> IF( 'From SvanPC++'!A424= "", "", ('From SvanPC++'!A424))</f>
        <v/>
      </c>
      <c r="E433" s="18"/>
      <c r="I433" s="2"/>
    </row>
    <row r="434" spans="1:9" x14ac:dyDescent="0.3">
      <c r="A434" s="2" t="str">
        <f xml:space="preserve"> IF( 'From SvanPC++'!A425= "", "", ('From SvanPC++'!A425))</f>
        <v/>
      </c>
      <c r="E434" s="18"/>
      <c r="I434" s="2"/>
    </row>
    <row r="435" spans="1:9" x14ac:dyDescent="0.3">
      <c r="A435" s="2" t="str">
        <f xml:space="preserve"> IF( 'From SvanPC++'!A426= "", "", ('From SvanPC++'!A426))</f>
        <v/>
      </c>
      <c r="E435" s="18"/>
      <c r="I435" s="2"/>
    </row>
    <row r="436" spans="1:9" x14ac:dyDescent="0.3">
      <c r="A436" s="2" t="str">
        <f xml:space="preserve"> IF( 'From SvanPC++'!A427= "", "", ('From SvanPC++'!A427))</f>
        <v/>
      </c>
      <c r="E436" s="18"/>
      <c r="I436" s="2"/>
    </row>
    <row r="437" spans="1:9" x14ac:dyDescent="0.3">
      <c r="A437" s="2" t="str">
        <f xml:space="preserve"> IF( 'From SvanPC++'!A428= "", "", ('From SvanPC++'!A428))</f>
        <v/>
      </c>
      <c r="E437" s="18"/>
      <c r="I437" s="2"/>
    </row>
    <row r="438" spans="1:9" x14ac:dyDescent="0.3">
      <c r="A438" s="2" t="str">
        <f xml:space="preserve"> IF( 'From SvanPC++'!A429= "", "", ('From SvanPC++'!A429))</f>
        <v/>
      </c>
      <c r="E438" s="18"/>
      <c r="I438" s="2"/>
    </row>
    <row r="439" spans="1:9" x14ac:dyDescent="0.3">
      <c r="A439" s="2" t="str">
        <f xml:space="preserve"> IF( 'From SvanPC++'!A430= "", "", ('From SvanPC++'!A430))</f>
        <v/>
      </c>
      <c r="E439" s="18"/>
      <c r="I439" s="2"/>
    </row>
    <row r="440" spans="1:9" x14ac:dyDescent="0.3">
      <c r="A440" s="2" t="str">
        <f xml:space="preserve"> IF( 'From SvanPC++'!A431= "", "", ('From SvanPC++'!A431))</f>
        <v/>
      </c>
      <c r="E440" s="18"/>
      <c r="I440" s="2"/>
    </row>
    <row r="441" spans="1:9" x14ac:dyDescent="0.3">
      <c r="A441" s="2" t="str">
        <f xml:space="preserve"> IF( 'From SvanPC++'!A432= "", "", ('From SvanPC++'!A432))</f>
        <v/>
      </c>
      <c r="E441" s="18"/>
      <c r="I441" s="2"/>
    </row>
    <row r="442" spans="1:9" x14ac:dyDescent="0.3">
      <c r="A442" s="2" t="str">
        <f xml:space="preserve"> IF( 'From SvanPC++'!A433= "", "", ('From SvanPC++'!A433))</f>
        <v/>
      </c>
      <c r="E442" s="18"/>
      <c r="I442" s="2"/>
    </row>
    <row r="443" spans="1:9" x14ac:dyDescent="0.3">
      <c r="A443" s="2" t="str">
        <f xml:space="preserve"> IF( 'From SvanPC++'!A434= "", "", ('From SvanPC++'!A434))</f>
        <v/>
      </c>
      <c r="E443" s="18"/>
      <c r="I443" s="2"/>
    </row>
    <row r="444" spans="1:9" x14ac:dyDescent="0.3">
      <c r="A444" s="2" t="str">
        <f xml:space="preserve"> IF( 'From SvanPC++'!A435= "", "", ('From SvanPC++'!A435))</f>
        <v/>
      </c>
      <c r="E444" s="18"/>
      <c r="I444" s="2"/>
    </row>
    <row r="445" spans="1:9" x14ac:dyDescent="0.3">
      <c r="A445" s="2" t="str">
        <f xml:space="preserve"> IF( 'From SvanPC++'!A436= "", "", ('From SvanPC++'!A436))</f>
        <v/>
      </c>
      <c r="E445" s="18"/>
      <c r="I445" s="2"/>
    </row>
    <row r="446" spans="1:9" x14ac:dyDescent="0.3">
      <c r="A446" s="2" t="str">
        <f xml:space="preserve"> IF( 'From SvanPC++'!A437= "", "", ('From SvanPC++'!A437))</f>
        <v/>
      </c>
      <c r="E446" s="18"/>
      <c r="I446" s="2"/>
    </row>
    <row r="447" spans="1:9" x14ac:dyDescent="0.3">
      <c r="A447" s="2" t="str">
        <f xml:space="preserve"> IF( 'From SvanPC++'!A438= "", "", ('From SvanPC++'!A438))</f>
        <v/>
      </c>
      <c r="E447" s="18"/>
      <c r="I447" s="2"/>
    </row>
    <row r="448" spans="1:9" x14ac:dyDescent="0.3">
      <c r="A448" s="2" t="str">
        <f xml:space="preserve"> IF( 'From SvanPC++'!A439= "", "", ('From SvanPC++'!A439))</f>
        <v/>
      </c>
      <c r="E448" s="18"/>
      <c r="I448" s="2"/>
    </row>
    <row r="449" spans="1:9" x14ac:dyDescent="0.3">
      <c r="A449" s="2" t="str">
        <f xml:space="preserve"> IF( 'From SvanPC++'!A440= "", "", ('From SvanPC++'!A440))</f>
        <v/>
      </c>
      <c r="E449" s="18"/>
      <c r="I449" s="2"/>
    </row>
    <row r="450" spans="1:9" x14ac:dyDescent="0.3">
      <c r="A450" s="2" t="str">
        <f xml:space="preserve"> IF( 'From SvanPC++'!A441= "", "", ('From SvanPC++'!A441))</f>
        <v/>
      </c>
      <c r="E450" s="18"/>
      <c r="I450" s="2"/>
    </row>
    <row r="451" spans="1:9" x14ac:dyDescent="0.3">
      <c r="A451" s="2" t="str">
        <f xml:space="preserve"> IF( 'From SvanPC++'!A442= "", "", ('From SvanPC++'!A442))</f>
        <v/>
      </c>
      <c r="E451" s="18"/>
      <c r="I451" s="2"/>
    </row>
    <row r="452" spans="1:9" x14ac:dyDescent="0.3">
      <c r="A452" s="2" t="str">
        <f xml:space="preserve"> IF( 'From SvanPC++'!A443= "", "", ('From SvanPC++'!A443))</f>
        <v/>
      </c>
      <c r="E452" s="18"/>
      <c r="I452" s="2"/>
    </row>
    <row r="453" spans="1:9" x14ac:dyDescent="0.3">
      <c r="A453" s="2" t="str">
        <f xml:space="preserve"> IF( 'From SvanPC++'!A444= "", "", ('From SvanPC++'!A444))</f>
        <v/>
      </c>
      <c r="E453" s="18"/>
      <c r="I453" s="2"/>
    </row>
    <row r="454" spans="1:9" x14ac:dyDescent="0.3">
      <c r="A454" s="2" t="str">
        <f xml:space="preserve"> IF( 'From SvanPC++'!A445= "", "", ('From SvanPC++'!A445))</f>
        <v/>
      </c>
      <c r="E454" s="18"/>
      <c r="I454" s="2"/>
    </row>
    <row r="455" spans="1:9" x14ac:dyDescent="0.3">
      <c r="A455" s="2" t="str">
        <f xml:space="preserve"> IF( 'From SvanPC++'!A446= "", "", ('From SvanPC++'!A446))</f>
        <v/>
      </c>
      <c r="E455" s="18"/>
      <c r="I455" s="2"/>
    </row>
    <row r="456" spans="1:9" x14ac:dyDescent="0.3">
      <c r="A456" s="2" t="str">
        <f xml:space="preserve"> IF( 'From SvanPC++'!A447= "", "", ('From SvanPC++'!A447))</f>
        <v/>
      </c>
      <c r="E456" s="18"/>
      <c r="I456" s="2"/>
    </row>
    <row r="457" spans="1:9" x14ac:dyDescent="0.3">
      <c r="A457" s="2" t="str">
        <f xml:space="preserve"> IF( 'From SvanPC++'!A448= "", "", ('From SvanPC++'!A448))</f>
        <v/>
      </c>
      <c r="E457" s="18"/>
      <c r="I457" s="2"/>
    </row>
    <row r="458" spans="1:9" x14ac:dyDescent="0.3">
      <c r="A458" s="2" t="str">
        <f xml:space="preserve"> IF( 'From SvanPC++'!A449= "", "", ('From SvanPC++'!A449))</f>
        <v/>
      </c>
      <c r="E458" s="18"/>
      <c r="I458" s="2"/>
    </row>
    <row r="459" spans="1:9" x14ac:dyDescent="0.3">
      <c r="A459" s="2" t="str">
        <f xml:space="preserve"> IF( 'From SvanPC++'!A450= "", "", ('From SvanPC++'!A450))</f>
        <v/>
      </c>
      <c r="E459" s="18"/>
      <c r="I459" s="2"/>
    </row>
    <row r="460" spans="1:9" x14ac:dyDescent="0.3">
      <c r="A460" s="2" t="str">
        <f xml:space="preserve"> IF( 'From SvanPC++'!A451= "", "", ('From SvanPC++'!A451))</f>
        <v/>
      </c>
      <c r="E460" s="18"/>
      <c r="I460" s="2"/>
    </row>
    <row r="461" spans="1:9" x14ac:dyDescent="0.3">
      <c r="A461" s="2" t="str">
        <f xml:space="preserve"> IF( 'From SvanPC++'!A452= "", "", ('From SvanPC++'!A452))</f>
        <v/>
      </c>
      <c r="E461" s="18"/>
      <c r="I461" s="2"/>
    </row>
    <row r="462" spans="1:9" x14ac:dyDescent="0.3">
      <c r="A462" s="2" t="str">
        <f xml:space="preserve"> IF( 'From SvanPC++'!A453= "", "", ('From SvanPC++'!A453))</f>
        <v/>
      </c>
      <c r="E462" s="18"/>
      <c r="I462" s="2"/>
    </row>
    <row r="463" spans="1:9" x14ac:dyDescent="0.3">
      <c r="A463" s="2" t="str">
        <f xml:space="preserve"> IF( 'From SvanPC++'!A454= "", "", ('From SvanPC++'!A454))</f>
        <v/>
      </c>
      <c r="E463" s="18"/>
      <c r="I463" s="2"/>
    </row>
    <row r="464" spans="1:9" x14ac:dyDescent="0.3">
      <c r="A464" s="2" t="str">
        <f xml:space="preserve"> IF( 'From SvanPC++'!A455= "", "", ('From SvanPC++'!A455))</f>
        <v/>
      </c>
      <c r="E464" s="18"/>
      <c r="I464" s="2"/>
    </row>
    <row r="465" spans="1:9" x14ac:dyDescent="0.3">
      <c r="A465" s="2" t="str">
        <f xml:space="preserve"> IF( 'From SvanPC++'!A456= "", "", ('From SvanPC++'!A456))</f>
        <v/>
      </c>
      <c r="E465" s="18"/>
      <c r="I465" s="2"/>
    </row>
    <row r="466" spans="1:9" x14ac:dyDescent="0.3">
      <c r="A466" s="2" t="str">
        <f xml:space="preserve"> IF( 'From SvanPC++'!A457= "", "", ('From SvanPC++'!A457))</f>
        <v/>
      </c>
      <c r="E466" s="18"/>
      <c r="I466" s="2"/>
    </row>
    <row r="467" spans="1:9" x14ac:dyDescent="0.3">
      <c r="A467" s="2" t="str">
        <f xml:space="preserve"> IF( 'From SvanPC++'!A458= "", "", ('From SvanPC++'!A458))</f>
        <v/>
      </c>
      <c r="E467" s="18"/>
      <c r="I467" s="2"/>
    </row>
    <row r="468" spans="1:9" x14ac:dyDescent="0.3">
      <c r="A468" s="2" t="str">
        <f xml:space="preserve"> IF( 'From SvanPC++'!A459= "", "", ('From SvanPC++'!A459))</f>
        <v/>
      </c>
      <c r="E468" s="18"/>
      <c r="I468" s="2"/>
    </row>
    <row r="469" spans="1:9" x14ac:dyDescent="0.3">
      <c r="A469" s="2" t="str">
        <f xml:space="preserve"> IF( 'From SvanPC++'!A460= "", "", ('From SvanPC++'!A460))</f>
        <v/>
      </c>
      <c r="E469" s="18"/>
      <c r="I469" s="2"/>
    </row>
    <row r="470" spans="1:9" x14ac:dyDescent="0.3">
      <c r="A470" s="2" t="str">
        <f xml:space="preserve"> IF( 'From SvanPC++'!A461= "", "", ('From SvanPC++'!A461))</f>
        <v/>
      </c>
      <c r="E470" s="18"/>
      <c r="I470" s="2"/>
    </row>
    <row r="471" spans="1:9" x14ac:dyDescent="0.3">
      <c r="A471" s="2" t="str">
        <f xml:space="preserve"> IF( 'From SvanPC++'!A462= "", "", ('From SvanPC++'!A462))</f>
        <v/>
      </c>
      <c r="E471" s="18"/>
      <c r="I471" s="2"/>
    </row>
    <row r="472" spans="1:9" x14ac:dyDescent="0.3">
      <c r="A472" s="2" t="str">
        <f xml:space="preserve"> IF( 'From SvanPC++'!A463= "", "", ('From SvanPC++'!A463))</f>
        <v/>
      </c>
      <c r="E472" s="18"/>
      <c r="I472" s="2"/>
    </row>
    <row r="473" spans="1:9" x14ac:dyDescent="0.3">
      <c r="A473" s="2" t="str">
        <f xml:space="preserve"> IF( 'From SvanPC++'!A464= "", "", ('From SvanPC++'!A464))</f>
        <v/>
      </c>
      <c r="E473" s="18"/>
      <c r="I473" s="2"/>
    </row>
    <row r="474" spans="1:9" x14ac:dyDescent="0.3">
      <c r="A474" s="2" t="str">
        <f xml:space="preserve"> IF( 'From SvanPC++'!A465= "", "", ('From SvanPC++'!A465))</f>
        <v/>
      </c>
      <c r="E474" s="18"/>
      <c r="I474" s="2"/>
    </row>
    <row r="475" spans="1:9" x14ac:dyDescent="0.3">
      <c r="A475" s="2" t="str">
        <f xml:space="preserve"> IF( 'From SvanPC++'!A466= "", "", ('From SvanPC++'!A466))</f>
        <v/>
      </c>
      <c r="E475" s="18"/>
      <c r="I475" s="2"/>
    </row>
    <row r="476" spans="1:9" x14ac:dyDescent="0.3">
      <c r="A476" s="2" t="str">
        <f xml:space="preserve"> IF( 'From SvanPC++'!A467= "", "", ('From SvanPC++'!A467))</f>
        <v/>
      </c>
      <c r="E476" s="18"/>
      <c r="I476" s="2"/>
    </row>
    <row r="477" spans="1:9" x14ac:dyDescent="0.3">
      <c r="A477" s="2" t="str">
        <f xml:space="preserve"> IF( 'From SvanPC++'!A468= "", "", ('From SvanPC++'!A468))</f>
        <v/>
      </c>
      <c r="E477" s="18"/>
      <c r="I477" s="2"/>
    </row>
    <row r="478" spans="1:9" x14ac:dyDescent="0.3">
      <c r="A478" s="2" t="str">
        <f xml:space="preserve"> IF( 'From SvanPC++'!A469= "", "", ('From SvanPC++'!A469))</f>
        <v/>
      </c>
      <c r="E478" s="18"/>
      <c r="I478" s="2"/>
    </row>
    <row r="479" spans="1:9" x14ac:dyDescent="0.3">
      <c r="A479" s="2" t="str">
        <f xml:space="preserve"> IF( 'From SvanPC++'!A470= "", "", ('From SvanPC++'!A470))</f>
        <v/>
      </c>
      <c r="E479" s="18"/>
      <c r="I479" s="2"/>
    </row>
    <row r="480" spans="1:9" x14ac:dyDescent="0.3">
      <c r="A480" s="2" t="str">
        <f xml:space="preserve"> IF( 'From SvanPC++'!A471= "", "", ('From SvanPC++'!A471))</f>
        <v/>
      </c>
      <c r="E480" s="18"/>
      <c r="I480" s="2"/>
    </row>
    <row r="481" spans="1:9" x14ac:dyDescent="0.3">
      <c r="A481" s="2" t="str">
        <f xml:space="preserve"> IF( 'From SvanPC++'!A472= "", "", ('From SvanPC++'!A472))</f>
        <v/>
      </c>
      <c r="E481" s="18"/>
      <c r="I481" s="2"/>
    </row>
    <row r="482" spans="1:9" x14ac:dyDescent="0.3">
      <c r="A482" s="2" t="str">
        <f xml:space="preserve"> IF( 'From SvanPC++'!A473= "", "", ('From SvanPC++'!A473))</f>
        <v/>
      </c>
      <c r="E482" s="18"/>
      <c r="I482" s="2"/>
    </row>
    <row r="483" spans="1:9" x14ac:dyDescent="0.3">
      <c r="A483" s="2" t="str">
        <f xml:space="preserve"> IF( 'From SvanPC++'!A474= "", "", ('From SvanPC++'!A474))</f>
        <v/>
      </c>
      <c r="E483" s="18"/>
      <c r="I483" s="2"/>
    </row>
    <row r="484" spans="1:9" x14ac:dyDescent="0.3">
      <c r="A484" s="2" t="str">
        <f xml:space="preserve"> IF( 'From SvanPC++'!A475= "", "", ('From SvanPC++'!A475))</f>
        <v/>
      </c>
      <c r="E484" s="18"/>
      <c r="I484" s="2"/>
    </row>
    <row r="485" spans="1:9" x14ac:dyDescent="0.3">
      <c r="A485" s="2" t="str">
        <f xml:space="preserve"> IF( 'From SvanPC++'!A476= "", "", ('From SvanPC++'!A476))</f>
        <v/>
      </c>
      <c r="E485" s="18"/>
      <c r="I485" s="2"/>
    </row>
    <row r="486" spans="1:9" x14ac:dyDescent="0.3">
      <c r="A486" s="2" t="str">
        <f xml:space="preserve"> IF( 'From SvanPC++'!A477= "", "", ('From SvanPC++'!A477))</f>
        <v/>
      </c>
      <c r="E486" s="18"/>
      <c r="I486" s="2"/>
    </row>
    <row r="487" spans="1:9" x14ac:dyDescent="0.3">
      <c r="A487" s="2" t="str">
        <f xml:space="preserve"> IF( 'From SvanPC++'!A478= "", "", ('From SvanPC++'!A478))</f>
        <v/>
      </c>
      <c r="E487" s="18"/>
      <c r="I487" s="2"/>
    </row>
    <row r="488" spans="1:9" x14ac:dyDescent="0.3">
      <c r="A488" s="2" t="str">
        <f xml:space="preserve"> IF( 'From SvanPC++'!A479= "", "", ('From SvanPC++'!A479))</f>
        <v/>
      </c>
      <c r="E488" s="18"/>
      <c r="I488" s="2"/>
    </row>
    <row r="489" spans="1:9" x14ac:dyDescent="0.3">
      <c r="A489" s="2" t="str">
        <f xml:space="preserve"> IF( 'From SvanPC++'!A480= "", "", ('From SvanPC++'!A480))</f>
        <v/>
      </c>
      <c r="E489" s="18"/>
      <c r="I489" s="2"/>
    </row>
    <row r="490" spans="1:9" x14ac:dyDescent="0.3">
      <c r="A490" s="2" t="str">
        <f xml:space="preserve"> IF( 'From SvanPC++'!A481= "", "", ('From SvanPC++'!A481))</f>
        <v/>
      </c>
      <c r="E490" s="18"/>
      <c r="I490" s="2"/>
    </row>
    <row r="491" spans="1:9" x14ac:dyDescent="0.3">
      <c r="A491" s="2" t="str">
        <f xml:space="preserve"> IF( 'From SvanPC++'!A482= "", "", ('From SvanPC++'!A482))</f>
        <v/>
      </c>
      <c r="E491" s="18"/>
      <c r="I491" s="2"/>
    </row>
    <row r="492" spans="1:9" x14ac:dyDescent="0.3">
      <c r="A492" s="2" t="str">
        <f xml:space="preserve"> IF( 'From SvanPC++'!A483= "", "", ('From SvanPC++'!A483))</f>
        <v/>
      </c>
      <c r="E492" s="18"/>
      <c r="I492" s="2"/>
    </row>
    <row r="493" spans="1:9" x14ac:dyDescent="0.3">
      <c r="A493" s="2" t="str">
        <f xml:space="preserve"> IF( 'From SvanPC++'!A484= "", "", ('From SvanPC++'!A484))</f>
        <v/>
      </c>
      <c r="E493" s="18"/>
      <c r="I493" s="2"/>
    </row>
    <row r="494" spans="1:9" x14ac:dyDescent="0.3">
      <c r="A494" s="2" t="str">
        <f xml:space="preserve"> IF( 'From SvanPC++'!A485= "", "", ('From SvanPC++'!A485))</f>
        <v/>
      </c>
      <c r="E494" s="18"/>
      <c r="I494" s="2"/>
    </row>
    <row r="495" spans="1:9" x14ac:dyDescent="0.3">
      <c r="A495" s="2" t="str">
        <f xml:space="preserve"> IF( 'From SvanPC++'!A486= "", "", ('From SvanPC++'!A486))</f>
        <v/>
      </c>
      <c r="E495" s="18"/>
      <c r="I495" s="2"/>
    </row>
    <row r="496" spans="1:9" x14ac:dyDescent="0.3">
      <c r="A496" s="2" t="str">
        <f xml:space="preserve"> IF( 'From SvanPC++'!A487= "", "", ('From SvanPC++'!A487))</f>
        <v/>
      </c>
      <c r="E496" s="18"/>
      <c r="I496" s="2"/>
    </row>
    <row r="497" spans="1:9" x14ac:dyDescent="0.3">
      <c r="A497" s="2" t="str">
        <f xml:space="preserve"> IF( 'From SvanPC++'!A488= "", "", ('From SvanPC++'!A488))</f>
        <v/>
      </c>
      <c r="E497" s="18"/>
      <c r="I497" s="2"/>
    </row>
    <row r="498" spans="1:9" x14ac:dyDescent="0.3">
      <c r="A498" s="2" t="str">
        <f xml:space="preserve"> IF( 'From SvanPC++'!A489= "", "", ('From SvanPC++'!A489))</f>
        <v/>
      </c>
      <c r="E498" s="18"/>
      <c r="I498" s="2"/>
    </row>
    <row r="499" spans="1:9" x14ac:dyDescent="0.3">
      <c r="A499" s="2" t="str">
        <f xml:space="preserve"> IF( 'From SvanPC++'!A490= "", "", ('From SvanPC++'!A490))</f>
        <v/>
      </c>
      <c r="E499" s="18"/>
      <c r="I499" s="2"/>
    </row>
    <row r="500" spans="1:9" x14ac:dyDescent="0.3">
      <c r="A500" s="2" t="str">
        <f xml:space="preserve"> IF( 'From SvanPC++'!A491= "", "", ('From SvanPC++'!A491))</f>
        <v/>
      </c>
      <c r="E500" s="18"/>
      <c r="I500" s="2"/>
    </row>
    <row r="501" spans="1:9" x14ac:dyDescent="0.3">
      <c r="A501" s="2" t="str">
        <f xml:space="preserve"> IF( 'From SvanPC++'!A492= "", "", ('From SvanPC++'!A492))</f>
        <v/>
      </c>
      <c r="E501" s="18"/>
      <c r="I501" s="2"/>
    </row>
    <row r="502" spans="1:9" x14ac:dyDescent="0.3">
      <c r="A502" s="2" t="str">
        <f xml:space="preserve"> IF( 'From SvanPC++'!A493= "", "", ('From SvanPC++'!A493))</f>
        <v/>
      </c>
      <c r="E502" s="18"/>
      <c r="I502" s="2"/>
    </row>
    <row r="503" spans="1:9" x14ac:dyDescent="0.3">
      <c r="A503" s="2" t="str">
        <f xml:space="preserve"> IF( 'From SvanPC++'!A494= "", "", ('From SvanPC++'!A494))</f>
        <v/>
      </c>
      <c r="E503" s="18"/>
      <c r="I503" s="2"/>
    </row>
    <row r="504" spans="1:9" x14ac:dyDescent="0.3">
      <c r="A504" s="2" t="str">
        <f xml:space="preserve"> IF( 'From SvanPC++'!A495= "", "", ('From SvanPC++'!A495))</f>
        <v/>
      </c>
      <c r="E504" s="18"/>
      <c r="I504" s="2"/>
    </row>
    <row r="505" spans="1:9" x14ac:dyDescent="0.3">
      <c r="A505" s="2" t="str">
        <f xml:space="preserve"> IF( 'From SvanPC++'!A496= "", "", ('From SvanPC++'!A496))</f>
        <v/>
      </c>
      <c r="E505" s="18"/>
      <c r="I505" s="2"/>
    </row>
    <row r="506" spans="1:9" x14ac:dyDescent="0.3">
      <c r="A506" s="2" t="str">
        <f xml:space="preserve"> IF( 'From SvanPC++'!A497= "", "", ('From SvanPC++'!A497))</f>
        <v/>
      </c>
      <c r="E506" s="18"/>
      <c r="I506" s="2"/>
    </row>
    <row r="507" spans="1:9" x14ac:dyDescent="0.3">
      <c r="A507" s="2" t="str">
        <f xml:space="preserve"> IF( 'From SvanPC++'!A498= "", "", ('From SvanPC++'!A498))</f>
        <v/>
      </c>
      <c r="E507" s="18"/>
      <c r="I507" s="2"/>
    </row>
    <row r="508" spans="1:9" x14ac:dyDescent="0.3">
      <c r="A508" s="2" t="str">
        <f xml:space="preserve"> IF( 'From SvanPC++'!A499= "", "", ('From SvanPC++'!A499))</f>
        <v/>
      </c>
      <c r="E508" s="18"/>
      <c r="I508" s="2"/>
    </row>
    <row r="509" spans="1:9" x14ac:dyDescent="0.3">
      <c r="A509" s="2" t="str">
        <f xml:space="preserve"> IF( 'From SvanPC++'!A500= "", "", ('From SvanPC++'!A500))</f>
        <v/>
      </c>
      <c r="E509" s="18"/>
      <c r="I509" s="2"/>
    </row>
    <row r="510" spans="1:9" x14ac:dyDescent="0.3">
      <c r="A510" s="2" t="str">
        <f xml:space="preserve"> IF( 'From SvanPC++'!A501= "", "", ('From SvanPC++'!A501))</f>
        <v/>
      </c>
      <c r="E510" s="18"/>
      <c r="I510" s="2"/>
    </row>
    <row r="511" spans="1:9" x14ac:dyDescent="0.3">
      <c r="A511" s="2" t="str">
        <f xml:space="preserve"> IF( 'From SvanPC++'!A502= "", "", ('From SvanPC++'!A502))</f>
        <v/>
      </c>
      <c r="E511" s="18"/>
      <c r="I511" s="2"/>
    </row>
    <row r="512" spans="1:9" x14ac:dyDescent="0.3">
      <c r="A512" s="2" t="str">
        <f xml:space="preserve"> IF( 'From SvanPC++'!A503= "", "", ('From SvanPC++'!A503))</f>
        <v/>
      </c>
      <c r="E512" s="18"/>
      <c r="I512" s="2"/>
    </row>
    <row r="513" spans="1:9" x14ac:dyDescent="0.3">
      <c r="A513" s="2" t="str">
        <f xml:space="preserve"> IF( 'From SvanPC++'!A504= "", "", ('From SvanPC++'!A504))</f>
        <v/>
      </c>
      <c r="E513" s="18"/>
      <c r="I513" s="2"/>
    </row>
    <row r="514" spans="1:9" x14ac:dyDescent="0.3">
      <c r="A514" s="2" t="str">
        <f xml:space="preserve"> IF( 'From SvanPC++'!A505= "", "", ('From SvanPC++'!A505))</f>
        <v/>
      </c>
      <c r="E514" s="18"/>
      <c r="I514" s="2"/>
    </row>
    <row r="515" spans="1:9" x14ac:dyDescent="0.3">
      <c r="A515" s="2" t="str">
        <f xml:space="preserve"> IF( 'From SvanPC++'!A506= "", "", ('From SvanPC++'!A506))</f>
        <v/>
      </c>
      <c r="E515" s="18"/>
      <c r="I515" s="2"/>
    </row>
    <row r="516" spans="1:9" x14ac:dyDescent="0.3">
      <c r="A516" s="2" t="str">
        <f xml:space="preserve"> IF( 'From SvanPC++'!A507= "", "", ('From SvanPC++'!A507))</f>
        <v/>
      </c>
      <c r="E516" s="18"/>
      <c r="I516" s="2"/>
    </row>
    <row r="517" spans="1:9" x14ac:dyDescent="0.3">
      <c r="A517" s="2" t="str">
        <f xml:space="preserve"> IF( 'From SvanPC++'!A508= "", "", ('From SvanPC++'!A508))</f>
        <v/>
      </c>
      <c r="E517" s="18"/>
      <c r="I517" s="2"/>
    </row>
    <row r="518" spans="1:9" x14ac:dyDescent="0.3">
      <c r="A518" s="2" t="str">
        <f xml:space="preserve"> IF( 'From SvanPC++'!A509= "", "", ('From SvanPC++'!A509))</f>
        <v/>
      </c>
      <c r="E518" s="18"/>
      <c r="I518" s="2"/>
    </row>
    <row r="519" spans="1:9" x14ac:dyDescent="0.3">
      <c r="A519" s="2" t="str">
        <f xml:space="preserve"> IF( 'From SvanPC++'!A510= "", "", ('From SvanPC++'!A510))</f>
        <v/>
      </c>
      <c r="E519" s="18"/>
      <c r="I519" s="2"/>
    </row>
    <row r="520" spans="1:9" x14ac:dyDescent="0.3">
      <c r="A520" s="2" t="str">
        <f xml:space="preserve"> IF( 'From SvanPC++'!A511= "", "", ('From SvanPC++'!A511))</f>
        <v/>
      </c>
      <c r="E520" s="18"/>
      <c r="I520" s="2"/>
    </row>
    <row r="521" spans="1:9" x14ac:dyDescent="0.3">
      <c r="A521" s="2" t="str">
        <f xml:space="preserve"> IF( 'From SvanPC++'!A512= "", "", ('From SvanPC++'!A512))</f>
        <v/>
      </c>
      <c r="E521" s="18"/>
      <c r="I521" s="2"/>
    </row>
    <row r="522" spans="1:9" x14ac:dyDescent="0.3">
      <c r="A522" s="2" t="str">
        <f xml:space="preserve"> IF( 'From SvanPC++'!A513= "", "", ('From SvanPC++'!A513))</f>
        <v/>
      </c>
      <c r="E522" s="18"/>
      <c r="I522" s="2"/>
    </row>
    <row r="523" spans="1:9" x14ac:dyDescent="0.3">
      <c r="A523" s="2" t="str">
        <f xml:space="preserve"> IF( 'From SvanPC++'!A514= "", "", ('From SvanPC++'!A514))</f>
        <v/>
      </c>
      <c r="E523" s="18"/>
      <c r="I523" s="2"/>
    </row>
    <row r="524" spans="1:9" x14ac:dyDescent="0.3">
      <c r="A524" s="2" t="str">
        <f xml:space="preserve"> IF( 'From SvanPC++'!A515= "", "", ('From SvanPC++'!A515))</f>
        <v/>
      </c>
      <c r="E524" s="18"/>
      <c r="I524" s="2"/>
    </row>
    <row r="525" spans="1:9" x14ac:dyDescent="0.3">
      <c r="A525" s="2" t="str">
        <f xml:space="preserve"> IF( 'From SvanPC++'!A516= "", "", ('From SvanPC++'!A516))</f>
        <v/>
      </c>
      <c r="E525" s="18"/>
      <c r="I525" s="2"/>
    </row>
    <row r="526" spans="1:9" x14ac:dyDescent="0.3">
      <c r="A526" s="2" t="str">
        <f xml:space="preserve"> IF( 'From SvanPC++'!A517= "", "", ('From SvanPC++'!A517))</f>
        <v/>
      </c>
      <c r="E526" s="18"/>
      <c r="I526" s="2"/>
    </row>
    <row r="527" spans="1:9" x14ac:dyDescent="0.3">
      <c r="A527" s="2" t="str">
        <f xml:space="preserve"> IF( 'From SvanPC++'!A518= "", "", ('From SvanPC++'!A518))</f>
        <v/>
      </c>
      <c r="E527" s="18"/>
      <c r="I527" s="2"/>
    </row>
    <row r="528" spans="1:9" x14ac:dyDescent="0.3">
      <c r="A528" s="2" t="str">
        <f xml:space="preserve"> IF( 'From SvanPC++'!A519= "", "", ('From SvanPC++'!A519))</f>
        <v/>
      </c>
      <c r="E528" s="18"/>
      <c r="I528" s="2"/>
    </row>
    <row r="529" spans="1:9" x14ac:dyDescent="0.3">
      <c r="A529" s="2" t="str">
        <f xml:space="preserve"> IF( 'From SvanPC++'!A520= "", "", ('From SvanPC++'!A520))</f>
        <v/>
      </c>
      <c r="E529" s="18"/>
      <c r="I529" s="2"/>
    </row>
    <row r="530" spans="1:9" x14ac:dyDescent="0.3">
      <c r="A530" s="2" t="str">
        <f xml:space="preserve"> IF( 'From SvanPC++'!A521= "", "", ('From SvanPC++'!A521))</f>
        <v/>
      </c>
      <c r="E530" s="18"/>
      <c r="I530" s="2"/>
    </row>
    <row r="531" spans="1:9" x14ac:dyDescent="0.3">
      <c r="A531" s="2" t="str">
        <f xml:space="preserve"> IF( 'From SvanPC++'!A522= "", "", ('From SvanPC++'!A522))</f>
        <v/>
      </c>
      <c r="E531" s="18"/>
      <c r="I531" s="2"/>
    </row>
    <row r="532" spans="1:9" x14ac:dyDescent="0.3">
      <c r="A532" s="2" t="str">
        <f xml:space="preserve"> IF( 'From SvanPC++'!A523= "", "", ('From SvanPC++'!A523))</f>
        <v/>
      </c>
      <c r="E532" s="18"/>
      <c r="I532" s="2"/>
    </row>
    <row r="533" spans="1:9" x14ac:dyDescent="0.3">
      <c r="A533" s="2" t="str">
        <f xml:space="preserve"> IF( 'From SvanPC++'!A524= "", "", ('From SvanPC++'!A524))</f>
        <v/>
      </c>
      <c r="E533" s="18"/>
      <c r="I533" s="2"/>
    </row>
    <row r="534" spans="1:9" x14ac:dyDescent="0.3">
      <c r="A534" s="2" t="str">
        <f xml:space="preserve"> IF( 'From SvanPC++'!A525= "", "", ('From SvanPC++'!A525))</f>
        <v/>
      </c>
      <c r="E534" s="18"/>
      <c r="I534" s="2"/>
    </row>
    <row r="535" spans="1:9" x14ac:dyDescent="0.3">
      <c r="A535" s="2" t="str">
        <f xml:space="preserve"> IF( 'From SvanPC++'!A526= "", "", ('From SvanPC++'!A526))</f>
        <v/>
      </c>
      <c r="E535" s="18"/>
      <c r="I535" s="2"/>
    </row>
    <row r="536" spans="1:9" x14ac:dyDescent="0.3">
      <c r="A536" s="2" t="str">
        <f xml:space="preserve"> IF( 'From SvanPC++'!A527= "", "", ('From SvanPC++'!A527))</f>
        <v/>
      </c>
      <c r="E536" s="18"/>
      <c r="I536" s="2"/>
    </row>
    <row r="537" spans="1:9" x14ac:dyDescent="0.3">
      <c r="A537" s="2" t="str">
        <f xml:space="preserve"> IF( 'From SvanPC++'!A528= "", "", ('From SvanPC++'!A528))</f>
        <v/>
      </c>
      <c r="E537" s="18"/>
      <c r="I537" s="2"/>
    </row>
    <row r="538" spans="1:9" x14ac:dyDescent="0.3">
      <c r="A538" s="2" t="str">
        <f xml:space="preserve"> IF( 'From SvanPC++'!A529= "", "", ('From SvanPC++'!A529))</f>
        <v/>
      </c>
      <c r="E538" s="18"/>
      <c r="I538" s="2"/>
    </row>
    <row r="539" spans="1:9" x14ac:dyDescent="0.3">
      <c r="A539" s="2" t="str">
        <f xml:space="preserve"> IF( 'From SvanPC++'!A530= "", "", ('From SvanPC++'!A530))</f>
        <v/>
      </c>
      <c r="E539" s="18"/>
      <c r="I539" s="2"/>
    </row>
    <row r="540" spans="1:9" x14ac:dyDescent="0.3">
      <c r="A540" s="2" t="str">
        <f xml:space="preserve"> IF( 'From SvanPC++'!A531= "", "", ('From SvanPC++'!A531))</f>
        <v/>
      </c>
      <c r="E540" s="18"/>
      <c r="I540" s="2"/>
    </row>
    <row r="541" spans="1:9" x14ac:dyDescent="0.3">
      <c r="A541" s="2" t="str">
        <f xml:space="preserve"> IF( 'From SvanPC++'!A532= "", "", ('From SvanPC++'!A532))</f>
        <v/>
      </c>
      <c r="E541" s="18"/>
      <c r="I541" s="2"/>
    </row>
    <row r="542" spans="1:9" x14ac:dyDescent="0.3">
      <c r="A542" s="2" t="str">
        <f xml:space="preserve"> IF( 'From SvanPC++'!A533= "", "", ('From SvanPC++'!A533))</f>
        <v/>
      </c>
      <c r="E542" s="18"/>
      <c r="I542" s="2"/>
    </row>
    <row r="543" spans="1:9" x14ac:dyDescent="0.3">
      <c r="A543" s="2" t="str">
        <f xml:space="preserve"> IF( 'From SvanPC++'!A534= "", "", ('From SvanPC++'!A534))</f>
        <v/>
      </c>
      <c r="E543" s="18"/>
      <c r="I543" s="2"/>
    </row>
    <row r="544" spans="1:9" x14ac:dyDescent="0.3">
      <c r="A544" s="2" t="str">
        <f xml:space="preserve"> IF( 'From SvanPC++'!A535= "", "", ('From SvanPC++'!A535))</f>
        <v/>
      </c>
      <c r="E544" s="18"/>
      <c r="I544" s="2"/>
    </row>
    <row r="545" spans="1:9" x14ac:dyDescent="0.3">
      <c r="A545" s="2" t="str">
        <f xml:space="preserve"> IF( 'From SvanPC++'!A536= "", "", ('From SvanPC++'!A536))</f>
        <v/>
      </c>
      <c r="E545" s="18"/>
      <c r="I545" s="2"/>
    </row>
    <row r="546" spans="1:9" x14ac:dyDescent="0.3">
      <c r="A546" s="2" t="str">
        <f xml:space="preserve"> IF( 'From SvanPC++'!A537= "", "", ('From SvanPC++'!A537))</f>
        <v/>
      </c>
      <c r="E546" s="18"/>
      <c r="I546" s="2"/>
    </row>
    <row r="547" spans="1:9" x14ac:dyDescent="0.3">
      <c r="A547" s="2" t="str">
        <f xml:space="preserve"> IF( 'From SvanPC++'!A538= "", "", ('From SvanPC++'!A538))</f>
        <v/>
      </c>
      <c r="E547" s="18"/>
      <c r="I547" s="2"/>
    </row>
    <row r="548" spans="1:9" x14ac:dyDescent="0.3">
      <c r="A548" s="2" t="str">
        <f xml:space="preserve"> IF( 'From SvanPC++'!A539= "", "", ('From SvanPC++'!A539))</f>
        <v/>
      </c>
      <c r="E548" s="18"/>
      <c r="I548" s="2"/>
    </row>
    <row r="549" spans="1:9" x14ac:dyDescent="0.3">
      <c r="A549" s="2" t="str">
        <f xml:space="preserve"> IF( 'From SvanPC++'!A540= "", "", ('From SvanPC++'!A540))</f>
        <v/>
      </c>
      <c r="E549" s="18"/>
      <c r="I549" s="2"/>
    </row>
    <row r="550" spans="1:9" x14ac:dyDescent="0.3">
      <c r="A550" s="2" t="str">
        <f xml:space="preserve"> IF( 'From SvanPC++'!A541= "", "", ('From SvanPC++'!A541))</f>
        <v/>
      </c>
      <c r="E550" s="18"/>
      <c r="I550" s="2"/>
    </row>
    <row r="551" spans="1:9" x14ac:dyDescent="0.3">
      <c r="A551" s="2" t="str">
        <f xml:space="preserve"> IF( 'From SvanPC++'!A542= "", "", ('From SvanPC++'!A542))</f>
        <v/>
      </c>
      <c r="E551" s="18"/>
      <c r="I551" s="2"/>
    </row>
    <row r="552" spans="1:9" x14ac:dyDescent="0.3">
      <c r="A552" s="2" t="str">
        <f xml:space="preserve"> IF( 'From SvanPC++'!A543= "", "", ('From SvanPC++'!A543))</f>
        <v/>
      </c>
      <c r="E552" s="18"/>
      <c r="I552" s="2"/>
    </row>
    <row r="553" spans="1:9" x14ac:dyDescent="0.3">
      <c r="A553" s="2" t="str">
        <f xml:space="preserve"> IF( 'From SvanPC++'!A544= "", "", ('From SvanPC++'!A544))</f>
        <v/>
      </c>
      <c r="E553" s="18"/>
      <c r="I553" s="2"/>
    </row>
    <row r="554" spans="1:9" x14ac:dyDescent="0.3">
      <c r="A554" s="2" t="str">
        <f xml:space="preserve"> IF( 'From SvanPC++'!A545= "", "", ('From SvanPC++'!A545))</f>
        <v/>
      </c>
      <c r="E554" s="18"/>
      <c r="I554" s="2"/>
    </row>
    <row r="555" spans="1:9" x14ac:dyDescent="0.3">
      <c r="A555" s="2" t="str">
        <f xml:space="preserve"> IF( 'From SvanPC++'!A546= "", "", ('From SvanPC++'!A546))</f>
        <v/>
      </c>
      <c r="E555" s="18"/>
      <c r="I555" s="2"/>
    </row>
    <row r="556" spans="1:9" x14ac:dyDescent="0.3">
      <c r="A556" s="2" t="str">
        <f xml:space="preserve"> IF( 'From SvanPC++'!A547= "", "", ('From SvanPC++'!A547))</f>
        <v/>
      </c>
      <c r="E556" s="18"/>
      <c r="I556" s="2"/>
    </row>
    <row r="557" spans="1:9" x14ac:dyDescent="0.3">
      <c r="A557" s="2" t="str">
        <f xml:space="preserve"> IF( 'From SvanPC++'!A548= "", "", ('From SvanPC++'!A548))</f>
        <v/>
      </c>
      <c r="E557" s="18"/>
      <c r="I557" s="2"/>
    </row>
    <row r="558" spans="1:9" x14ac:dyDescent="0.3">
      <c r="A558" s="2" t="str">
        <f xml:space="preserve"> IF( 'From SvanPC++'!A549= "", "", ('From SvanPC++'!A549))</f>
        <v/>
      </c>
      <c r="E558" s="18"/>
      <c r="I558" s="2"/>
    </row>
    <row r="559" spans="1:9" x14ac:dyDescent="0.3">
      <c r="A559" s="2" t="str">
        <f xml:space="preserve"> IF( 'From SvanPC++'!A550= "", "", ('From SvanPC++'!A550))</f>
        <v/>
      </c>
      <c r="E559" s="18"/>
      <c r="I559" s="2"/>
    </row>
    <row r="560" spans="1:9" x14ac:dyDescent="0.3">
      <c r="A560" s="2" t="str">
        <f xml:space="preserve"> IF( 'From SvanPC++'!A551= "", "", ('From SvanPC++'!A551))</f>
        <v/>
      </c>
      <c r="E560" s="18"/>
      <c r="I560" s="2"/>
    </row>
    <row r="561" spans="1:9" x14ac:dyDescent="0.3">
      <c r="A561" s="2" t="str">
        <f xml:space="preserve"> IF( 'From SvanPC++'!A552= "", "", ('From SvanPC++'!A552))</f>
        <v/>
      </c>
      <c r="E561" s="18"/>
      <c r="I561" s="2"/>
    </row>
    <row r="562" spans="1:9" x14ac:dyDescent="0.3">
      <c r="A562" s="2" t="str">
        <f xml:space="preserve"> IF( 'From SvanPC++'!A553= "", "", ('From SvanPC++'!A553))</f>
        <v/>
      </c>
      <c r="E562" s="18"/>
      <c r="I562" s="2"/>
    </row>
    <row r="563" spans="1:9" x14ac:dyDescent="0.3">
      <c r="A563" s="2" t="str">
        <f xml:space="preserve"> IF( 'From SvanPC++'!A554= "", "", ('From SvanPC++'!A554))</f>
        <v/>
      </c>
      <c r="E563" s="18"/>
      <c r="I563" s="2"/>
    </row>
    <row r="564" spans="1:9" x14ac:dyDescent="0.3">
      <c r="A564" s="2" t="str">
        <f xml:space="preserve"> IF( 'From SvanPC++'!A555= "", "", ('From SvanPC++'!A555))</f>
        <v/>
      </c>
      <c r="E564" s="18"/>
      <c r="I564" s="2"/>
    </row>
    <row r="565" spans="1:9" x14ac:dyDescent="0.3">
      <c r="A565" s="2" t="str">
        <f xml:space="preserve"> IF( 'From SvanPC++'!A556= "", "", ('From SvanPC++'!A556))</f>
        <v/>
      </c>
      <c r="E565" s="18"/>
      <c r="I565" s="2"/>
    </row>
    <row r="566" spans="1:9" x14ac:dyDescent="0.3">
      <c r="A566" s="2" t="str">
        <f xml:space="preserve"> IF( 'From SvanPC++'!A557= "", "", ('From SvanPC++'!A557))</f>
        <v/>
      </c>
      <c r="E566" s="18"/>
      <c r="I566" s="2"/>
    </row>
    <row r="567" spans="1:9" x14ac:dyDescent="0.3">
      <c r="A567" s="2" t="str">
        <f xml:space="preserve"> IF( 'From SvanPC++'!A558= "", "", ('From SvanPC++'!A558))</f>
        <v/>
      </c>
      <c r="E567" s="18"/>
      <c r="I567" s="2"/>
    </row>
    <row r="568" spans="1:9" x14ac:dyDescent="0.3">
      <c r="A568" s="2" t="str">
        <f xml:space="preserve"> IF( 'From SvanPC++'!A559= "", "", ('From SvanPC++'!A559))</f>
        <v/>
      </c>
      <c r="E568" s="18"/>
      <c r="I568" s="2"/>
    </row>
    <row r="569" spans="1:9" x14ac:dyDescent="0.3">
      <c r="A569" s="2" t="str">
        <f xml:space="preserve"> IF( 'From SvanPC++'!A560= "", "", ('From SvanPC++'!A560))</f>
        <v/>
      </c>
      <c r="E569" s="18"/>
      <c r="I569" s="2"/>
    </row>
    <row r="570" spans="1:9" x14ac:dyDescent="0.3">
      <c r="A570" s="2" t="str">
        <f xml:space="preserve"> IF( 'From SvanPC++'!A561= "", "", ('From SvanPC++'!A561))</f>
        <v/>
      </c>
      <c r="E570" s="18"/>
      <c r="I570" s="2"/>
    </row>
    <row r="571" spans="1:9" x14ac:dyDescent="0.3">
      <c r="A571" s="2" t="str">
        <f xml:space="preserve"> IF( 'From SvanPC++'!A562= "", "", ('From SvanPC++'!A562))</f>
        <v/>
      </c>
      <c r="E571" s="18"/>
      <c r="I571" s="2"/>
    </row>
    <row r="572" spans="1:9" x14ac:dyDescent="0.3">
      <c r="A572" s="2" t="str">
        <f xml:space="preserve"> IF( 'From SvanPC++'!A563= "", "", ('From SvanPC++'!A563))</f>
        <v/>
      </c>
      <c r="E572" s="18"/>
      <c r="I572" s="2"/>
    </row>
    <row r="573" spans="1:9" x14ac:dyDescent="0.3">
      <c r="A573" s="2" t="str">
        <f xml:space="preserve"> IF( 'From SvanPC++'!A564= "", "", ('From SvanPC++'!A564))</f>
        <v/>
      </c>
      <c r="E573" s="18"/>
      <c r="I573" s="2"/>
    </row>
    <row r="574" spans="1:9" x14ac:dyDescent="0.3">
      <c r="A574" s="2" t="str">
        <f xml:space="preserve"> IF( 'From SvanPC++'!A565= "", "", ('From SvanPC++'!A565))</f>
        <v/>
      </c>
      <c r="E574" s="18"/>
      <c r="I574" s="2"/>
    </row>
    <row r="575" spans="1:9" x14ac:dyDescent="0.3">
      <c r="A575" s="2" t="str">
        <f xml:space="preserve"> IF( 'From SvanPC++'!A566= "", "", ('From SvanPC++'!A566))</f>
        <v/>
      </c>
      <c r="E575" s="18"/>
      <c r="I575" s="2"/>
    </row>
    <row r="576" spans="1:9" x14ac:dyDescent="0.3">
      <c r="A576" s="2" t="str">
        <f xml:space="preserve"> IF( 'From SvanPC++'!A567= "", "", ('From SvanPC++'!A567))</f>
        <v/>
      </c>
      <c r="E576" s="18"/>
      <c r="I576" s="2"/>
    </row>
    <row r="577" spans="1:9" x14ac:dyDescent="0.3">
      <c r="A577" s="2" t="str">
        <f xml:space="preserve"> IF( 'From SvanPC++'!A568= "", "", ('From SvanPC++'!A568))</f>
        <v/>
      </c>
      <c r="E577" s="18"/>
      <c r="I577" s="2"/>
    </row>
    <row r="578" spans="1:9" x14ac:dyDescent="0.3">
      <c r="A578" s="2" t="str">
        <f xml:space="preserve"> IF( 'From SvanPC++'!A569= "", "", ('From SvanPC++'!A569))</f>
        <v/>
      </c>
      <c r="E578" s="18"/>
      <c r="I578" s="2"/>
    </row>
    <row r="579" spans="1:9" x14ac:dyDescent="0.3">
      <c r="A579" s="2" t="str">
        <f xml:space="preserve"> IF( 'From SvanPC++'!A570= "", "", ('From SvanPC++'!A570))</f>
        <v/>
      </c>
      <c r="E579" s="18"/>
      <c r="I579" s="2"/>
    </row>
    <row r="580" spans="1:9" x14ac:dyDescent="0.3">
      <c r="A580" s="2" t="str">
        <f xml:space="preserve"> IF( 'From SvanPC++'!A571= "", "", ('From SvanPC++'!A571))</f>
        <v/>
      </c>
      <c r="E580" s="18"/>
      <c r="I580" s="2"/>
    </row>
    <row r="581" spans="1:9" x14ac:dyDescent="0.3">
      <c r="A581" s="2" t="str">
        <f xml:space="preserve"> IF( 'From SvanPC++'!A572= "", "", ('From SvanPC++'!A572))</f>
        <v/>
      </c>
      <c r="E581" s="18"/>
      <c r="I581" s="2"/>
    </row>
    <row r="582" spans="1:9" x14ac:dyDescent="0.3">
      <c r="A582" s="2" t="str">
        <f xml:space="preserve"> IF( 'From SvanPC++'!A573= "", "", ('From SvanPC++'!A573))</f>
        <v/>
      </c>
      <c r="E582" s="18"/>
      <c r="I582" s="2"/>
    </row>
    <row r="583" spans="1:9" x14ac:dyDescent="0.3">
      <c r="A583" s="2" t="str">
        <f xml:space="preserve"> IF( 'From SvanPC++'!A574= "", "", ('From SvanPC++'!A574))</f>
        <v/>
      </c>
      <c r="E583" s="18"/>
      <c r="I583" s="2"/>
    </row>
    <row r="584" spans="1:9" x14ac:dyDescent="0.3">
      <c r="A584" s="2" t="str">
        <f xml:space="preserve"> IF( 'From SvanPC++'!A575= "", "", ('From SvanPC++'!A575))</f>
        <v/>
      </c>
      <c r="E584" s="18"/>
      <c r="I584" s="2"/>
    </row>
    <row r="585" spans="1:9" x14ac:dyDescent="0.3">
      <c r="A585" s="2" t="str">
        <f xml:space="preserve"> IF( 'From SvanPC++'!A576= "", "", ('From SvanPC++'!A576))</f>
        <v/>
      </c>
      <c r="E585" s="18"/>
      <c r="I585" s="2"/>
    </row>
    <row r="586" spans="1:9" x14ac:dyDescent="0.3">
      <c r="A586" s="2" t="str">
        <f xml:space="preserve"> IF( 'From SvanPC++'!A577= "", "", ('From SvanPC++'!A577))</f>
        <v/>
      </c>
      <c r="E586" s="18"/>
      <c r="I586" s="2"/>
    </row>
    <row r="587" spans="1:9" x14ac:dyDescent="0.3">
      <c r="A587" s="2" t="str">
        <f xml:space="preserve"> IF( 'From SvanPC++'!A578= "", "", ('From SvanPC++'!A578))</f>
        <v/>
      </c>
      <c r="E587" s="18"/>
      <c r="I587" s="2"/>
    </row>
    <row r="588" spans="1:9" x14ac:dyDescent="0.3">
      <c r="A588" s="2" t="str">
        <f xml:space="preserve"> IF( 'From SvanPC++'!A579= "", "", ('From SvanPC++'!A579))</f>
        <v/>
      </c>
      <c r="E588" s="18"/>
      <c r="I588" s="2"/>
    </row>
    <row r="589" spans="1:9" x14ac:dyDescent="0.3">
      <c r="A589" s="2" t="str">
        <f xml:space="preserve"> IF( 'From SvanPC++'!A580= "", "", ('From SvanPC++'!A580))</f>
        <v/>
      </c>
      <c r="E589" s="18"/>
      <c r="I589" s="2"/>
    </row>
    <row r="590" spans="1:9" x14ac:dyDescent="0.3">
      <c r="A590" s="2" t="str">
        <f xml:space="preserve"> IF( 'From SvanPC++'!A581= "", "", ('From SvanPC++'!A581))</f>
        <v/>
      </c>
      <c r="E590" s="18"/>
      <c r="I590" s="2"/>
    </row>
    <row r="591" spans="1:9" x14ac:dyDescent="0.3">
      <c r="A591" s="2" t="str">
        <f xml:space="preserve"> IF( 'From SvanPC++'!A582= "", "", ('From SvanPC++'!A582))</f>
        <v/>
      </c>
      <c r="E591" s="18"/>
      <c r="I591" s="2"/>
    </row>
    <row r="592" spans="1:9" x14ac:dyDescent="0.3">
      <c r="A592" s="2" t="str">
        <f xml:space="preserve"> IF( 'From SvanPC++'!A583= "", "", ('From SvanPC++'!A583))</f>
        <v/>
      </c>
      <c r="E592" s="18"/>
      <c r="I592" s="2"/>
    </row>
    <row r="593" spans="1:9" x14ac:dyDescent="0.3">
      <c r="A593" s="2" t="str">
        <f xml:space="preserve"> IF( 'From SvanPC++'!A584= "", "", ('From SvanPC++'!A584))</f>
        <v/>
      </c>
      <c r="E593" s="18"/>
      <c r="I593" s="2"/>
    </row>
    <row r="594" spans="1:9" x14ac:dyDescent="0.3">
      <c r="A594" s="2" t="str">
        <f xml:space="preserve"> IF( 'From SvanPC++'!A585= "", "", ('From SvanPC++'!A585))</f>
        <v/>
      </c>
      <c r="E594" s="18"/>
      <c r="I594" s="2"/>
    </row>
    <row r="595" spans="1:9" x14ac:dyDescent="0.3">
      <c r="A595" s="2" t="str">
        <f xml:space="preserve"> IF( 'From SvanPC++'!A586= "", "", ('From SvanPC++'!A586))</f>
        <v/>
      </c>
      <c r="E595" s="18"/>
      <c r="I595" s="2"/>
    </row>
    <row r="596" spans="1:9" x14ac:dyDescent="0.3">
      <c r="A596" s="2" t="str">
        <f xml:space="preserve"> IF( 'From SvanPC++'!A587= "", "", ('From SvanPC++'!A587))</f>
        <v/>
      </c>
      <c r="E596" s="18"/>
      <c r="I596" s="2"/>
    </row>
    <row r="597" spans="1:9" x14ac:dyDescent="0.3">
      <c r="A597" s="2" t="str">
        <f xml:space="preserve"> IF( 'From SvanPC++'!A588= "", "", ('From SvanPC++'!A588))</f>
        <v/>
      </c>
      <c r="E597" s="18"/>
      <c r="I597" s="2"/>
    </row>
    <row r="598" spans="1:9" x14ac:dyDescent="0.3">
      <c r="A598" s="2" t="str">
        <f xml:space="preserve"> IF( 'From SvanPC++'!A589= "", "", ('From SvanPC++'!A589))</f>
        <v/>
      </c>
      <c r="E598" s="18"/>
      <c r="I598" s="2"/>
    </row>
    <row r="599" spans="1:9" x14ac:dyDescent="0.3">
      <c r="A599" s="2" t="str">
        <f xml:space="preserve"> IF( 'From SvanPC++'!A590= "", "", ('From SvanPC++'!A590))</f>
        <v/>
      </c>
      <c r="E599" s="18"/>
      <c r="I599" s="2"/>
    </row>
    <row r="600" spans="1:9" x14ac:dyDescent="0.3">
      <c r="A600" s="2" t="str">
        <f xml:space="preserve"> IF( 'From SvanPC++'!A591= "", "", ('From SvanPC++'!A591))</f>
        <v/>
      </c>
      <c r="E600" s="18"/>
      <c r="I600" s="2"/>
    </row>
    <row r="601" spans="1:9" x14ac:dyDescent="0.3">
      <c r="A601" s="2" t="str">
        <f xml:space="preserve"> IF( 'From SvanPC++'!A592= "", "", ('From SvanPC++'!A592))</f>
        <v/>
      </c>
      <c r="E601" s="18"/>
      <c r="I601" s="2"/>
    </row>
    <row r="602" spans="1:9" x14ac:dyDescent="0.3">
      <c r="A602" s="2" t="str">
        <f xml:space="preserve"> IF( 'From SvanPC++'!A593= "", "", ('From SvanPC++'!A593))</f>
        <v/>
      </c>
      <c r="E602" s="18"/>
      <c r="I602" s="2"/>
    </row>
    <row r="603" spans="1:9" x14ac:dyDescent="0.3">
      <c r="A603" s="2" t="str">
        <f xml:space="preserve"> IF( 'From SvanPC++'!A594= "", "", ('From SvanPC++'!A594))</f>
        <v/>
      </c>
      <c r="E603" s="18"/>
      <c r="I603" s="2"/>
    </row>
    <row r="604" spans="1:9" x14ac:dyDescent="0.3">
      <c r="A604" s="2" t="str">
        <f xml:space="preserve"> IF( 'From SvanPC++'!A595= "", "", ('From SvanPC++'!A595))</f>
        <v/>
      </c>
      <c r="E604" s="18"/>
      <c r="I604" s="2"/>
    </row>
    <row r="605" spans="1:9" x14ac:dyDescent="0.3">
      <c r="A605" s="2" t="str">
        <f xml:space="preserve"> IF( 'From SvanPC++'!A596= "", "", ('From SvanPC++'!A596))</f>
        <v/>
      </c>
      <c r="E605" s="18"/>
      <c r="I605" s="2"/>
    </row>
    <row r="606" spans="1:9" x14ac:dyDescent="0.3">
      <c r="A606" s="2" t="str">
        <f xml:space="preserve"> IF( 'From SvanPC++'!A597= "", "", ('From SvanPC++'!A597))</f>
        <v/>
      </c>
      <c r="E606" s="18"/>
      <c r="I606" s="2"/>
    </row>
    <row r="607" spans="1:9" x14ac:dyDescent="0.3">
      <c r="A607" s="2" t="str">
        <f xml:space="preserve"> IF( 'From SvanPC++'!A598= "", "", ('From SvanPC++'!A598))</f>
        <v/>
      </c>
      <c r="E607" s="18"/>
      <c r="I607" s="2"/>
    </row>
    <row r="608" spans="1:9" x14ac:dyDescent="0.3">
      <c r="A608" s="2" t="str">
        <f xml:space="preserve"> IF( 'From SvanPC++'!A599= "", "", ('From SvanPC++'!A599))</f>
        <v/>
      </c>
      <c r="E608" s="18"/>
      <c r="I608" s="2"/>
    </row>
    <row r="609" spans="1:9" x14ac:dyDescent="0.3">
      <c r="A609" s="2" t="str">
        <f xml:space="preserve"> IF( 'From SvanPC++'!A600= "", "", ('From SvanPC++'!A600))</f>
        <v/>
      </c>
      <c r="E609" s="18"/>
      <c r="I609" s="2"/>
    </row>
    <row r="610" spans="1:9" x14ac:dyDescent="0.3">
      <c r="A610" s="2" t="str">
        <f xml:space="preserve"> IF( 'From SvanPC++'!A601= "", "", ('From SvanPC++'!A601))</f>
        <v/>
      </c>
      <c r="E610" s="18"/>
      <c r="I610" s="2"/>
    </row>
    <row r="611" spans="1:9" x14ac:dyDescent="0.3">
      <c r="A611" s="2" t="str">
        <f xml:space="preserve"> IF( 'From SvanPC++'!A602= "", "", ('From SvanPC++'!A602))</f>
        <v/>
      </c>
      <c r="E611" s="18"/>
      <c r="I611" s="2"/>
    </row>
    <row r="612" spans="1:9" x14ac:dyDescent="0.3">
      <c r="A612" s="2" t="str">
        <f xml:space="preserve"> IF( 'From SvanPC++'!A603= "", "", ('From SvanPC++'!A603))</f>
        <v/>
      </c>
      <c r="E612" s="18"/>
      <c r="I612" s="2"/>
    </row>
    <row r="613" spans="1:9" x14ac:dyDescent="0.3">
      <c r="A613" s="2" t="str">
        <f xml:space="preserve"> IF( 'From SvanPC++'!A604= "", "", ('From SvanPC++'!A604))</f>
        <v/>
      </c>
      <c r="E613" s="18"/>
      <c r="I613" s="2"/>
    </row>
    <row r="614" spans="1:9" x14ac:dyDescent="0.3">
      <c r="A614" s="2" t="str">
        <f xml:space="preserve"> IF( 'From SvanPC++'!A605= "", "", ('From SvanPC++'!A605))</f>
        <v/>
      </c>
      <c r="E614" s="18"/>
      <c r="I614" s="2"/>
    </row>
    <row r="615" spans="1:9" x14ac:dyDescent="0.3">
      <c r="A615" s="2" t="str">
        <f xml:space="preserve"> IF( 'From SvanPC++'!A606= "", "", ('From SvanPC++'!A606))</f>
        <v/>
      </c>
      <c r="E615" s="18"/>
      <c r="I615" s="2"/>
    </row>
    <row r="616" spans="1:9" x14ac:dyDescent="0.3">
      <c r="A616" s="2" t="str">
        <f xml:space="preserve"> IF( 'From SvanPC++'!A607= "", "", ('From SvanPC++'!A607))</f>
        <v/>
      </c>
      <c r="E616" s="18"/>
      <c r="I616" s="2"/>
    </row>
    <row r="617" spans="1:9" x14ac:dyDescent="0.3">
      <c r="A617" s="2" t="str">
        <f xml:space="preserve"> IF( 'From SvanPC++'!A608= "", "", ('From SvanPC++'!A608))</f>
        <v/>
      </c>
      <c r="E617" s="18"/>
      <c r="I617" s="2"/>
    </row>
    <row r="618" spans="1:9" x14ac:dyDescent="0.3">
      <c r="A618" s="2" t="str">
        <f xml:space="preserve"> IF( 'From SvanPC++'!A609= "", "", ('From SvanPC++'!A609))</f>
        <v/>
      </c>
      <c r="E618" s="18"/>
      <c r="I618" s="2"/>
    </row>
    <row r="619" spans="1:9" x14ac:dyDescent="0.3">
      <c r="A619" s="2" t="str">
        <f xml:space="preserve"> IF( 'From SvanPC++'!A610= "", "", ('From SvanPC++'!A610))</f>
        <v/>
      </c>
      <c r="E619" s="18"/>
      <c r="I619" s="2"/>
    </row>
    <row r="620" spans="1:9" x14ac:dyDescent="0.3">
      <c r="A620" s="2" t="str">
        <f xml:space="preserve"> IF( 'From SvanPC++'!A611= "", "", ('From SvanPC++'!A611))</f>
        <v/>
      </c>
      <c r="E620" s="18"/>
      <c r="I620" s="2"/>
    </row>
    <row r="621" spans="1:9" x14ac:dyDescent="0.3">
      <c r="A621" s="2" t="str">
        <f xml:space="preserve"> IF( 'From SvanPC++'!A612= "", "", ('From SvanPC++'!A612))</f>
        <v/>
      </c>
      <c r="E621" s="18"/>
      <c r="I621" s="2"/>
    </row>
    <row r="622" spans="1:9" x14ac:dyDescent="0.3">
      <c r="A622" s="2" t="str">
        <f xml:space="preserve"> IF( 'From SvanPC++'!A613= "", "", ('From SvanPC++'!A613))</f>
        <v/>
      </c>
      <c r="E622" s="18"/>
      <c r="I622" s="2"/>
    </row>
    <row r="623" spans="1:9" x14ac:dyDescent="0.3">
      <c r="A623" s="2" t="str">
        <f xml:space="preserve"> IF( 'From SvanPC++'!A614= "", "", ('From SvanPC++'!A614))</f>
        <v/>
      </c>
      <c r="E623" s="18"/>
      <c r="I623" s="2"/>
    </row>
    <row r="624" spans="1:9" x14ac:dyDescent="0.3">
      <c r="A624" s="2" t="str">
        <f xml:space="preserve"> IF( 'From SvanPC++'!A615= "", "", ('From SvanPC++'!A615))</f>
        <v/>
      </c>
      <c r="E624" s="18"/>
      <c r="I624" s="2"/>
    </row>
    <row r="625" spans="1:9" x14ac:dyDescent="0.3">
      <c r="A625" s="2" t="str">
        <f xml:space="preserve"> IF( 'From SvanPC++'!A616= "", "", ('From SvanPC++'!A616))</f>
        <v/>
      </c>
      <c r="E625" s="18"/>
      <c r="I625" s="2"/>
    </row>
    <row r="626" spans="1:9" x14ac:dyDescent="0.3">
      <c r="A626" s="2" t="str">
        <f xml:space="preserve"> IF( 'From SvanPC++'!A617= "", "", ('From SvanPC++'!A617))</f>
        <v/>
      </c>
      <c r="E626" s="18"/>
      <c r="I626" s="2"/>
    </row>
    <row r="627" spans="1:9" x14ac:dyDescent="0.3">
      <c r="A627" s="2" t="str">
        <f xml:space="preserve"> IF( 'From SvanPC++'!A618= "", "", ('From SvanPC++'!A618))</f>
        <v/>
      </c>
      <c r="E627" s="18"/>
      <c r="I627" s="2"/>
    </row>
    <row r="628" spans="1:9" x14ac:dyDescent="0.3">
      <c r="A628" s="2" t="str">
        <f xml:space="preserve"> IF( 'From SvanPC++'!A619= "", "", ('From SvanPC++'!A619))</f>
        <v/>
      </c>
      <c r="E628" s="18"/>
      <c r="I628" s="2"/>
    </row>
    <row r="629" spans="1:9" x14ac:dyDescent="0.3">
      <c r="A629" s="2" t="str">
        <f xml:space="preserve"> IF( 'From SvanPC++'!A620= "", "", ('From SvanPC++'!A620))</f>
        <v/>
      </c>
      <c r="E629" s="18"/>
      <c r="I629" s="2"/>
    </row>
    <row r="630" spans="1:9" x14ac:dyDescent="0.3">
      <c r="A630" s="2" t="str">
        <f xml:space="preserve"> IF( 'From SvanPC++'!A621= "", "", ('From SvanPC++'!A621))</f>
        <v/>
      </c>
      <c r="E630" s="18"/>
      <c r="I630" s="2"/>
    </row>
    <row r="631" spans="1:9" x14ac:dyDescent="0.3">
      <c r="A631" s="2" t="str">
        <f xml:space="preserve"> IF( 'From SvanPC++'!A622= "", "", ('From SvanPC++'!A622))</f>
        <v/>
      </c>
      <c r="E631" s="18"/>
      <c r="I631" s="2"/>
    </row>
    <row r="632" spans="1:9" x14ac:dyDescent="0.3">
      <c r="A632" s="2" t="str">
        <f xml:space="preserve"> IF( 'From SvanPC++'!A623= "", "", ('From SvanPC++'!A623))</f>
        <v/>
      </c>
      <c r="E632" s="18"/>
      <c r="I632" s="2"/>
    </row>
    <row r="633" spans="1:9" x14ac:dyDescent="0.3">
      <c r="A633" s="2" t="str">
        <f xml:space="preserve"> IF( 'From SvanPC++'!A624= "", "", ('From SvanPC++'!A624))</f>
        <v/>
      </c>
      <c r="E633" s="18"/>
      <c r="I633" s="2"/>
    </row>
    <row r="634" spans="1:9" x14ac:dyDescent="0.3">
      <c r="A634" s="2" t="str">
        <f xml:space="preserve"> IF( 'From SvanPC++'!A625= "", "", ('From SvanPC++'!A625))</f>
        <v/>
      </c>
      <c r="E634" s="18"/>
      <c r="I634" s="2"/>
    </row>
    <row r="635" spans="1:9" x14ac:dyDescent="0.3">
      <c r="A635" s="2" t="str">
        <f xml:space="preserve"> IF( 'From SvanPC++'!A626= "", "", ('From SvanPC++'!A626))</f>
        <v/>
      </c>
      <c r="E635" s="18"/>
      <c r="I635" s="2"/>
    </row>
    <row r="636" spans="1:9" x14ac:dyDescent="0.3">
      <c r="A636" s="2" t="str">
        <f xml:space="preserve"> IF( 'From SvanPC++'!A627= "", "", ('From SvanPC++'!A627))</f>
        <v/>
      </c>
      <c r="E636" s="18"/>
      <c r="I636" s="2"/>
    </row>
    <row r="637" spans="1:9" x14ac:dyDescent="0.3">
      <c r="A637" s="2" t="str">
        <f xml:space="preserve"> IF( 'From SvanPC++'!A628= "", "", ('From SvanPC++'!A628))</f>
        <v/>
      </c>
      <c r="E637" s="18"/>
      <c r="I637" s="2"/>
    </row>
    <row r="638" spans="1:9" x14ac:dyDescent="0.3">
      <c r="A638" s="2" t="str">
        <f xml:space="preserve"> IF( 'From SvanPC++'!A629= "", "", ('From SvanPC++'!A629))</f>
        <v/>
      </c>
      <c r="E638" s="18"/>
      <c r="I638" s="2"/>
    </row>
    <row r="639" spans="1:9" x14ac:dyDescent="0.3">
      <c r="A639" s="2" t="str">
        <f xml:space="preserve"> IF( 'From SvanPC++'!A630= "", "", ('From SvanPC++'!A630))</f>
        <v/>
      </c>
      <c r="E639" s="18"/>
      <c r="I639" s="2"/>
    </row>
    <row r="640" spans="1:9" x14ac:dyDescent="0.3">
      <c r="A640" s="2" t="str">
        <f xml:space="preserve"> IF( 'From SvanPC++'!A631= "", "", ('From SvanPC++'!A631))</f>
        <v/>
      </c>
      <c r="E640" s="18"/>
      <c r="I640" s="2"/>
    </row>
    <row r="641" spans="1:9" x14ac:dyDescent="0.3">
      <c r="A641" s="2" t="str">
        <f xml:space="preserve"> IF( 'From SvanPC++'!A632= "", "", ('From SvanPC++'!A632))</f>
        <v/>
      </c>
      <c r="E641" s="18"/>
      <c r="I641" s="2"/>
    </row>
    <row r="642" spans="1:9" x14ac:dyDescent="0.3">
      <c r="A642" s="2" t="str">
        <f xml:space="preserve"> IF( 'From SvanPC++'!A633= "", "", ('From SvanPC++'!A633))</f>
        <v/>
      </c>
      <c r="E642" s="18"/>
      <c r="I642" s="2"/>
    </row>
    <row r="643" spans="1:9" x14ac:dyDescent="0.3">
      <c r="A643" s="2" t="str">
        <f xml:space="preserve"> IF( 'From SvanPC++'!A634= "", "", ('From SvanPC++'!A634))</f>
        <v/>
      </c>
      <c r="E643" s="18"/>
      <c r="I643" s="2"/>
    </row>
    <row r="644" spans="1:9" x14ac:dyDescent="0.3">
      <c r="A644" s="2" t="str">
        <f xml:space="preserve"> IF( 'From SvanPC++'!A635= "", "", ('From SvanPC++'!A635))</f>
        <v/>
      </c>
      <c r="E644" s="18"/>
      <c r="I644" s="2"/>
    </row>
    <row r="645" spans="1:9" x14ac:dyDescent="0.3">
      <c r="A645" s="2" t="str">
        <f xml:space="preserve"> IF( 'From SvanPC++'!A636= "", "", ('From SvanPC++'!A636))</f>
        <v/>
      </c>
      <c r="E645" s="18"/>
      <c r="I645" s="2"/>
    </row>
    <row r="646" spans="1:9" x14ac:dyDescent="0.3">
      <c r="A646" s="2" t="str">
        <f xml:space="preserve"> IF( 'From SvanPC++'!A637= "", "", ('From SvanPC++'!A637))</f>
        <v/>
      </c>
      <c r="E646" s="18"/>
      <c r="I646" s="2"/>
    </row>
    <row r="647" spans="1:9" x14ac:dyDescent="0.3">
      <c r="A647" s="2" t="str">
        <f xml:space="preserve"> IF( 'From SvanPC++'!A638= "", "", ('From SvanPC++'!A638))</f>
        <v/>
      </c>
      <c r="E647" s="18"/>
      <c r="I647" s="2"/>
    </row>
    <row r="648" spans="1:9" x14ac:dyDescent="0.3">
      <c r="A648" s="2" t="str">
        <f xml:space="preserve"> IF( 'From SvanPC++'!A639= "", "", ('From SvanPC++'!A639))</f>
        <v/>
      </c>
      <c r="E648" s="18"/>
      <c r="I648" s="2"/>
    </row>
    <row r="649" spans="1:9" x14ac:dyDescent="0.3">
      <c r="A649" s="2" t="str">
        <f xml:space="preserve"> IF( 'From SvanPC++'!A640= "", "", ('From SvanPC++'!A640))</f>
        <v/>
      </c>
      <c r="E649" s="18"/>
      <c r="I649" s="2"/>
    </row>
    <row r="650" spans="1:9" x14ac:dyDescent="0.3">
      <c r="A650" s="2" t="str">
        <f xml:space="preserve"> IF( 'From SvanPC++'!A641= "", "", ('From SvanPC++'!A641))</f>
        <v/>
      </c>
      <c r="E650" s="18"/>
      <c r="I650" s="2"/>
    </row>
    <row r="651" spans="1:9" x14ac:dyDescent="0.3">
      <c r="A651" s="2" t="str">
        <f xml:space="preserve"> IF( 'From SvanPC++'!A642= "", "", ('From SvanPC++'!A642))</f>
        <v/>
      </c>
      <c r="E651" s="18"/>
      <c r="I651" s="2"/>
    </row>
    <row r="652" spans="1:9" x14ac:dyDescent="0.3">
      <c r="A652" s="2" t="str">
        <f xml:space="preserve"> IF( 'From SvanPC++'!A643= "", "", ('From SvanPC++'!A643))</f>
        <v/>
      </c>
      <c r="E652" s="18"/>
      <c r="I652" s="2"/>
    </row>
    <row r="653" spans="1:9" x14ac:dyDescent="0.3">
      <c r="A653" s="2" t="str">
        <f xml:space="preserve"> IF( 'From SvanPC++'!A644= "", "", ('From SvanPC++'!A644))</f>
        <v/>
      </c>
      <c r="E653" s="18"/>
      <c r="I653" s="2"/>
    </row>
    <row r="654" spans="1:9" x14ac:dyDescent="0.3">
      <c r="A654" s="2" t="str">
        <f xml:space="preserve"> IF( 'From SvanPC++'!A645= "", "", ('From SvanPC++'!A645))</f>
        <v/>
      </c>
      <c r="E654" s="18"/>
      <c r="I654" s="2"/>
    </row>
    <row r="655" spans="1:9" x14ac:dyDescent="0.3">
      <c r="A655" s="2" t="str">
        <f xml:space="preserve"> IF( 'From SvanPC++'!A646= "", "", ('From SvanPC++'!A646))</f>
        <v/>
      </c>
      <c r="E655" s="18"/>
      <c r="I655" s="2"/>
    </row>
    <row r="656" spans="1:9" x14ac:dyDescent="0.3">
      <c r="A656" s="2" t="str">
        <f xml:space="preserve"> IF( 'From SvanPC++'!A647= "", "", ('From SvanPC++'!A647))</f>
        <v/>
      </c>
      <c r="E656" s="18"/>
      <c r="I656" s="2"/>
    </row>
    <row r="657" spans="1:9" x14ac:dyDescent="0.3">
      <c r="A657" s="2" t="str">
        <f xml:space="preserve"> IF( 'From SvanPC++'!A648= "", "", ('From SvanPC++'!A648))</f>
        <v/>
      </c>
      <c r="E657" s="18"/>
      <c r="I657" s="2"/>
    </row>
    <row r="658" spans="1:9" x14ac:dyDescent="0.3">
      <c r="A658" s="2" t="str">
        <f xml:space="preserve"> IF( 'From SvanPC++'!A649= "", "", ('From SvanPC++'!A649))</f>
        <v/>
      </c>
      <c r="E658" s="18"/>
      <c r="I658" s="2"/>
    </row>
    <row r="659" spans="1:9" x14ac:dyDescent="0.3">
      <c r="A659" s="2" t="str">
        <f xml:space="preserve"> IF( 'From SvanPC++'!A650= "", "", ('From SvanPC++'!A650))</f>
        <v/>
      </c>
      <c r="E659" s="18"/>
      <c r="I659" s="2"/>
    </row>
    <row r="660" spans="1:9" x14ac:dyDescent="0.3">
      <c r="A660" s="2" t="str">
        <f xml:space="preserve"> IF( 'From SvanPC++'!A651= "", "", ('From SvanPC++'!A651))</f>
        <v/>
      </c>
      <c r="E660" s="18"/>
      <c r="I660" s="2"/>
    </row>
    <row r="661" spans="1:9" x14ac:dyDescent="0.3">
      <c r="A661" s="2" t="str">
        <f xml:space="preserve"> IF( 'From SvanPC++'!A652= "", "", ('From SvanPC++'!A652))</f>
        <v/>
      </c>
      <c r="E661" s="18"/>
      <c r="I661" s="2"/>
    </row>
    <row r="662" spans="1:9" x14ac:dyDescent="0.3">
      <c r="A662" s="2" t="str">
        <f xml:space="preserve"> IF( 'From SvanPC++'!A653= "", "", ('From SvanPC++'!A653))</f>
        <v/>
      </c>
      <c r="E662" s="18"/>
      <c r="I662" s="2"/>
    </row>
    <row r="663" spans="1:9" x14ac:dyDescent="0.3">
      <c r="A663" s="2" t="str">
        <f xml:space="preserve"> IF( 'From SvanPC++'!A654= "", "", ('From SvanPC++'!A654))</f>
        <v/>
      </c>
      <c r="E663" s="18"/>
      <c r="I663" s="2"/>
    </row>
    <row r="664" spans="1:9" x14ac:dyDescent="0.3">
      <c r="A664" s="2" t="str">
        <f xml:space="preserve"> IF( 'From SvanPC++'!A655= "", "", ('From SvanPC++'!A655))</f>
        <v/>
      </c>
      <c r="E664" s="18"/>
      <c r="I664" s="2"/>
    </row>
    <row r="665" spans="1:9" x14ac:dyDescent="0.3">
      <c r="A665" s="2" t="str">
        <f xml:space="preserve"> IF( 'From SvanPC++'!A656= "", "", ('From SvanPC++'!A656))</f>
        <v/>
      </c>
      <c r="E665" s="18"/>
      <c r="I665" s="2"/>
    </row>
    <row r="666" spans="1:9" x14ac:dyDescent="0.3">
      <c r="A666" s="2" t="str">
        <f xml:space="preserve"> IF( 'From SvanPC++'!A657= "", "", ('From SvanPC++'!A657))</f>
        <v/>
      </c>
      <c r="E666" s="18"/>
      <c r="I666" s="2"/>
    </row>
    <row r="667" spans="1:9" x14ac:dyDescent="0.3">
      <c r="A667" s="2" t="str">
        <f xml:space="preserve"> IF( 'From SvanPC++'!A658= "", "", ('From SvanPC++'!A658))</f>
        <v/>
      </c>
      <c r="E667" s="18"/>
      <c r="I667" s="2"/>
    </row>
    <row r="668" spans="1:9" x14ac:dyDescent="0.3">
      <c r="A668" s="2" t="str">
        <f xml:space="preserve"> IF( 'From SvanPC++'!A659= "", "", ('From SvanPC++'!A659))</f>
        <v/>
      </c>
      <c r="E668" s="18"/>
      <c r="I668" s="2"/>
    </row>
    <row r="669" spans="1:9" x14ac:dyDescent="0.3">
      <c r="A669" s="2" t="str">
        <f xml:space="preserve"> IF( 'From SvanPC++'!A660= "", "", ('From SvanPC++'!A660))</f>
        <v/>
      </c>
      <c r="E669" s="18"/>
      <c r="I669" s="2"/>
    </row>
    <row r="670" spans="1:9" x14ac:dyDescent="0.3">
      <c r="A670" s="2" t="str">
        <f xml:space="preserve"> IF( 'From SvanPC++'!A661= "", "", ('From SvanPC++'!A661))</f>
        <v/>
      </c>
      <c r="E670" s="18"/>
      <c r="I670" s="2"/>
    </row>
    <row r="671" spans="1:9" x14ac:dyDescent="0.3">
      <c r="A671" s="2" t="str">
        <f xml:space="preserve"> IF( 'From SvanPC++'!A662= "", "", ('From SvanPC++'!A662))</f>
        <v/>
      </c>
      <c r="E671" s="18"/>
      <c r="I671" s="2"/>
    </row>
    <row r="672" spans="1:9" x14ac:dyDescent="0.3">
      <c r="A672" s="2" t="str">
        <f xml:space="preserve"> IF( 'From SvanPC++'!A663= "", "", ('From SvanPC++'!A663))</f>
        <v/>
      </c>
      <c r="E672" s="18"/>
      <c r="I672" s="2"/>
    </row>
    <row r="673" spans="1:9" x14ac:dyDescent="0.3">
      <c r="A673" s="2" t="str">
        <f xml:space="preserve"> IF( 'From SvanPC++'!A664= "", "", ('From SvanPC++'!A664))</f>
        <v/>
      </c>
      <c r="E673" s="18"/>
      <c r="I673" s="2"/>
    </row>
    <row r="674" spans="1:9" x14ac:dyDescent="0.3">
      <c r="A674" s="2" t="str">
        <f xml:space="preserve"> IF( 'From SvanPC++'!A665= "", "", ('From SvanPC++'!A665))</f>
        <v/>
      </c>
      <c r="E674" s="18"/>
      <c r="I674" s="2"/>
    </row>
    <row r="675" spans="1:9" x14ac:dyDescent="0.3">
      <c r="A675" s="2" t="str">
        <f xml:space="preserve"> IF( 'From SvanPC++'!A666= "", "", ('From SvanPC++'!A666))</f>
        <v/>
      </c>
      <c r="E675" s="18"/>
      <c r="I675" s="2"/>
    </row>
    <row r="676" spans="1:9" x14ac:dyDescent="0.3">
      <c r="A676" s="2" t="str">
        <f xml:space="preserve"> IF( 'From SvanPC++'!A667= "", "", ('From SvanPC++'!A667))</f>
        <v/>
      </c>
      <c r="E676" s="18"/>
      <c r="I676" s="2"/>
    </row>
    <row r="677" spans="1:9" x14ac:dyDescent="0.3">
      <c r="A677" s="2" t="str">
        <f xml:space="preserve"> IF( 'From SvanPC++'!A668= "", "", ('From SvanPC++'!A668))</f>
        <v/>
      </c>
      <c r="E677" s="18"/>
      <c r="I677" s="2"/>
    </row>
    <row r="678" spans="1:9" x14ac:dyDescent="0.3">
      <c r="A678" s="2" t="str">
        <f xml:space="preserve"> IF( 'From SvanPC++'!A669= "", "", ('From SvanPC++'!A669))</f>
        <v/>
      </c>
      <c r="E678" s="18"/>
      <c r="I678" s="2"/>
    </row>
    <row r="679" spans="1:9" x14ac:dyDescent="0.3">
      <c r="A679" s="2" t="str">
        <f xml:space="preserve"> IF( 'From SvanPC++'!A670= "", "", ('From SvanPC++'!A670))</f>
        <v/>
      </c>
      <c r="E679" s="18"/>
      <c r="I679" s="2"/>
    </row>
    <row r="680" spans="1:9" x14ac:dyDescent="0.3">
      <c r="A680" s="2" t="str">
        <f xml:space="preserve"> IF( 'From SvanPC++'!A671= "", "", ('From SvanPC++'!A671))</f>
        <v/>
      </c>
      <c r="E680" s="18"/>
      <c r="I680" s="2"/>
    </row>
    <row r="681" spans="1:9" x14ac:dyDescent="0.3">
      <c r="A681" s="2" t="str">
        <f xml:space="preserve"> IF( 'From SvanPC++'!A672= "", "", ('From SvanPC++'!A672))</f>
        <v/>
      </c>
      <c r="E681" s="18"/>
      <c r="I681" s="2"/>
    </row>
    <row r="682" spans="1:9" x14ac:dyDescent="0.3">
      <c r="A682" s="2" t="str">
        <f xml:space="preserve"> IF( 'From SvanPC++'!A673= "", "", ('From SvanPC++'!A673))</f>
        <v/>
      </c>
      <c r="E682" s="18"/>
      <c r="I682" s="2"/>
    </row>
    <row r="683" spans="1:9" x14ac:dyDescent="0.3">
      <c r="A683" s="2" t="str">
        <f xml:space="preserve"> IF( 'From SvanPC++'!A674= "", "", ('From SvanPC++'!A674))</f>
        <v/>
      </c>
      <c r="E683" s="18"/>
      <c r="I683" s="2"/>
    </row>
    <row r="684" spans="1:9" x14ac:dyDescent="0.3">
      <c r="A684" s="2" t="str">
        <f xml:space="preserve"> IF( 'From SvanPC++'!A675= "", "", ('From SvanPC++'!A675))</f>
        <v/>
      </c>
      <c r="E684" s="18"/>
      <c r="I684" s="2"/>
    </row>
    <row r="685" spans="1:9" x14ac:dyDescent="0.3">
      <c r="A685" s="2" t="str">
        <f xml:space="preserve"> IF( 'From SvanPC++'!A676= "", "", ('From SvanPC++'!A676))</f>
        <v/>
      </c>
      <c r="E685" s="18"/>
      <c r="I685" s="2"/>
    </row>
    <row r="686" spans="1:9" x14ac:dyDescent="0.3">
      <c r="A686" s="2" t="str">
        <f xml:space="preserve"> IF( 'From SvanPC++'!A677= "", "", ('From SvanPC++'!A677))</f>
        <v/>
      </c>
      <c r="E686" s="18"/>
      <c r="I686" s="2"/>
    </row>
    <row r="687" spans="1:9" x14ac:dyDescent="0.3">
      <c r="A687" s="2" t="str">
        <f xml:space="preserve"> IF( 'From SvanPC++'!A678= "", "", ('From SvanPC++'!A678))</f>
        <v/>
      </c>
      <c r="E687" s="18"/>
      <c r="I687" s="2"/>
    </row>
    <row r="688" spans="1:9" x14ac:dyDescent="0.3">
      <c r="A688" s="2" t="str">
        <f xml:space="preserve"> IF( 'From SvanPC++'!A679= "", "", ('From SvanPC++'!A679))</f>
        <v/>
      </c>
      <c r="E688" s="18"/>
      <c r="I688" s="2"/>
    </row>
    <row r="689" spans="1:9" x14ac:dyDescent="0.3">
      <c r="A689" s="2" t="str">
        <f xml:space="preserve"> IF( 'From SvanPC++'!A680= "", "", ('From SvanPC++'!A680))</f>
        <v/>
      </c>
      <c r="E689" s="18"/>
      <c r="I689" s="2"/>
    </row>
    <row r="690" spans="1:9" x14ac:dyDescent="0.3">
      <c r="A690" s="2" t="str">
        <f xml:space="preserve"> IF( 'From SvanPC++'!A681= "", "", ('From SvanPC++'!A681))</f>
        <v/>
      </c>
      <c r="E690" s="18"/>
      <c r="I690" s="2"/>
    </row>
    <row r="691" spans="1:9" x14ac:dyDescent="0.3">
      <c r="A691" s="2" t="str">
        <f xml:space="preserve"> IF( 'From SvanPC++'!A682= "", "", ('From SvanPC++'!A682))</f>
        <v/>
      </c>
      <c r="E691" s="18"/>
      <c r="I691" s="2"/>
    </row>
    <row r="692" spans="1:9" x14ac:dyDescent="0.3">
      <c r="A692" s="2" t="str">
        <f xml:space="preserve"> IF( 'From SvanPC++'!A683= "", "", ('From SvanPC++'!A683))</f>
        <v/>
      </c>
      <c r="E692" s="18"/>
      <c r="I692" s="2"/>
    </row>
    <row r="693" spans="1:9" x14ac:dyDescent="0.3">
      <c r="A693" s="2" t="str">
        <f xml:space="preserve"> IF( 'From SvanPC++'!A684= "", "", ('From SvanPC++'!A684))</f>
        <v/>
      </c>
      <c r="E693" s="18"/>
      <c r="I693" s="2"/>
    </row>
    <row r="694" spans="1:9" x14ac:dyDescent="0.3">
      <c r="A694" s="2" t="str">
        <f xml:space="preserve"> IF( 'From SvanPC++'!A685= "", "", ('From SvanPC++'!A685))</f>
        <v/>
      </c>
      <c r="E694" s="18"/>
      <c r="I694" s="2"/>
    </row>
    <row r="695" spans="1:9" x14ac:dyDescent="0.3">
      <c r="A695" s="2" t="str">
        <f xml:space="preserve"> IF( 'From SvanPC++'!A686= "", "", ('From SvanPC++'!A686))</f>
        <v/>
      </c>
      <c r="E695" s="18"/>
      <c r="I695" s="2"/>
    </row>
    <row r="696" spans="1:9" x14ac:dyDescent="0.3">
      <c r="A696" s="2" t="str">
        <f xml:space="preserve"> IF( 'From SvanPC++'!A687= "", "", ('From SvanPC++'!A687))</f>
        <v/>
      </c>
      <c r="E696" s="18"/>
      <c r="I696" s="2"/>
    </row>
    <row r="697" spans="1:9" x14ac:dyDescent="0.3">
      <c r="A697" s="2" t="str">
        <f xml:space="preserve"> IF( 'From SvanPC++'!A688= "", "", ('From SvanPC++'!A688))</f>
        <v/>
      </c>
      <c r="E697" s="18"/>
      <c r="I697" s="2"/>
    </row>
    <row r="698" spans="1:9" x14ac:dyDescent="0.3">
      <c r="A698" s="2" t="str">
        <f xml:space="preserve"> IF( 'From SvanPC++'!A689= "", "", ('From SvanPC++'!A689))</f>
        <v/>
      </c>
      <c r="E698" s="18"/>
      <c r="I698" s="2"/>
    </row>
    <row r="699" spans="1:9" x14ac:dyDescent="0.3">
      <c r="A699" s="2" t="str">
        <f xml:space="preserve"> IF( 'From SvanPC++'!A690= "", "", ('From SvanPC++'!A690))</f>
        <v/>
      </c>
      <c r="E699" s="18"/>
      <c r="I699" s="2"/>
    </row>
    <row r="700" spans="1:9" x14ac:dyDescent="0.3">
      <c r="A700" s="2" t="str">
        <f xml:space="preserve"> IF( 'From SvanPC++'!A691= "", "", ('From SvanPC++'!A691))</f>
        <v/>
      </c>
      <c r="E700" s="18"/>
      <c r="I700" s="2"/>
    </row>
    <row r="701" spans="1:9" x14ac:dyDescent="0.3">
      <c r="A701" s="2" t="str">
        <f xml:space="preserve"> IF( 'From SvanPC++'!A692= "", "", ('From SvanPC++'!A692))</f>
        <v/>
      </c>
      <c r="E701" s="18"/>
      <c r="I701" s="2"/>
    </row>
    <row r="702" spans="1:9" x14ac:dyDescent="0.3">
      <c r="A702" s="2" t="str">
        <f xml:space="preserve"> IF( 'From SvanPC++'!A693= "", "", ('From SvanPC++'!A693))</f>
        <v/>
      </c>
      <c r="E702" s="18"/>
      <c r="I702" s="2"/>
    </row>
    <row r="703" spans="1:9" x14ac:dyDescent="0.3">
      <c r="A703" s="2" t="str">
        <f xml:space="preserve"> IF( 'From SvanPC++'!A694= "", "", ('From SvanPC++'!A694))</f>
        <v/>
      </c>
      <c r="E703" s="18"/>
      <c r="I703" s="2"/>
    </row>
    <row r="704" spans="1:9" x14ac:dyDescent="0.3">
      <c r="A704" s="2" t="str">
        <f xml:space="preserve"> IF( 'From SvanPC++'!A695= "", "", ('From SvanPC++'!A695))</f>
        <v/>
      </c>
      <c r="E704" s="18"/>
      <c r="I704" s="2"/>
    </row>
    <row r="705" spans="1:9" x14ac:dyDescent="0.3">
      <c r="A705" s="2" t="str">
        <f xml:space="preserve"> IF( 'From SvanPC++'!A696= "", "", ('From SvanPC++'!A696))</f>
        <v/>
      </c>
      <c r="E705" s="18"/>
      <c r="I705" s="2"/>
    </row>
    <row r="706" spans="1:9" x14ac:dyDescent="0.3">
      <c r="A706" s="2" t="str">
        <f xml:space="preserve"> IF( 'From SvanPC++'!A697= "", "", ('From SvanPC++'!A697))</f>
        <v/>
      </c>
      <c r="E706" s="18"/>
      <c r="I706" s="2"/>
    </row>
    <row r="707" spans="1:9" x14ac:dyDescent="0.3">
      <c r="A707" s="2" t="str">
        <f xml:space="preserve"> IF( 'From SvanPC++'!A698= "", "", ('From SvanPC++'!A698))</f>
        <v/>
      </c>
      <c r="E707" s="18"/>
      <c r="I707" s="2"/>
    </row>
    <row r="708" spans="1:9" x14ac:dyDescent="0.3">
      <c r="A708" s="2" t="str">
        <f xml:space="preserve"> IF( 'From SvanPC++'!A699= "", "", ('From SvanPC++'!A699))</f>
        <v/>
      </c>
      <c r="E708" s="18"/>
      <c r="I708" s="2"/>
    </row>
    <row r="709" spans="1:9" x14ac:dyDescent="0.3">
      <c r="A709" s="2" t="str">
        <f xml:space="preserve"> IF( 'From SvanPC++'!A700= "", "", ('From SvanPC++'!A700))</f>
        <v/>
      </c>
      <c r="E709" s="18"/>
      <c r="I709" s="2"/>
    </row>
    <row r="710" spans="1:9" x14ac:dyDescent="0.3">
      <c r="A710" s="2" t="str">
        <f xml:space="preserve"> IF( 'From SvanPC++'!A701= "", "", ('From SvanPC++'!A701))</f>
        <v/>
      </c>
      <c r="E710" s="18"/>
      <c r="I710" s="2"/>
    </row>
    <row r="711" spans="1:9" x14ac:dyDescent="0.3">
      <c r="A711" s="2" t="str">
        <f xml:space="preserve"> IF( 'From SvanPC++'!A702= "", "", ('From SvanPC++'!A702))</f>
        <v/>
      </c>
      <c r="E711" s="18"/>
      <c r="I711" s="2"/>
    </row>
    <row r="712" spans="1:9" x14ac:dyDescent="0.3">
      <c r="A712" s="2" t="str">
        <f xml:space="preserve"> IF( 'From SvanPC++'!A703= "", "", ('From SvanPC++'!A703))</f>
        <v/>
      </c>
      <c r="E712" s="18"/>
      <c r="I712" s="2"/>
    </row>
    <row r="713" spans="1:9" x14ac:dyDescent="0.3">
      <c r="A713" s="2" t="str">
        <f xml:space="preserve"> IF( 'From SvanPC++'!A704= "", "", ('From SvanPC++'!A704))</f>
        <v/>
      </c>
      <c r="E713" s="18"/>
      <c r="I713" s="2"/>
    </row>
    <row r="714" spans="1:9" x14ac:dyDescent="0.3">
      <c r="A714" s="2" t="str">
        <f xml:space="preserve"> IF( 'From SvanPC++'!A705= "", "", ('From SvanPC++'!A705))</f>
        <v/>
      </c>
      <c r="E714" s="18"/>
      <c r="I714" s="2"/>
    </row>
    <row r="715" spans="1:9" x14ac:dyDescent="0.3">
      <c r="A715" s="2" t="str">
        <f xml:space="preserve"> IF( 'From SvanPC++'!A706= "", "", ('From SvanPC++'!A706))</f>
        <v/>
      </c>
      <c r="E715" s="18"/>
      <c r="I715" s="2"/>
    </row>
    <row r="716" spans="1:9" x14ac:dyDescent="0.3">
      <c r="A716" s="2" t="str">
        <f xml:space="preserve"> IF( 'From SvanPC++'!A707= "", "", ('From SvanPC++'!A707))</f>
        <v/>
      </c>
      <c r="E716" s="18"/>
      <c r="I716" s="2"/>
    </row>
    <row r="717" spans="1:9" x14ac:dyDescent="0.3">
      <c r="A717" s="2" t="str">
        <f xml:space="preserve"> IF( 'From SvanPC++'!A708= "", "", ('From SvanPC++'!A708))</f>
        <v/>
      </c>
      <c r="E717" s="18"/>
      <c r="I717" s="2"/>
    </row>
    <row r="718" spans="1:9" x14ac:dyDescent="0.3">
      <c r="A718" s="2" t="str">
        <f xml:space="preserve"> IF( 'From SvanPC++'!A709= "", "", ('From SvanPC++'!A709))</f>
        <v/>
      </c>
      <c r="E718" s="18"/>
      <c r="I718" s="2"/>
    </row>
    <row r="719" spans="1:9" x14ac:dyDescent="0.3">
      <c r="A719" s="2" t="str">
        <f xml:space="preserve"> IF( 'From SvanPC++'!A710= "", "", ('From SvanPC++'!A710))</f>
        <v/>
      </c>
      <c r="E719" s="18"/>
      <c r="I719" s="2"/>
    </row>
    <row r="720" spans="1:9" x14ac:dyDescent="0.3">
      <c r="A720" s="2" t="str">
        <f xml:space="preserve"> IF( 'From SvanPC++'!A711= "", "", ('From SvanPC++'!A711))</f>
        <v/>
      </c>
      <c r="E720" s="18"/>
      <c r="I720" s="2"/>
    </row>
    <row r="721" spans="1:9" x14ac:dyDescent="0.3">
      <c r="A721" s="2" t="str">
        <f xml:space="preserve"> IF( 'From SvanPC++'!A712= "", "", ('From SvanPC++'!A712))</f>
        <v/>
      </c>
      <c r="E721" s="18"/>
      <c r="I721" s="2"/>
    </row>
    <row r="722" spans="1:9" x14ac:dyDescent="0.3">
      <c r="A722" s="2" t="str">
        <f xml:space="preserve"> IF( 'From SvanPC++'!A713= "", "", ('From SvanPC++'!A713))</f>
        <v/>
      </c>
      <c r="E722" s="18"/>
      <c r="I722" s="2"/>
    </row>
    <row r="723" spans="1:9" x14ac:dyDescent="0.3">
      <c r="A723" s="2" t="str">
        <f xml:space="preserve"> IF( 'From SvanPC++'!A714= "", "", ('From SvanPC++'!A714))</f>
        <v/>
      </c>
      <c r="E723" s="18"/>
      <c r="I723" s="2"/>
    </row>
    <row r="724" spans="1:9" x14ac:dyDescent="0.3">
      <c r="A724" s="2" t="str">
        <f xml:space="preserve"> IF( 'From SvanPC++'!A715= "", "", ('From SvanPC++'!A715))</f>
        <v/>
      </c>
      <c r="E724" s="18"/>
      <c r="I724" s="2"/>
    </row>
    <row r="725" spans="1:9" x14ac:dyDescent="0.3">
      <c r="A725" s="2" t="str">
        <f xml:space="preserve"> IF( 'From SvanPC++'!A716= "", "", ('From SvanPC++'!A716))</f>
        <v/>
      </c>
      <c r="E725" s="18"/>
      <c r="I725" s="2"/>
    </row>
    <row r="726" spans="1:9" x14ac:dyDescent="0.3">
      <c r="A726" s="2" t="str">
        <f xml:space="preserve"> IF( 'From SvanPC++'!A717= "", "", ('From SvanPC++'!A717))</f>
        <v/>
      </c>
      <c r="E726" s="18"/>
      <c r="I726" s="2"/>
    </row>
    <row r="727" spans="1:9" x14ac:dyDescent="0.3">
      <c r="A727" s="2" t="str">
        <f xml:space="preserve"> IF( 'From SvanPC++'!A718= "", "", ('From SvanPC++'!A718))</f>
        <v/>
      </c>
      <c r="E727" s="18"/>
      <c r="I727" s="2"/>
    </row>
    <row r="728" spans="1:9" x14ac:dyDescent="0.3">
      <c r="A728" s="2" t="str">
        <f xml:space="preserve"> IF( 'From SvanPC++'!A719= "", "", ('From SvanPC++'!A719))</f>
        <v/>
      </c>
      <c r="E728" s="18"/>
      <c r="I728" s="2"/>
    </row>
    <row r="729" spans="1:9" x14ac:dyDescent="0.3">
      <c r="A729" s="2" t="str">
        <f xml:space="preserve"> IF( 'From SvanPC++'!A720= "", "", ('From SvanPC++'!A720))</f>
        <v/>
      </c>
      <c r="E729" s="18"/>
      <c r="I729" s="2"/>
    </row>
    <row r="730" spans="1:9" x14ac:dyDescent="0.3">
      <c r="A730" s="2" t="str">
        <f xml:space="preserve"> IF( 'From SvanPC++'!A721= "", "", ('From SvanPC++'!A721))</f>
        <v/>
      </c>
      <c r="E730" s="18"/>
      <c r="I730" s="2"/>
    </row>
    <row r="731" spans="1:9" x14ac:dyDescent="0.3">
      <c r="A731" s="2" t="str">
        <f xml:space="preserve"> IF( 'From SvanPC++'!A722= "", "", ('From SvanPC++'!A722))</f>
        <v/>
      </c>
      <c r="E731" s="18"/>
      <c r="I731" s="2"/>
    </row>
    <row r="732" spans="1:9" x14ac:dyDescent="0.3">
      <c r="A732" s="2" t="str">
        <f xml:space="preserve"> IF( 'From SvanPC++'!A723= "", "", ('From SvanPC++'!A723))</f>
        <v/>
      </c>
      <c r="E732" s="18"/>
      <c r="I732" s="2"/>
    </row>
    <row r="733" spans="1:9" x14ac:dyDescent="0.3">
      <c r="A733" s="2" t="str">
        <f xml:space="preserve"> IF( 'From SvanPC++'!A724= "", "", ('From SvanPC++'!A724))</f>
        <v/>
      </c>
      <c r="E733" s="18"/>
      <c r="I733" s="2"/>
    </row>
    <row r="734" spans="1:9" x14ac:dyDescent="0.3">
      <c r="A734" s="2" t="str">
        <f xml:space="preserve"> IF( 'From SvanPC++'!A725= "", "", ('From SvanPC++'!A725))</f>
        <v/>
      </c>
      <c r="E734" s="18"/>
      <c r="I734" s="2"/>
    </row>
    <row r="735" spans="1:9" x14ac:dyDescent="0.3">
      <c r="A735" s="2" t="str">
        <f xml:space="preserve"> IF( 'From SvanPC++'!A726= "", "", ('From SvanPC++'!A726))</f>
        <v/>
      </c>
      <c r="E735" s="18"/>
      <c r="I735" s="2"/>
    </row>
    <row r="736" spans="1:9" x14ac:dyDescent="0.3">
      <c r="A736" s="2" t="str">
        <f xml:space="preserve"> IF( 'From SvanPC++'!A727= "", "", ('From SvanPC++'!A727))</f>
        <v/>
      </c>
      <c r="E736" s="18"/>
      <c r="I736" s="2"/>
    </row>
    <row r="737" spans="1:9" x14ac:dyDescent="0.3">
      <c r="A737" s="2" t="str">
        <f xml:space="preserve"> IF( 'From SvanPC++'!A728= "", "", ('From SvanPC++'!A728))</f>
        <v/>
      </c>
      <c r="E737" s="18"/>
      <c r="I737" s="2"/>
    </row>
    <row r="738" spans="1:9" x14ac:dyDescent="0.3">
      <c r="A738" s="2" t="str">
        <f xml:space="preserve"> IF( 'From SvanPC++'!A729= "", "", ('From SvanPC++'!A729))</f>
        <v/>
      </c>
      <c r="E738" s="18"/>
      <c r="I738" s="2"/>
    </row>
    <row r="739" spans="1:9" x14ac:dyDescent="0.3">
      <c r="A739" s="2" t="str">
        <f xml:space="preserve"> IF( 'From SvanPC++'!A730= "", "", ('From SvanPC++'!A730))</f>
        <v/>
      </c>
      <c r="E739" s="18"/>
      <c r="I739" s="2"/>
    </row>
    <row r="740" spans="1:9" x14ac:dyDescent="0.3">
      <c r="A740" s="2" t="str">
        <f xml:space="preserve"> IF( 'From SvanPC++'!A731= "", "", ('From SvanPC++'!A731))</f>
        <v/>
      </c>
      <c r="E740" s="18"/>
      <c r="I740" s="2"/>
    </row>
    <row r="741" spans="1:9" x14ac:dyDescent="0.3">
      <c r="A741" s="2" t="str">
        <f xml:space="preserve"> IF( 'From SvanPC++'!A732= "", "", ('From SvanPC++'!A732))</f>
        <v/>
      </c>
      <c r="E741" s="18"/>
      <c r="I741" s="2"/>
    </row>
    <row r="742" spans="1:9" x14ac:dyDescent="0.3">
      <c r="A742" s="2" t="str">
        <f xml:space="preserve"> IF( 'From SvanPC++'!A733= "", "", ('From SvanPC++'!A733))</f>
        <v/>
      </c>
      <c r="E742" s="18"/>
      <c r="I742" s="2"/>
    </row>
    <row r="743" spans="1:9" x14ac:dyDescent="0.3">
      <c r="A743" s="2" t="str">
        <f xml:space="preserve"> IF( 'From SvanPC++'!A734= "", "", ('From SvanPC++'!A734))</f>
        <v/>
      </c>
      <c r="E743" s="18"/>
      <c r="I743" s="2"/>
    </row>
    <row r="744" spans="1:9" x14ac:dyDescent="0.3">
      <c r="A744" s="2" t="str">
        <f xml:space="preserve"> IF( 'From SvanPC++'!A735= "", "", ('From SvanPC++'!A735))</f>
        <v/>
      </c>
      <c r="E744" s="18"/>
      <c r="I744" s="2"/>
    </row>
    <row r="745" spans="1:9" x14ac:dyDescent="0.3">
      <c r="A745" s="2" t="str">
        <f xml:space="preserve"> IF( 'From SvanPC++'!A736= "", "", ('From SvanPC++'!A736))</f>
        <v/>
      </c>
      <c r="E745" s="18"/>
      <c r="I745" s="2"/>
    </row>
    <row r="746" spans="1:9" x14ac:dyDescent="0.3">
      <c r="A746" s="2" t="str">
        <f xml:space="preserve"> IF( 'From SvanPC++'!A737= "", "", ('From SvanPC++'!A737))</f>
        <v/>
      </c>
      <c r="E746" s="18"/>
      <c r="I746" s="2"/>
    </row>
    <row r="747" spans="1:9" x14ac:dyDescent="0.3">
      <c r="A747" s="2" t="str">
        <f xml:space="preserve"> IF( 'From SvanPC++'!A738= "", "", ('From SvanPC++'!A738))</f>
        <v/>
      </c>
      <c r="E747" s="18"/>
      <c r="I747" s="2"/>
    </row>
    <row r="748" spans="1:9" x14ac:dyDescent="0.3">
      <c r="A748" s="2" t="str">
        <f xml:space="preserve"> IF( 'From SvanPC++'!A739= "", "", ('From SvanPC++'!A739))</f>
        <v/>
      </c>
      <c r="E748" s="18"/>
      <c r="I748" s="2"/>
    </row>
    <row r="749" spans="1:9" x14ac:dyDescent="0.3">
      <c r="A749" s="2" t="str">
        <f xml:space="preserve"> IF( 'From SvanPC++'!A740= "", "", ('From SvanPC++'!A740))</f>
        <v/>
      </c>
      <c r="E749" s="18"/>
      <c r="I749" s="2"/>
    </row>
    <row r="750" spans="1:9" x14ac:dyDescent="0.3">
      <c r="A750" s="2" t="str">
        <f xml:space="preserve"> IF( 'From SvanPC++'!A741= "", "", ('From SvanPC++'!A741))</f>
        <v/>
      </c>
      <c r="E750" s="18"/>
      <c r="I750" s="2"/>
    </row>
    <row r="751" spans="1:9" x14ac:dyDescent="0.3">
      <c r="A751" s="2" t="str">
        <f xml:space="preserve"> IF( 'From SvanPC++'!A742= "", "", ('From SvanPC++'!A742))</f>
        <v/>
      </c>
      <c r="E751" s="18"/>
      <c r="I751" s="2"/>
    </row>
    <row r="752" spans="1:9" x14ac:dyDescent="0.3">
      <c r="A752" s="2" t="str">
        <f xml:space="preserve"> IF( 'From SvanPC++'!A743= "", "", ('From SvanPC++'!A743))</f>
        <v/>
      </c>
      <c r="E752" s="18"/>
      <c r="I752" s="2"/>
    </row>
    <row r="753" spans="1:9" x14ac:dyDescent="0.3">
      <c r="A753" s="2" t="str">
        <f xml:space="preserve"> IF( 'From SvanPC++'!A744= "", "", ('From SvanPC++'!A744))</f>
        <v/>
      </c>
      <c r="E753" s="18"/>
      <c r="I753" s="2"/>
    </row>
    <row r="754" spans="1:9" x14ac:dyDescent="0.3">
      <c r="A754" s="2" t="str">
        <f xml:space="preserve"> IF( 'From SvanPC++'!A745= "", "", ('From SvanPC++'!A745))</f>
        <v/>
      </c>
      <c r="E754" s="18"/>
      <c r="I754" s="2"/>
    </row>
    <row r="755" spans="1:9" x14ac:dyDescent="0.3">
      <c r="A755" s="2" t="str">
        <f xml:space="preserve"> IF( 'From SvanPC++'!A746= "", "", ('From SvanPC++'!A746))</f>
        <v/>
      </c>
      <c r="E755" s="18"/>
      <c r="I755" s="2"/>
    </row>
    <row r="756" spans="1:9" x14ac:dyDescent="0.3">
      <c r="A756" s="2" t="str">
        <f xml:space="preserve"> IF( 'From SvanPC++'!A747= "", "", ('From SvanPC++'!A747))</f>
        <v/>
      </c>
      <c r="E756" s="18"/>
      <c r="I756" s="2"/>
    </row>
    <row r="757" spans="1:9" x14ac:dyDescent="0.3">
      <c r="A757" s="2" t="str">
        <f xml:space="preserve"> IF( 'From SvanPC++'!A748= "", "", ('From SvanPC++'!A748))</f>
        <v/>
      </c>
      <c r="E757" s="18"/>
      <c r="I757" s="2"/>
    </row>
    <row r="758" spans="1:9" x14ac:dyDescent="0.3">
      <c r="A758" s="2" t="str">
        <f xml:space="preserve"> IF( 'From SvanPC++'!A749= "", "", ('From SvanPC++'!A749))</f>
        <v/>
      </c>
      <c r="E758" s="18"/>
      <c r="I758" s="2"/>
    </row>
    <row r="759" spans="1:9" x14ac:dyDescent="0.3">
      <c r="A759" s="2" t="str">
        <f xml:space="preserve"> IF( 'From SvanPC++'!A750= "", "", ('From SvanPC++'!A750))</f>
        <v/>
      </c>
      <c r="E759" s="18"/>
      <c r="I759" s="2"/>
    </row>
    <row r="760" spans="1:9" x14ac:dyDescent="0.3">
      <c r="A760" s="2" t="str">
        <f xml:space="preserve"> IF( 'From SvanPC++'!A751= "", "", ('From SvanPC++'!A751))</f>
        <v/>
      </c>
      <c r="E760" s="18"/>
      <c r="I760" s="2"/>
    </row>
    <row r="761" spans="1:9" x14ac:dyDescent="0.3">
      <c r="A761" s="2" t="str">
        <f xml:space="preserve"> IF( 'From SvanPC++'!A752= "", "", ('From SvanPC++'!A752))</f>
        <v/>
      </c>
      <c r="E761" s="18"/>
      <c r="I761" s="2"/>
    </row>
    <row r="762" spans="1:9" x14ac:dyDescent="0.3">
      <c r="A762" s="2" t="str">
        <f xml:space="preserve"> IF( 'From SvanPC++'!A753= "", "", ('From SvanPC++'!A753))</f>
        <v/>
      </c>
      <c r="E762" s="18"/>
      <c r="I762" s="2"/>
    </row>
    <row r="763" spans="1:9" x14ac:dyDescent="0.3">
      <c r="A763" s="2" t="str">
        <f xml:space="preserve"> IF( 'From SvanPC++'!A754= "", "", ('From SvanPC++'!A754))</f>
        <v/>
      </c>
      <c r="E763" s="18"/>
      <c r="I763" s="2"/>
    </row>
    <row r="764" spans="1:9" x14ac:dyDescent="0.3">
      <c r="A764" s="2" t="str">
        <f xml:space="preserve"> IF( 'From SvanPC++'!A755= "", "", ('From SvanPC++'!A755))</f>
        <v/>
      </c>
      <c r="E764" s="18"/>
      <c r="I764" s="2"/>
    </row>
    <row r="765" spans="1:9" x14ac:dyDescent="0.3">
      <c r="A765" s="2" t="str">
        <f xml:space="preserve"> IF( 'From SvanPC++'!A756= "", "", ('From SvanPC++'!A756))</f>
        <v/>
      </c>
      <c r="E765" s="18"/>
      <c r="I765" s="2"/>
    </row>
    <row r="766" spans="1:9" x14ac:dyDescent="0.3">
      <c r="A766" s="2" t="str">
        <f xml:space="preserve"> IF( 'From SvanPC++'!A757= "", "", ('From SvanPC++'!A757))</f>
        <v/>
      </c>
      <c r="E766" s="18"/>
      <c r="I766" s="2"/>
    </row>
    <row r="767" spans="1:9" x14ac:dyDescent="0.3">
      <c r="A767" s="2" t="str">
        <f xml:space="preserve"> IF( 'From SvanPC++'!A758= "", "", ('From SvanPC++'!A758))</f>
        <v/>
      </c>
      <c r="E767" s="18"/>
      <c r="I767" s="2"/>
    </row>
    <row r="768" spans="1:9" x14ac:dyDescent="0.3">
      <c r="A768" s="2" t="str">
        <f xml:space="preserve"> IF( 'From SvanPC++'!A759= "", "", ('From SvanPC++'!A759))</f>
        <v/>
      </c>
      <c r="E768" s="18"/>
      <c r="I768" s="2"/>
    </row>
    <row r="769" spans="1:9" x14ac:dyDescent="0.3">
      <c r="A769" s="2" t="str">
        <f xml:space="preserve"> IF( 'From SvanPC++'!A760= "", "", ('From SvanPC++'!A760))</f>
        <v/>
      </c>
      <c r="E769" s="18"/>
      <c r="I769" s="2"/>
    </row>
    <row r="770" spans="1:9" x14ac:dyDescent="0.3">
      <c r="A770" s="2" t="str">
        <f xml:space="preserve"> IF( 'From SvanPC++'!A761= "", "", ('From SvanPC++'!A761))</f>
        <v/>
      </c>
      <c r="E770" s="18"/>
      <c r="I770" s="2"/>
    </row>
    <row r="771" spans="1:9" x14ac:dyDescent="0.3">
      <c r="A771" s="2" t="str">
        <f xml:space="preserve"> IF( 'From SvanPC++'!A762= "", "", ('From SvanPC++'!A762))</f>
        <v/>
      </c>
      <c r="E771" s="18"/>
      <c r="I771" s="2"/>
    </row>
    <row r="772" spans="1:9" x14ac:dyDescent="0.3">
      <c r="A772" s="2" t="str">
        <f xml:space="preserve"> IF( 'From SvanPC++'!A763= "", "", ('From SvanPC++'!A763))</f>
        <v/>
      </c>
      <c r="E772" s="18"/>
      <c r="I772" s="2"/>
    </row>
    <row r="773" spans="1:9" x14ac:dyDescent="0.3">
      <c r="A773" s="2" t="str">
        <f xml:space="preserve"> IF( 'From SvanPC++'!A764= "", "", ('From SvanPC++'!A764))</f>
        <v/>
      </c>
      <c r="E773" s="18"/>
      <c r="I773" s="2"/>
    </row>
    <row r="774" spans="1:9" x14ac:dyDescent="0.3">
      <c r="A774" s="2" t="str">
        <f xml:space="preserve"> IF( 'From SvanPC++'!A765= "", "", ('From SvanPC++'!A765))</f>
        <v/>
      </c>
      <c r="E774" s="18"/>
      <c r="I774" s="2"/>
    </row>
    <row r="775" spans="1:9" x14ac:dyDescent="0.3">
      <c r="A775" s="2" t="str">
        <f xml:space="preserve"> IF( 'From SvanPC++'!A766= "", "", ('From SvanPC++'!A766))</f>
        <v/>
      </c>
      <c r="E775" s="18"/>
      <c r="I775" s="2"/>
    </row>
    <row r="776" spans="1:9" x14ac:dyDescent="0.3">
      <c r="A776" s="2" t="str">
        <f xml:space="preserve"> IF( 'From SvanPC++'!A767= "", "", ('From SvanPC++'!A767))</f>
        <v/>
      </c>
      <c r="E776" s="18"/>
      <c r="I776" s="2"/>
    </row>
    <row r="777" spans="1:9" x14ac:dyDescent="0.3">
      <c r="A777" s="2" t="str">
        <f xml:space="preserve"> IF( 'From SvanPC++'!A768= "", "", ('From SvanPC++'!A768))</f>
        <v/>
      </c>
      <c r="E777" s="18"/>
      <c r="I777" s="2"/>
    </row>
    <row r="778" spans="1:9" x14ac:dyDescent="0.3">
      <c r="A778" s="2" t="str">
        <f xml:space="preserve"> IF( 'From SvanPC++'!A769= "", "", ('From SvanPC++'!A769))</f>
        <v/>
      </c>
      <c r="E778" s="18"/>
      <c r="I778" s="2"/>
    </row>
    <row r="779" spans="1:9" x14ac:dyDescent="0.3">
      <c r="A779" s="2" t="str">
        <f xml:space="preserve"> IF( 'From SvanPC++'!A770= "", "", ('From SvanPC++'!A770))</f>
        <v/>
      </c>
      <c r="E779" s="18"/>
      <c r="I779" s="2"/>
    </row>
    <row r="780" spans="1:9" x14ac:dyDescent="0.3">
      <c r="A780" s="2" t="str">
        <f xml:space="preserve"> IF( 'From SvanPC++'!A771= "", "", ('From SvanPC++'!A771))</f>
        <v/>
      </c>
      <c r="E780" s="18"/>
      <c r="I780" s="2"/>
    </row>
    <row r="781" spans="1:9" x14ac:dyDescent="0.3">
      <c r="A781" s="2" t="str">
        <f xml:space="preserve"> IF( 'From SvanPC++'!A772= "", "", ('From SvanPC++'!A772))</f>
        <v/>
      </c>
      <c r="E781" s="18"/>
      <c r="I781" s="2"/>
    </row>
    <row r="782" spans="1:9" x14ac:dyDescent="0.3">
      <c r="A782" s="2" t="str">
        <f xml:space="preserve"> IF( 'From SvanPC++'!A773= "", "", ('From SvanPC++'!A773))</f>
        <v/>
      </c>
      <c r="E782" s="18"/>
      <c r="I782" s="2"/>
    </row>
    <row r="783" spans="1:9" x14ac:dyDescent="0.3">
      <c r="A783" s="2" t="str">
        <f xml:space="preserve"> IF( 'From SvanPC++'!A774= "", "", ('From SvanPC++'!A774))</f>
        <v/>
      </c>
      <c r="E783" s="18"/>
      <c r="I783" s="2"/>
    </row>
    <row r="784" spans="1:9" x14ac:dyDescent="0.3">
      <c r="A784" s="2" t="str">
        <f xml:space="preserve"> IF( 'From SvanPC++'!A775= "", "", ('From SvanPC++'!A775))</f>
        <v/>
      </c>
      <c r="E784" s="18"/>
      <c r="I784" s="2"/>
    </row>
    <row r="785" spans="1:9" x14ac:dyDescent="0.3">
      <c r="A785" s="2" t="str">
        <f xml:space="preserve"> IF( 'From SvanPC++'!A776= "", "", ('From SvanPC++'!A776))</f>
        <v/>
      </c>
      <c r="E785" s="18"/>
      <c r="I785" s="2"/>
    </row>
    <row r="786" spans="1:9" x14ac:dyDescent="0.3">
      <c r="A786" s="2" t="str">
        <f xml:space="preserve"> IF( 'From SvanPC++'!A777= "", "", ('From SvanPC++'!A777))</f>
        <v/>
      </c>
      <c r="E786" s="18"/>
      <c r="I786" s="2"/>
    </row>
    <row r="787" spans="1:9" x14ac:dyDescent="0.3">
      <c r="A787" s="2" t="str">
        <f xml:space="preserve"> IF( 'From SvanPC++'!A778= "", "", ('From SvanPC++'!A778))</f>
        <v/>
      </c>
      <c r="E787" s="18"/>
      <c r="I787" s="2"/>
    </row>
    <row r="788" spans="1:9" x14ac:dyDescent="0.3">
      <c r="A788" s="2" t="str">
        <f xml:space="preserve"> IF( 'From SvanPC++'!A779= "", "", ('From SvanPC++'!A779))</f>
        <v/>
      </c>
      <c r="E788" s="18"/>
      <c r="I788" s="2"/>
    </row>
    <row r="789" spans="1:9" x14ac:dyDescent="0.3">
      <c r="A789" s="2" t="str">
        <f xml:space="preserve"> IF( 'From SvanPC++'!A780= "", "", ('From SvanPC++'!A780))</f>
        <v/>
      </c>
      <c r="E789" s="18"/>
      <c r="I789" s="2"/>
    </row>
    <row r="790" spans="1:9" x14ac:dyDescent="0.3">
      <c r="A790" s="2" t="str">
        <f xml:space="preserve"> IF( 'From SvanPC++'!A781= "", "", ('From SvanPC++'!A781))</f>
        <v/>
      </c>
      <c r="E790" s="18"/>
      <c r="I790" s="2"/>
    </row>
    <row r="791" spans="1:9" x14ac:dyDescent="0.3">
      <c r="A791" s="2" t="str">
        <f xml:space="preserve"> IF( 'From SvanPC++'!A782= "", "", ('From SvanPC++'!A782))</f>
        <v/>
      </c>
      <c r="E791" s="18"/>
      <c r="I791" s="2"/>
    </row>
    <row r="792" spans="1:9" x14ac:dyDescent="0.3">
      <c r="A792" s="2" t="str">
        <f xml:space="preserve"> IF( 'From SvanPC++'!A783= "", "", ('From SvanPC++'!A783))</f>
        <v/>
      </c>
      <c r="E792" s="18"/>
      <c r="I792" s="2"/>
    </row>
    <row r="793" spans="1:9" x14ac:dyDescent="0.3">
      <c r="A793" s="2" t="str">
        <f xml:space="preserve"> IF( 'From SvanPC++'!A784= "", "", ('From SvanPC++'!A784))</f>
        <v/>
      </c>
      <c r="E793" s="18"/>
      <c r="I793" s="2"/>
    </row>
    <row r="794" spans="1:9" x14ac:dyDescent="0.3">
      <c r="A794" s="2" t="str">
        <f xml:space="preserve"> IF( 'From SvanPC++'!A785= "", "", ('From SvanPC++'!A785))</f>
        <v/>
      </c>
      <c r="E794" s="18"/>
      <c r="I794" s="2"/>
    </row>
    <row r="795" spans="1:9" x14ac:dyDescent="0.3">
      <c r="A795" s="2" t="str">
        <f xml:space="preserve"> IF( 'From SvanPC++'!A786= "", "", ('From SvanPC++'!A786))</f>
        <v/>
      </c>
      <c r="E795" s="18"/>
      <c r="I795" s="2"/>
    </row>
    <row r="796" spans="1:9" x14ac:dyDescent="0.3">
      <c r="A796" s="2" t="str">
        <f xml:space="preserve"> IF( 'From SvanPC++'!A787= "", "", ('From SvanPC++'!A787))</f>
        <v/>
      </c>
      <c r="E796" s="18"/>
      <c r="I796" s="2"/>
    </row>
    <row r="797" spans="1:9" x14ac:dyDescent="0.3">
      <c r="A797" s="2" t="str">
        <f xml:space="preserve"> IF( 'From SvanPC++'!A788= "", "", ('From SvanPC++'!A788))</f>
        <v/>
      </c>
      <c r="E797" s="18"/>
      <c r="I797" s="2"/>
    </row>
    <row r="798" spans="1:9" x14ac:dyDescent="0.3">
      <c r="A798" s="2" t="str">
        <f xml:space="preserve"> IF( 'From SvanPC++'!A789= "", "", ('From SvanPC++'!A789))</f>
        <v/>
      </c>
      <c r="E798" s="18"/>
      <c r="I798" s="2"/>
    </row>
    <row r="799" spans="1:9" x14ac:dyDescent="0.3">
      <c r="A799" s="2" t="str">
        <f xml:space="preserve"> IF( 'From SvanPC++'!A790= "", "", ('From SvanPC++'!A790))</f>
        <v/>
      </c>
      <c r="E799" s="18"/>
      <c r="I799" s="2"/>
    </row>
    <row r="800" spans="1:9" x14ac:dyDescent="0.3">
      <c r="A800" s="2" t="str">
        <f xml:space="preserve"> IF( 'From SvanPC++'!A791= "", "", ('From SvanPC++'!A791))</f>
        <v/>
      </c>
      <c r="E800" s="18"/>
      <c r="I800" s="2"/>
    </row>
    <row r="801" spans="1:9" x14ac:dyDescent="0.3">
      <c r="A801" s="2" t="str">
        <f xml:space="preserve"> IF( 'From SvanPC++'!A792= "", "", ('From SvanPC++'!A792))</f>
        <v/>
      </c>
      <c r="E801" s="18"/>
      <c r="I801" s="2"/>
    </row>
    <row r="802" spans="1:9" x14ac:dyDescent="0.3">
      <c r="A802" s="2" t="str">
        <f xml:space="preserve"> IF( 'From SvanPC++'!A793= "", "", ('From SvanPC++'!A793))</f>
        <v/>
      </c>
      <c r="E802" s="18"/>
      <c r="I802" s="2"/>
    </row>
    <row r="803" spans="1:9" x14ac:dyDescent="0.3">
      <c r="A803" s="2" t="str">
        <f xml:space="preserve"> IF( 'From SvanPC++'!A794= "", "", ('From SvanPC++'!A794))</f>
        <v/>
      </c>
      <c r="E803" s="18"/>
      <c r="I803" s="2"/>
    </row>
    <row r="804" spans="1:9" x14ac:dyDescent="0.3">
      <c r="A804" s="2" t="str">
        <f xml:space="preserve"> IF( 'From SvanPC++'!A795= "", "", ('From SvanPC++'!A795))</f>
        <v/>
      </c>
      <c r="E804" s="18"/>
      <c r="I804" s="2"/>
    </row>
    <row r="805" spans="1:9" x14ac:dyDescent="0.3">
      <c r="A805" s="2" t="str">
        <f xml:space="preserve"> IF( 'From SvanPC++'!A796= "", "", ('From SvanPC++'!A796))</f>
        <v/>
      </c>
      <c r="E805" s="18"/>
      <c r="I805" s="2"/>
    </row>
    <row r="806" spans="1:9" x14ac:dyDescent="0.3">
      <c r="A806" s="2" t="str">
        <f xml:space="preserve"> IF( 'From SvanPC++'!A797= "", "", ('From SvanPC++'!A797))</f>
        <v/>
      </c>
      <c r="E806" s="18"/>
      <c r="I806" s="2"/>
    </row>
    <row r="807" spans="1:9" x14ac:dyDescent="0.3">
      <c r="A807" s="2" t="str">
        <f xml:space="preserve"> IF( 'From SvanPC++'!A798= "", "", ('From SvanPC++'!A798))</f>
        <v/>
      </c>
      <c r="E807" s="18"/>
      <c r="I807" s="2"/>
    </row>
    <row r="808" spans="1:9" x14ac:dyDescent="0.3">
      <c r="A808" s="2" t="str">
        <f xml:space="preserve"> IF( 'From SvanPC++'!A799= "", "", ('From SvanPC++'!A799))</f>
        <v/>
      </c>
      <c r="E808" s="18"/>
      <c r="I808" s="2"/>
    </row>
    <row r="809" spans="1:9" x14ac:dyDescent="0.3">
      <c r="A809" s="2" t="str">
        <f xml:space="preserve"> IF( 'From SvanPC++'!A800= "", "", ('From SvanPC++'!A800))</f>
        <v/>
      </c>
      <c r="E809" s="18"/>
      <c r="I809" s="2"/>
    </row>
    <row r="810" spans="1:9" x14ac:dyDescent="0.3">
      <c r="A810" s="2" t="str">
        <f xml:space="preserve"> IF( 'From SvanPC++'!A801= "", "", ('From SvanPC++'!A801))</f>
        <v/>
      </c>
      <c r="E810" s="18"/>
      <c r="I810" s="2"/>
    </row>
    <row r="811" spans="1:9" x14ac:dyDescent="0.3">
      <c r="A811" s="2" t="str">
        <f xml:space="preserve"> IF( 'From SvanPC++'!A802= "", "", ('From SvanPC++'!A802))</f>
        <v/>
      </c>
      <c r="E811" s="18"/>
      <c r="I811" s="2"/>
    </row>
    <row r="812" spans="1:9" x14ac:dyDescent="0.3">
      <c r="A812" s="2" t="str">
        <f xml:space="preserve"> IF( 'From SvanPC++'!A803= "", "", ('From SvanPC++'!A803))</f>
        <v/>
      </c>
      <c r="E812" s="18"/>
      <c r="I812" s="2"/>
    </row>
    <row r="813" spans="1:9" x14ac:dyDescent="0.3">
      <c r="A813" s="2" t="str">
        <f xml:space="preserve"> IF( 'From SvanPC++'!A804= "", "", ('From SvanPC++'!A804))</f>
        <v/>
      </c>
      <c r="E813" s="18"/>
      <c r="I813" s="2"/>
    </row>
    <row r="814" spans="1:9" x14ac:dyDescent="0.3">
      <c r="A814" s="2" t="str">
        <f xml:space="preserve"> IF( 'From SvanPC++'!A805= "", "", ('From SvanPC++'!A805))</f>
        <v/>
      </c>
      <c r="E814" s="18"/>
      <c r="I814" s="2"/>
    </row>
    <row r="815" spans="1:9" x14ac:dyDescent="0.3">
      <c r="A815" s="2" t="str">
        <f xml:space="preserve"> IF( 'From SvanPC++'!A806= "", "", ('From SvanPC++'!A806))</f>
        <v/>
      </c>
      <c r="E815" s="18"/>
      <c r="I815" s="2"/>
    </row>
    <row r="816" spans="1:9" x14ac:dyDescent="0.3">
      <c r="A816" s="2" t="str">
        <f xml:space="preserve"> IF( 'From SvanPC++'!A807= "", "", ('From SvanPC++'!A807))</f>
        <v/>
      </c>
      <c r="E816" s="18"/>
      <c r="I816" s="2"/>
    </row>
    <row r="817" spans="1:9" x14ac:dyDescent="0.3">
      <c r="A817" s="2" t="str">
        <f xml:space="preserve"> IF( 'From SvanPC++'!A808= "", "", ('From SvanPC++'!A808))</f>
        <v/>
      </c>
      <c r="E817" s="18"/>
      <c r="I817" s="2"/>
    </row>
    <row r="818" spans="1:9" x14ac:dyDescent="0.3">
      <c r="A818" s="2" t="str">
        <f xml:space="preserve"> IF( 'From SvanPC++'!A809= "", "", ('From SvanPC++'!A809))</f>
        <v/>
      </c>
      <c r="E818" s="18"/>
      <c r="I818" s="2"/>
    </row>
    <row r="819" spans="1:9" x14ac:dyDescent="0.3">
      <c r="A819" s="2" t="str">
        <f xml:space="preserve"> IF( 'From SvanPC++'!A810= "", "", ('From SvanPC++'!A810))</f>
        <v/>
      </c>
      <c r="E819" s="18"/>
      <c r="I819" s="2"/>
    </row>
    <row r="820" spans="1:9" x14ac:dyDescent="0.3">
      <c r="A820" s="2" t="str">
        <f xml:space="preserve"> IF( 'From SvanPC++'!A811= "", "", ('From SvanPC++'!A811))</f>
        <v/>
      </c>
      <c r="E820" s="18"/>
      <c r="I820" s="2"/>
    </row>
    <row r="821" spans="1:9" x14ac:dyDescent="0.3">
      <c r="A821" s="2" t="str">
        <f xml:space="preserve"> IF( 'From SvanPC++'!A812= "", "", ('From SvanPC++'!A812))</f>
        <v/>
      </c>
      <c r="E821" s="18"/>
      <c r="I821" s="2"/>
    </row>
    <row r="822" spans="1:9" x14ac:dyDescent="0.3">
      <c r="A822" s="2" t="str">
        <f xml:space="preserve"> IF( 'From SvanPC++'!A813= "", "", ('From SvanPC++'!A813))</f>
        <v/>
      </c>
      <c r="E822" s="18"/>
      <c r="I822" s="2"/>
    </row>
    <row r="823" spans="1:9" x14ac:dyDescent="0.3">
      <c r="A823" s="2" t="str">
        <f xml:space="preserve"> IF( 'From SvanPC++'!A814= "", "", ('From SvanPC++'!A814))</f>
        <v/>
      </c>
      <c r="E823" s="18"/>
      <c r="I823" s="2"/>
    </row>
    <row r="824" spans="1:9" x14ac:dyDescent="0.3">
      <c r="A824" s="2" t="str">
        <f xml:space="preserve"> IF( 'From SvanPC++'!A815= "", "", ('From SvanPC++'!A815))</f>
        <v/>
      </c>
      <c r="E824" s="18"/>
      <c r="I824" s="2"/>
    </row>
    <row r="825" spans="1:9" x14ac:dyDescent="0.3">
      <c r="A825" s="2" t="str">
        <f xml:space="preserve"> IF( 'From SvanPC++'!A816= "", "", ('From SvanPC++'!A816))</f>
        <v/>
      </c>
      <c r="E825" s="18"/>
      <c r="I825" s="2"/>
    </row>
    <row r="826" spans="1:9" x14ac:dyDescent="0.3">
      <c r="A826" s="2" t="str">
        <f xml:space="preserve"> IF( 'From SvanPC++'!A817= "", "", ('From SvanPC++'!A817))</f>
        <v/>
      </c>
      <c r="E826" s="18"/>
      <c r="I826" s="2"/>
    </row>
    <row r="827" spans="1:9" x14ac:dyDescent="0.3">
      <c r="A827" s="2" t="str">
        <f xml:space="preserve"> IF( 'From SvanPC++'!A818= "", "", ('From SvanPC++'!A818))</f>
        <v/>
      </c>
      <c r="E827" s="18"/>
      <c r="I827" s="2"/>
    </row>
    <row r="828" spans="1:9" x14ac:dyDescent="0.3">
      <c r="A828" s="2" t="str">
        <f xml:space="preserve"> IF( 'From SvanPC++'!A819= "", "", ('From SvanPC++'!A819))</f>
        <v/>
      </c>
      <c r="E828" s="18"/>
      <c r="I828" s="2"/>
    </row>
    <row r="829" spans="1:9" x14ac:dyDescent="0.3">
      <c r="A829" s="2" t="str">
        <f xml:space="preserve"> IF( 'From SvanPC++'!A820= "", "", ('From SvanPC++'!A820))</f>
        <v/>
      </c>
      <c r="E829" s="18"/>
      <c r="I829" s="2"/>
    </row>
    <row r="830" spans="1:9" x14ac:dyDescent="0.3">
      <c r="A830" s="2" t="str">
        <f xml:space="preserve"> IF( 'From SvanPC++'!A821= "", "", ('From SvanPC++'!A821))</f>
        <v/>
      </c>
      <c r="E830" s="18"/>
      <c r="I830" s="2"/>
    </row>
    <row r="831" spans="1:9" x14ac:dyDescent="0.3">
      <c r="A831" s="2" t="str">
        <f xml:space="preserve"> IF( 'From SvanPC++'!A822= "", "", ('From SvanPC++'!A822))</f>
        <v/>
      </c>
      <c r="E831" s="18"/>
      <c r="I831" s="2"/>
    </row>
    <row r="832" spans="1:9" x14ac:dyDescent="0.3">
      <c r="A832" s="2" t="str">
        <f xml:space="preserve"> IF( 'From SvanPC++'!A823= "", "", ('From SvanPC++'!A823))</f>
        <v/>
      </c>
      <c r="E832" s="18"/>
      <c r="I832" s="2"/>
    </row>
    <row r="833" spans="1:9" x14ac:dyDescent="0.3">
      <c r="A833" s="2" t="str">
        <f xml:space="preserve"> IF( 'From SvanPC++'!A824= "", "", ('From SvanPC++'!A824))</f>
        <v/>
      </c>
      <c r="E833" s="18"/>
      <c r="I833" s="2"/>
    </row>
    <row r="834" spans="1:9" x14ac:dyDescent="0.3">
      <c r="A834" s="2" t="str">
        <f xml:space="preserve"> IF( 'From SvanPC++'!A825= "", "", ('From SvanPC++'!A825))</f>
        <v/>
      </c>
      <c r="E834" s="18"/>
      <c r="I834" s="2"/>
    </row>
    <row r="835" spans="1:9" x14ac:dyDescent="0.3">
      <c r="A835" s="2" t="str">
        <f xml:space="preserve"> IF( 'From SvanPC++'!A826= "", "", ('From SvanPC++'!A826))</f>
        <v/>
      </c>
      <c r="E835" s="18"/>
      <c r="I835" s="2"/>
    </row>
    <row r="836" spans="1:9" x14ac:dyDescent="0.3">
      <c r="A836" s="2" t="str">
        <f xml:space="preserve"> IF( 'From SvanPC++'!A827= "", "", ('From SvanPC++'!A827))</f>
        <v/>
      </c>
      <c r="E836" s="18"/>
      <c r="I836" s="2"/>
    </row>
    <row r="837" spans="1:9" x14ac:dyDescent="0.3">
      <c r="A837" s="2" t="str">
        <f xml:space="preserve"> IF( 'From SvanPC++'!A828= "", "", ('From SvanPC++'!A828))</f>
        <v/>
      </c>
      <c r="E837" s="18"/>
      <c r="I837" s="2"/>
    </row>
    <row r="838" spans="1:9" x14ac:dyDescent="0.3">
      <c r="A838" s="2" t="str">
        <f xml:space="preserve"> IF( 'From SvanPC++'!A829= "", "", ('From SvanPC++'!A829))</f>
        <v/>
      </c>
      <c r="E838" s="18"/>
      <c r="I838" s="2"/>
    </row>
    <row r="839" spans="1:9" x14ac:dyDescent="0.3">
      <c r="A839" s="2" t="str">
        <f xml:space="preserve"> IF( 'From SvanPC++'!A830= "", "", ('From SvanPC++'!A830))</f>
        <v/>
      </c>
      <c r="E839" s="18"/>
      <c r="I839" s="2"/>
    </row>
    <row r="840" spans="1:9" x14ac:dyDescent="0.3">
      <c r="A840" s="2" t="str">
        <f xml:space="preserve"> IF( 'From SvanPC++'!A831= "", "", ('From SvanPC++'!A831))</f>
        <v/>
      </c>
      <c r="E840" s="18"/>
      <c r="I840" s="2"/>
    </row>
    <row r="841" spans="1:9" x14ac:dyDescent="0.3">
      <c r="A841" s="2" t="str">
        <f xml:space="preserve"> IF( 'From SvanPC++'!A832= "", "", ('From SvanPC++'!A832))</f>
        <v/>
      </c>
      <c r="E841" s="18"/>
      <c r="I841" s="2"/>
    </row>
    <row r="842" spans="1:9" x14ac:dyDescent="0.3">
      <c r="A842" s="2" t="str">
        <f xml:space="preserve"> IF( 'From SvanPC++'!A833= "", "", ('From SvanPC++'!A833))</f>
        <v/>
      </c>
      <c r="E842" s="18"/>
      <c r="I842" s="2"/>
    </row>
    <row r="843" spans="1:9" x14ac:dyDescent="0.3">
      <c r="A843" s="2" t="str">
        <f xml:space="preserve"> IF( 'From SvanPC++'!A834= "", "", ('From SvanPC++'!A834))</f>
        <v/>
      </c>
      <c r="E843" s="18"/>
      <c r="I843" s="2"/>
    </row>
    <row r="844" spans="1:9" x14ac:dyDescent="0.3">
      <c r="A844" s="2" t="str">
        <f xml:space="preserve"> IF( 'From SvanPC++'!A835= "", "", ('From SvanPC++'!A835))</f>
        <v/>
      </c>
      <c r="E844" s="18"/>
      <c r="I844" s="2"/>
    </row>
    <row r="845" spans="1:9" x14ac:dyDescent="0.3">
      <c r="A845" s="2" t="str">
        <f xml:space="preserve"> IF( 'From SvanPC++'!A836= "", "", ('From SvanPC++'!A836))</f>
        <v/>
      </c>
      <c r="E845" s="18"/>
      <c r="I845" s="2"/>
    </row>
    <row r="846" spans="1:9" x14ac:dyDescent="0.3">
      <c r="A846" s="2" t="str">
        <f xml:space="preserve"> IF( 'From SvanPC++'!A837= "", "", ('From SvanPC++'!A837))</f>
        <v/>
      </c>
      <c r="E846" s="18"/>
      <c r="I846" s="2"/>
    </row>
    <row r="847" spans="1:9" x14ac:dyDescent="0.3">
      <c r="A847" s="2" t="str">
        <f xml:space="preserve"> IF( 'From SvanPC++'!A838= "", "", ('From SvanPC++'!A838))</f>
        <v/>
      </c>
      <c r="E847" s="18"/>
      <c r="I847" s="2"/>
    </row>
    <row r="848" spans="1:9" x14ac:dyDescent="0.3">
      <c r="A848" s="2" t="str">
        <f xml:space="preserve"> IF( 'From SvanPC++'!A839= "", "", ('From SvanPC++'!A839))</f>
        <v/>
      </c>
      <c r="E848" s="18"/>
      <c r="I848" s="2"/>
    </row>
    <row r="849" spans="1:9" x14ac:dyDescent="0.3">
      <c r="A849" s="2" t="str">
        <f xml:space="preserve"> IF( 'From SvanPC++'!A840= "", "", ('From SvanPC++'!A840))</f>
        <v/>
      </c>
      <c r="E849" s="18"/>
      <c r="I849" s="2"/>
    </row>
    <row r="850" spans="1:9" x14ac:dyDescent="0.3">
      <c r="A850" s="2" t="str">
        <f xml:space="preserve"> IF( 'From SvanPC++'!A841= "", "", ('From SvanPC++'!A841))</f>
        <v/>
      </c>
      <c r="E850" s="18"/>
      <c r="I850" s="2"/>
    </row>
    <row r="851" spans="1:9" x14ac:dyDescent="0.3">
      <c r="A851" s="2" t="str">
        <f xml:space="preserve"> IF( 'From SvanPC++'!A842= "", "", ('From SvanPC++'!A842))</f>
        <v/>
      </c>
      <c r="E851" s="18"/>
      <c r="I851" s="2"/>
    </row>
    <row r="852" spans="1:9" x14ac:dyDescent="0.3">
      <c r="A852" s="2" t="str">
        <f xml:space="preserve"> IF( 'From SvanPC++'!A843= "", "", ('From SvanPC++'!A843))</f>
        <v/>
      </c>
      <c r="E852" s="18"/>
      <c r="I852" s="2"/>
    </row>
    <row r="853" spans="1:9" x14ac:dyDescent="0.3">
      <c r="A853" s="2" t="str">
        <f xml:space="preserve"> IF( 'From SvanPC++'!A844= "", "", ('From SvanPC++'!A844))</f>
        <v/>
      </c>
      <c r="E853" s="18"/>
      <c r="I853" s="2"/>
    </row>
    <row r="854" spans="1:9" x14ac:dyDescent="0.3">
      <c r="A854" s="2" t="str">
        <f xml:space="preserve"> IF( 'From SvanPC++'!A845= "", "", ('From SvanPC++'!A845))</f>
        <v/>
      </c>
      <c r="E854" s="18"/>
      <c r="I854" s="2"/>
    </row>
    <row r="855" spans="1:9" x14ac:dyDescent="0.3">
      <c r="A855" s="2" t="str">
        <f xml:space="preserve"> IF( 'From SvanPC++'!A846= "", "", ('From SvanPC++'!A846))</f>
        <v/>
      </c>
      <c r="E855" s="18"/>
      <c r="I855" s="2"/>
    </row>
    <row r="856" spans="1:9" x14ac:dyDescent="0.3">
      <c r="A856" s="2" t="str">
        <f xml:space="preserve"> IF( 'From SvanPC++'!A847= "", "", ('From SvanPC++'!A847))</f>
        <v/>
      </c>
      <c r="E856" s="18"/>
      <c r="I856" s="2"/>
    </row>
    <row r="857" spans="1:9" x14ac:dyDescent="0.3">
      <c r="A857" s="2" t="str">
        <f xml:space="preserve"> IF( 'From SvanPC++'!A848= "", "", ('From SvanPC++'!A848))</f>
        <v/>
      </c>
      <c r="E857" s="18"/>
      <c r="I857" s="2"/>
    </row>
    <row r="858" spans="1:9" x14ac:dyDescent="0.3">
      <c r="A858" s="2" t="str">
        <f xml:space="preserve"> IF( 'From SvanPC++'!A849= "", "", ('From SvanPC++'!A849))</f>
        <v/>
      </c>
      <c r="E858" s="18"/>
      <c r="I858" s="2"/>
    </row>
    <row r="859" spans="1:9" x14ac:dyDescent="0.3">
      <c r="A859" s="2" t="str">
        <f xml:space="preserve"> IF( 'From SvanPC++'!A850= "", "", ('From SvanPC++'!A850))</f>
        <v/>
      </c>
      <c r="E859" s="18"/>
      <c r="I859" s="2"/>
    </row>
    <row r="860" spans="1:9" x14ac:dyDescent="0.3">
      <c r="A860" s="2" t="str">
        <f xml:space="preserve"> IF( 'From SvanPC++'!A851= "", "", ('From SvanPC++'!A851))</f>
        <v/>
      </c>
      <c r="E860" s="18"/>
      <c r="I860" s="2"/>
    </row>
    <row r="861" spans="1:9" x14ac:dyDescent="0.3">
      <c r="A861" s="2" t="str">
        <f xml:space="preserve"> IF( 'From SvanPC++'!A852= "", "", ('From SvanPC++'!A852))</f>
        <v/>
      </c>
      <c r="E861" s="18"/>
      <c r="I861" s="2"/>
    </row>
    <row r="862" spans="1:9" x14ac:dyDescent="0.3">
      <c r="A862" s="2" t="str">
        <f xml:space="preserve"> IF( 'From SvanPC++'!A853= "", "", ('From SvanPC++'!A853))</f>
        <v/>
      </c>
      <c r="E862" s="18"/>
      <c r="I862" s="2"/>
    </row>
    <row r="863" spans="1:9" x14ac:dyDescent="0.3">
      <c r="A863" s="2" t="str">
        <f xml:space="preserve"> IF( 'From SvanPC++'!A854= "", "", ('From SvanPC++'!A854))</f>
        <v/>
      </c>
      <c r="E863" s="18"/>
      <c r="I863" s="2"/>
    </row>
    <row r="864" spans="1:9" x14ac:dyDescent="0.3">
      <c r="A864" s="2" t="str">
        <f xml:space="preserve"> IF( 'From SvanPC++'!A855= "", "", ('From SvanPC++'!A855))</f>
        <v/>
      </c>
      <c r="E864" s="18"/>
      <c r="I864" s="2"/>
    </row>
    <row r="865" spans="1:9" x14ac:dyDescent="0.3">
      <c r="A865" s="2" t="str">
        <f xml:space="preserve"> IF( 'From SvanPC++'!A856= "", "", ('From SvanPC++'!A856))</f>
        <v/>
      </c>
      <c r="E865" s="18"/>
      <c r="I865" s="2"/>
    </row>
    <row r="866" spans="1:9" x14ac:dyDescent="0.3">
      <c r="A866" s="2" t="str">
        <f xml:space="preserve"> IF( 'From SvanPC++'!A857= "", "", ('From SvanPC++'!A857))</f>
        <v/>
      </c>
      <c r="E866" s="18"/>
      <c r="I866" s="2"/>
    </row>
    <row r="867" spans="1:9" x14ac:dyDescent="0.3">
      <c r="A867" s="2" t="str">
        <f xml:space="preserve"> IF( 'From SvanPC++'!A858= "", "", ('From SvanPC++'!A858))</f>
        <v/>
      </c>
      <c r="E867" s="18"/>
      <c r="I867" s="2"/>
    </row>
    <row r="868" spans="1:9" x14ac:dyDescent="0.3">
      <c r="A868" s="2" t="str">
        <f xml:space="preserve"> IF( 'From SvanPC++'!A859= "", "", ('From SvanPC++'!A859))</f>
        <v/>
      </c>
      <c r="E868" s="18"/>
      <c r="I868" s="2"/>
    </row>
    <row r="869" spans="1:9" x14ac:dyDescent="0.3">
      <c r="A869" s="2" t="str">
        <f xml:space="preserve"> IF( 'From SvanPC++'!A860= "", "", ('From SvanPC++'!A860))</f>
        <v/>
      </c>
      <c r="E869" s="18"/>
      <c r="I869" s="2"/>
    </row>
    <row r="870" spans="1:9" x14ac:dyDescent="0.3">
      <c r="A870" s="2" t="str">
        <f xml:space="preserve"> IF( 'From SvanPC++'!A861= "", "", ('From SvanPC++'!A861))</f>
        <v/>
      </c>
      <c r="E870" s="18"/>
      <c r="I870" s="2"/>
    </row>
    <row r="871" spans="1:9" x14ac:dyDescent="0.3">
      <c r="A871" s="2" t="str">
        <f xml:space="preserve"> IF( 'From SvanPC++'!A862= "", "", ('From SvanPC++'!A862))</f>
        <v/>
      </c>
      <c r="E871" s="18"/>
      <c r="I871" s="2"/>
    </row>
    <row r="872" spans="1:9" x14ac:dyDescent="0.3">
      <c r="A872" s="2" t="str">
        <f xml:space="preserve"> IF( 'From SvanPC++'!A863= "", "", ('From SvanPC++'!A863))</f>
        <v/>
      </c>
      <c r="E872" s="18"/>
      <c r="I872" s="2"/>
    </row>
    <row r="873" spans="1:9" x14ac:dyDescent="0.3">
      <c r="A873" s="2" t="str">
        <f xml:space="preserve"> IF( 'From SvanPC++'!A864= "", "", ('From SvanPC++'!A864))</f>
        <v/>
      </c>
      <c r="E873" s="18"/>
      <c r="I873" s="2"/>
    </row>
    <row r="874" spans="1:9" x14ac:dyDescent="0.3">
      <c r="A874" s="2" t="str">
        <f xml:space="preserve"> IF( 'From SvanPC++'!A865= "", "", ('From SvanPC++'!A865))</f>
        <v/>
      </c>
      <c r="E874" s="18"/>
      <c r="I874" s="2"/>
    </row>
    <row r="875" spans="1:9" x14ac:dyDescent="0.3">
      <c r="A875" s="2" t="str">
        <f xml:space="preserve"> IF( 'From SvanPC++'!A866= "", "", ('From SvanPC++'!A866))</f>
        <v/>
      </c>
      <c r="E875" s="18"/>
      <c r="I875" s="2"/>
    </row>
    <row r="876" spans="1:9" x14ac:dyDescent="0.3">
      <c r="A876" s="2" t="str">
        <f xml:space="preserve"> IF( 'From SvanPC++'!A867= "", "", ('From SvanPC++'!A867))</f>
        <v/>
      </c>
      <c r="E876" s="18"/>
      <c r="I876" s="2"/>
    </row>
    <row r="877" spans="1:9" x14ac:dyDescent="0.3">
      <c r="A877" s="2" t="str">
        <f xml:space="preserve"> IF( 'From SvanPC++'!A868= "", "", ('From SvanPC++'!A868))</f>
        <v/>
      </c>
      <c r="E877" s="18"/>
      <c r="I877" s="2"/>
    </row>
    <row r="878" spans="1:9" x14ac:dyDescent="0.3">
      <c r="A878" s="2" t="str">
        <f xml:space="preserve"> IF( 'From SvanPC++'!A869= "", "", ('From SvanPC++'!A869))</f>
        <v/>
      </c>
      <c r="E878" s="18"/>
      <c r="I878" s="2"/>
    </row>
    <row r="879" spans="1:9" x14ac:dyDescent="0.3">
      <c r="A879" s="2" t="str">
        <f xml:space="preserve"> IF( 'From SvanPC++'!A870= "", "", ('From SvanPC++'!A870))</f>
        <v/>
      </c>
      <c r="E879" s="18"/>
      <c r="I879" s="2"/>
    </row>
    <row r="880" spans="1:9" x14ac:dyDescent="0.3">
      <c r="A880" s="2" t="str">
        <f xml:space="preserve"> IF( 'From SvanPC++'!A871= "", "", ('From SvanPC++'!A871))</f>
        <v/>
      </c>
      <c r="E880" s="18"/>
      <c r="I880" s="2"/>
    </row>
    <row r="881" spans="1:9" x14ac:dyDescent="0.3">
      <c r="A881" s="2" t="str">
        <f xml:space="preserve"> IF( 'From SvanPC++'!A872= "", "", ('From SvanPC++'!A872))</f>
        <v/>
      </c>
      <c r="E881" s="18"/>
      <c r="I881" s="2"/>
    </row>
    <row r="882" spans="1:9" x14ac:dyDescent="0.3">
      <c r="A882" s="2" t="str">
        <f xml:space="preserve"> IF( 'From SvanPC++'!A873= "", "", ('From SvanPC++'!A873))</f>
        <v/>
      </c>
      <c r="E882" s="18"/>
      <c r="I882" s="2"/>
    </row>
    <row r="883" spans="1:9" x14ac:dyDescent="0.3">
      <c r="A883" s="2" t="str">
        <f xml:space="preserve"> IF( 'From SvanPC++'!A874= "", "", ('From SvanPC++'!A874))</f>
        <v/>
      </c>
      <c r="E883" s="18"/>
      <c r="I883" s="2"/>
    </row>
    <row r="884" spans="1:9" x14ac:dyDescent="0.3">
      <c r="A884" s="2" t="str">
        <f xml:space="preserve"> IF( 'From SvanPC++'!A875= "", "", ('From SvanPC++'!A875))</f>
        <v/>
      </c>
      <c r="E884" s="18"/>
      <c r="I884" s="2"/>
    </row>
    <row r="885" spans="1:9" x14ac:dyDescent="0.3">
      <c r="A885" s="2" t="str">
        <f xml:space="preserve"> IF( 'From SvanPC++'!A876= "", "", ('From SvanPC++'!A876))</f>
        <v/>
      </c>
      <c r="E885" s="18"/>
      <c r="I885" s="2"/>
    </row>
    <row r="886" spans="1:9" x14ac:dyDescent="0.3">
      <c r="A886" s="2" t="str">
        <f xml:space="preserve"> IF( 'From SvanPC++'!A877= "", "", ('From SvanPC++'!A877))</f>
        <v/>
      </c>
      <c r="E886" s="18"/>
      <c r="I886" s="2"/>
    </row>
    <row r="887" spans="1:9" x14ac:dyDescent="0.3">
      <c r="A887" s="2" t="str">
        <f xml:space="preserve"> IF( 'From SvanPC++'!A878= "", "", ('From SvanPC++'!A878))</f>
        <v/>
      </c>
      <c r="E887" s="18"/>
      <c r="I887" s="2"/>
    </row>
    <row r="888" spans="1:9" x14ac:dyDescent="0.3">
      <c r="A888" s="2" t="str">
        <f xml:space="preserve"> IF( 'From SvanPC++'!A879= "", "", ('From SvanPC++'!A879))</f>
        <v/>
      </c>
      <c r="E888" s="18"/>
      <c r="I888" s="2"/>
    </row>
    <row r="889" spans="1:9" x14ac:dyDescent="0.3">
      <c r="A889" s="2" t="str">
        <f xml:space="preserve"> IF( 'From SvanPC++'!A880= "", "", ('From SvanPC++'!A880))</f>
        <v/>
      </c>
      <c r="E889" s="18"/>
      <c r="I889" s="2"/>
    </row>
    <row r="890" spans="1:9" x14ac:dyDescent="0.3">
      <c r="A890" s="2" t="str">
        <f xml:space="preserve"> IF( 'From SvanPC++'!A881= "", "", ('From SvanPC++'!A881))</f>
        <v/>
      </c>
      <c r="E890" s="18"/>
      <c r="I890" s="2"/>
    </row>
    <row r="891" spans="1:9" x14ac:dyDescent="0.3">
      <c r="A891" s="2" t="str">
        <f xml:space="preserve"> IF( 'From SvanPC++'!A882= "", "", ('From SvanPC++'!A882))</f>
        <v/>
      </c>
      <c r="E891" s="18"/>
      <c r="I891" s="2"/>
    </row>
    <row r="892" spans="1:9" x14ac:dyDescent="0.3">
      <c r="A892" s="2" t="str">
        <f xml:space="preserve"> IF( 'From SvanPC++'!A883= "", "", ('From SvanPC++'!A883))</f>
        <v/>
      </c>
      <c r="E892" s="18"/>
      <c r="I892" s="2"/>
    </row>
    <row r="893" spans="1:9" x14ac:dyDescent="0.3">
      <c r="A893" s="2" t="str">
        <f xml:space="preserve"> IF( 'From SvanPC++'!A884= "", "", ('From SvanPC++'!A884))</f>
        <v/>
      </c>
      <c r="E893" s="18"/>
      <c r="I893" s="2"/>
    </row>
    <row r="894" spans="1:9" x14ac:dyDescent="0.3">
      <c r="A894" s="2" t="str">
        <f xml:space="preserve"> IF( 'From SvanPC++'!A885= "", "", ('From SvanPC++'!A885))</f>
        <v/>
      </c>
      <c r="E894" s="18"/>
      <c r="I894" s="2"/>
    </row>
    <row r="895" spans="1:9" x14ac:dyDescent="0.3">
      <c r="A895" s="2" t="str">
        <f xml:space="preserve"> IF( 'From SvanPC++'!A886= "", "", ('From SvanPC++'!A886))</f>
        <v/>
      </c>
      <c r="E895" s="18"/>
      <c r="I895" s="2"/>
    </row>
    <row r="896" spans="1:9" x14ac:dyDescent="0.3">
      <c r="A896" s="2" t="str">
        <f xml:space="preserve"> IF( 'From SvanPC++'!A887= "", "", ('From SvanPC++'!A887))</f>
        <v/>
      </c>
      <c r="E896" s="18"/>
      <c r="I896" s="2"/>
    </row>
    <row r="897" spans="1:9" x14ac:dyDescent="0.3">
      <c r="A897" s="2" t="str">
        <f xml:space="preserve"> IF( 'From SvanPC++'!A888= "", "", ('From SvanPC++'!A888))</f>
        <v/>
      </c>
      <c r="E897" s="18"/>
      <c r="I897" s="2"/>
    </row>
    <row r="898" spans="1:9" x14ac:dyDescent="0.3">
      <c r="A898" s="2" t="str">
        <f xml:space="preserve"> IF( 'From SvanPC++'!A889= "", "", ('From SvanPC++'!A889))</f>
        <v/>
      </c>
      <c r="E898" s="18"/>
      <c r="I898" s="2"/>
    </row>
    <row r="899" spans="1:9" x14ac:dyDescent="0.3">
      <c r="A899" s="2" t="str">
        <f xml:space="preserve"> IF( 'From SvanPC++'!A890= "", "", ('From SvanPC++'!A890))</f>
        <v/>
      </c>
      <c r="E899" s="18"/>
      <c r="I899" s="2"/>
    </row>
    <row r="900" spans="1:9" x14ac:dyDescent="0.3">
      <c r="A900" s="2" t="str">
        <f xml:space="preserve"> IF( 'From SvanPC++'!A891= "", "", ('From SvanPC++'!A891))</f>
        <v/>
      </c>
      <c r="E900" s="18"/>
      <c r="I900" s="2"/>
    </row>
    <row r="901" spans="1:9" x14ac:dyDescent="0.3">
      <c r="A901" s="2" t="str">
        <f xml:space="preserve"> IF( 'From SvanPC++'!A892= "", "", ('From SvanPC++'!A892))</f>
        <v/>
      </c>
      <c r="E901" s="18"/>
      <c r="I901" s="2"/>
    </row>
    <row r="902" spans="1:9" x14ac:dyDescent="0.3">
      <c r="A902" s="2" t="str">
        <f xml:space="preserve"> IF( 'From SvanPC++'!A893= "", "", ('From SvanPC++'!A893))</f>
        <v/>
      </c>
      <c r="E902" s="18"/>
      <c r="I902" s="2"/>
    </row>
    <row r="903" spans="1:9" x14ac:dyDescent="0.3">
      <c r="A903" s="2" t="str">
        <f xml:space="preserve"> IF( 'From SvanPC++'!A894= "", "", ('From SvanPC++'!A894))</f>
        <v/>
      </c>
      <c r="E903" s="18"/>
      <c r="I903" s="2"/>
    </row>
    <row r="904" spans="1:9" x14ac:dyDescent="0.3">
      <c r="A904" s="2" t="str">
        <f xml:space="preserve"> IF( 'From SvanPC++'!A895= "", "", ('From SvanPC++'!A895))</f>
        <v/>
      </c>
      <c r="E904" s="18"/>
      <c r="I904" s="2"/>
    </row>
    <row r="905" spans="1:9" x14ac:dyDescent="0.3">
      <c r="A905" s="2" t="str">
        <f xml:space="preserve"> IF( 'From SvanPC++'!A896= "", "", ('From SvanPC++'!A896))</f>
        <v/>
      </c>
      <c r="E905" s="18"/>
      <c r="I905" s="2"/>
    </row>
    <row r="906" spans="1:9" x14ac:dyDescent="0.3">
      <c r="A906" s="2" t="str">
        <f xml:space="preserve"> IF( 'From SvanPC++'!A897= "", "", ('From SvanPC++'!A897))</f>
        <v/>
      </c>
      <c r="E906" s="18"/>
      <c r="I906" s="2"/>
    </row>
    <row r="907" spans="1:9" x14ac:dyDescent="0.3">
      <c r="A907" s="2" t="str">
        <f xml:space="preserve"> IF( 'From SvanPC++'!A898= "", "", ('From SvanPC++'!A898))</f>
        <v/>
      </c>
      <c r="E907" s="18"/>
      <c r="I907" s="2"/>
    </row>
    <row r="908" spans="1:9" x14ac:dyDescent="0.3">
      <c r="A908" s="2" t="str">
        <f xml:space="preserve"> IF( 'From SvanPC++'!A899= "", "", ('From SvanPC++'!A899))</f>
        <v/>
      </c>
      <c r="E908" s="18"/>
      <c r="I908" s="2"/>
    </row>
    <row r="909" spans="1:9" x14ac:dyDescent="0.3">
      <c r="A909" s="2" t="str">
        <f xml:space="preserve"> IF( 'From SvanPC++'!A900= "", "", ('From SvanPC++'!A900))</f>
        <v/>
      </c>
      <c r="E909" s="18"/>
      <c r="I909" s="2"/>
    </row>
    <row r="910" spans="1:9" x14ac:dyDescent="0.3">
      <c r="A910" s="2" t="str">
        <f xml:space="preserve"> IF( 'From SvanPC++'!A901= "", "", ('From SvanPC++'!A901))</f>
        <v/>
      </c>
      <c r="E910" s="18"/>
      <c r="I910" s="2"/>
    </row>
    <row r="911" spans="1:9" x14ac:dyDescent="0.3">
      <c r="A911" s="2" t="str">
        <f xml:space="preserve"> IF( 'From SvanPC++'!A902= "", "", ('From SvanPC++'!A902))</f>
        <v/>
      </c>
      <c r="E911" s="18"/>
      <c r="I911" s="2"/>
    </row>
    <row r="912" spans="1:9" x14ac:dyDescent="0.3">
      <c r="A912" s="2" t="str">
        <f xml:space="preserve"> IF( 'From SvanPC++'!A903= "", "", ('From SvanPC++'!A903))</f>
        <v/>
      </c>
      <c r="E912" s="18"/>
      <c r="I912" s="2"/>
    </row>
    <row r="913" spans="1:9" x14ac:dyDescent="0.3">
      <c r="A913" s="2" t="str">
        <f xml:space="preserve"> IF( 'From SvanPC++'!A904= "", "", ('From SvanPC++'!A904))</f>
        <v/>
      </c>
      <c r="E913" s="18"/>
      <c r="I913" s="2"/>
    </row>
    <row r="914" spans="1:9" x14ac:dyDescent="0.3">
      <c r="A914" s="2" t="str">
        <f xml:space="preserve"> IF( 'From SvanPC++'!A905= "", "", ('From SvanPC++'!A905))</f>
        <v/>
      </c>
      <c r="E914" s="18"/>
      <c r="I914" s="2"/>
    </row>
    <row r="915" spans="1:9" x14ac:dyDescent="0.3">
      <c r="A915" s="2" t="str">
        <f xml:space="preserve"> IF( 'From SvanPC++'!A906= "", "", ('From SvanPC++'!A906))</f>
        <v/>
      </c>
      <c r="E915" s="18"/>
      <c r="I915" s="2"/>
    </row>
    <row r="916" spans="1:9" x14ac:dyDescent="0.3">
      <c r="A916" s="2" t="str">
        <f xml:space="preserve"> IF( 'From SvanPC++'!A907= "", "", ('From SvanPC++'!A907))</f>
        <v/>
      </c>
      <c r="E916" s="18"/>
      <c r="I916" s="2"/>
    </row>
    <row r="917" spans="1:9" x14ac:dyDescent="0.3">
      <c r="A917" s="2" t="str">
        <f xml:space="preserve"> IF( 'From SvanPC++'!A908= "", "", ('From SvanPC++'!A908))</f>
        <v/>
      </c>
      <c r="E917" s="18"/>
      <c r="I917" s="2"/>
    </row>
    <row r="918" spans="1:9" x14ac:dyDescent="0.3">
      <c r="A918" s="2" t="str">
        <f xml:space="preserve"> IF( 'From SvanPC++'!A909= "", "", ('From SvanPC++'!A909))</f>
        <v/>
      </c>
      <c r="E918" s="18"/>
      <c r="I918" s="2"/>
    </row>
    <row r="919" spans="1:9" x14ac:dyDescent="0.3">
      <c r="A919" s="2" t="str">
        <f xml:space="preserve"> IF( 'From SvanPC++'!A910= "", "", ('From SvanPC++'!A910))</f>
        <v/>
      </c>
      <c r="E919" s="18"/>
      <c r="I919" s="2"/>
    </row>
    <row r="920" spans="1:9" x14ac:dyDescent="0.3">
      <c r="A920" s="2" t="str">
        <f xml:space="preserve"> IF( 'From SvanPC++'!A911= "", "", ('From SvanPC++'!A911))</f>
        <v/>
      </c>
      <c r="E920" s="18"/>
      <c r="I920" s="2"/>
    </row>
    <row r="921" spans="1:9" x14ac:dyDescent="0.3">
      <c r="A921" s="2" t="str">
        <f xml:space="preserve"> IF( 'From SvanPC++'!A912= "", "", ('From SvanPC++'!A912))</f>
        <v/>
      </c>
      <c r="E921" s="18"/>
      <c r="I921" s="2"/>
    </row>
    <row r="922" spans="1:9" x14ac:dyDescent="0.3">
      <c r="A922" s="2" t="str">
        <f xml:space="preserve"> IF( 'From SvanPC++'!A913= "", "", ('From SvanPC++'!A913))</f>
        <v/>
      </c>
      <c r="E922" s="18"/>
      <c r="I922" s="2"/>
    </row>
    <row r="923" spans="1:9" x14ac:dyDescent="0.3">
      <c r="A923" s="2" t="str">
        <f xml:space="preserve"> IF( 'From SvanPC++'!A914= "", "", ('From SvanPC++'!A914))</f>
        <v/>
      </c>
      <c r="E923" s="18"/>
      <c r="I923" s="2"/>
    </row>
    <row r="924" spans="1:9" x14ac:dyDescent="0.3">
      <c r="A924" s="2" t="str">
        <f xml:space="preserve"> IF( 'From SvanPC++'!A915= "", "", ('From SvanPC++'!A915))</f>
        <v/>
      </c>
      <c r="E924" s="18"/>
      <c r="I924" s="2"/>
    </row>
    <row r="925" spans="1:9" x14ac:dyDescent="0.3">
      <c r="A925" s="2" t="str">
        <f xml:space="preserve"> IF( 'From SvanPC++'!A916= "", "", ('From SvanPC++'!A916))</f>
        <v/>
      </c>
      <c r="E925" s="18"/>
      <c r="I925" s="2"/>
    </row>
    <row r="926" spans="1:9" x14ac:dyDescent="0.3">
      <c r="A926" s="2" t="str">
        <f xml:space="preserve"> IF( 'From SvanPC++'!A917= "", "", ('From SvanPC++'!A917))</f>
        <v/>
      </c>
      <c r="E926" s="18"/>
      <c r="I926" s="2"/>
    </row>
    <row r="927" spans="1:9" x14ac:dyDescent="0.3">
      <c r="A927" s="2" t="str">
        <f xml:space="preserve"> IF( 'From SvanPC++'!A918= "", "", ('From SvanPC++'!A918))</f>
        <v/>
      </c>
      <c r="E927" s="18"/>
      <c r="I927" s="2"/>
    </row>
    <row r="928" spans="1:9" x14ac:dyDescent="0.3">
      <c r="A928" s="2" t="str">
        <f xml:space="preserve"> IF( 'From SvanPC++'!A919= "", "", ('From SvanPC++'!A919))</f>
        <v/>
      </c>
      <c r="E928" s="18"/>
      <c r="I928" s="2"/>
    </row>
    <row r="929" spans="1:9" x14ac:dyDescent="0.3">
      <c r="A929" s="2" t="str">
        <f xml:space="preserve"> IF( 'From SvanPC++'!A920= "", "", ('From SvanPC++'!A920))</f>
        <v/>
      </c>
      <c r="E929" s="18"/>
      <c r="I929" s="2"/>
    </row>
    <row r="930" spans="1:9" x14ac:dyDescent="0.3">
      <c r="A930" s="2" t="str">
        <f xml:space="preserve"> IF( 'From SvanPC++'!A921= "", "", ('From SvanPC++'!A921))</f>
        <v/>
      </c>
      <c r="E930" s="18"/>
      <c r="I930" s="2"/>
    </row>
    <row r="931" spans="1:9" x14ac:dyDescent="0.3">
      <c r="A931" s="2" t="str">
        <f xml:space="preserve"> IF( 'From SvanPC++'!A922= "", "", ('From SvanPC++'!A922))</f>
        <v/>
      </c>
      <c r="E931" s="18"/>
      <c r="I931" s="2"/>
    </row>
    <row r="932" spans="1:9" x14ac:dyDescent="0.3">
      <c r="A932" s="2" t="str">
        <f xml:space="preserve"> IF( 'From SvanPC++'!A923= "", "", ('From SvanPC++'!A923))</f>
        <v/>
      </c>
      <c r="E932" s="18"/>
      <c r="I932" s="2"/>
    </row>
    <row r="933" spans="1:9" x14ac:dyDescent="0.3">
      <c r="A933" s="2" t="str">
        <f xml:space="preserve"> IF( 'From SvanPC++'!A924= "", "", ('From SvanPC++'!A924))</f>
        <v/>
      </c>
      <c r="E933" s="18"/>
      <c r="I933" s="2"/>
    </row>
    <row r="934" spans="1:9" x14ac:dyDescent="0.3">
      <c r="A934" s="2" t="str">
        <f xml:space="preserve"> IF( 'From SvanPC++'!A925= "", "", ('From SvanPC++'!A925))</f>
        <v/>
      </c>
      <c r="E934" s="18"/>
      <c r="I934" s="2"/>
    </row>
    <row r="935" spans="1:9" x14ac:dyDescent="0.3">
      <c r="A935" s="2" t="str">
        <f xml:space="preserve"> IF( 'From SvanPC++'!A926= "", "", ('From SvanPC++'!A926))</f>
        <v/>
      </c>
      <c r="E935" s="18"/>
      <c r="I935" s="2"/>
    </row>
    <row r="936" spans="1:9" x14ac:dyDescent="0.3">
      <c r="A936" s="2" t="str">
        <f xml:space="preserve"> IF( 'From SvanPC++'!A927= "", "", ('From SvanPC++'!A927))</f>
        <v/>
      </c>
      <c r="E936" s="18"/>
      <c r="I936" s="2"/>
    </row>
    <row r="937" spans="1:9" x14ac:dyDescent="0.3">
      <c r="A937" s="2" t="str">
        <f xml:space="preserve"> IF( 'From SvanPC++'!A928= "", "", ('From SvanPC++'!A928))</f>
        <v/>
      </c>
      <c r="E937" s="18"/>
      <c r="I937" s="2"/>
    </row>
    <row r="938" spans="1:9" x14ac:dyDescent="0.3">
      <c r="A938" s="2" t="str">
        <f xml:space="preserve"> IF( 'From SvanPC++'!A929= "", "", ('From SvanPC++'!A929))</f>
        <v/>
      </c>
      <c r="E938" s="18"/>
      <c r="I938" s="2"/>
    </row>
    <row r="939" spans="1:9" x14ac:dyDescent="0.3">
      <c r="A939" s="2" t="str">
        <f xml:space="preserve"> IF( 'From SvanPC++'!A930= "", "", ('From SvanPC++'!A930))</f>
        <v/>
      </c>
      <c r="E939" s="18"/>
      <c r="I939" s="2"/>
    </row>
    <row r="940" spans="1:9" x14ac:dyDescent="0.3">
      <c r="A940" s="2" t="str">
        <f xml:space="preserve"> IF( 'From SvanPC++'!A931= "", "", ('From SvanPC++'!A931))</f>
        <v/>
      </c>
      <c r="E940" s="18"/>
      <c r="I940" s="2"/>
    </row>
    <row r="941" spans="1:9" x14ac:dyDescent="0.3">
      <c r="A941" s="2" t="str">
        <f xml:space="preserve"> IF( 'From SvanPC++'!A932= "", "", ('From SvanPC++'!A932))</f>
        <v/>
      </c>
      <c r="E941" s="18"/>
      <c r="I941" s="2"/>
    </row>
    <row r="942" spans="1:9" x14ac:dyDescent="0.3">
      <c r="A942" s="2" t="str">
        <f xml:space="preserve"> IF( 'From SvanPC++'!A933= "", "", ('From SvanPC++'!A933))</f>
        <v/>
      </c>
      <c r="E942" s="18"/>
      <c r="I942" s="2"/>
    </row>
    <row r="943" spans="1:9" x14ac:dyDescent="0.3">
      <c r="A943" s="2" t="str">
        <f xml:space="preserve"> IF( 'From SvanPC++'!A934= "", "", ('From SvanPC++'!A934))</f>
        <v/>
      </c>
      <c r="E943" s="18"/>
      <c r="I943" s="2"/>
    </row>
    <row r="944" spans="1:9" x14ac:dyDescent="0.3">
      <c r="A944" s="2" t="str">
        <f xml:space="preserve"> IF( 'From SvanPC++'!A935= "", "", ('From SvanPC++'!A935))</f>
        <v/>
      </c>
      <c r="E944" s="18"/>
      <c r="I944" s="2"/>
    </row>
    <row r="945" spans="1:9" x14ac:dyDescent="0.3">
      <c r="A945" s="2" t="str">
        <f xml:space="preserve"> IF( 'From SvanPC++'!A936= "", "", ('From SvanPC++'!A936))</f>
        <v/>
      </c>
      <c r="E945" s="18"/>
      <c r="I945" s="2"/>
    </row>
    <row r="946" spans="1:9" x14ac:dyDescent="0.3">
      <c r="A946" s="2" t="str">
        <f xml:space="preserve"> IF( 'From SvanPC++'!A937= "", "", ('From SvanPC++'!A937))</f>
        <v/>
      </c>
      <c r="E946" s="18"/>
      <c r="I946" s="2"/>
    </row>
    <row r="947" spans="1:9" x14ac:dyDescent="0.3">
      <c r="A947" s="2" t="str">
        <f xml:space="preserve"> IF( 'From SvanPC++'!A938= "", "", ('From SvanPC++'!A938))</f>
        <v/>
      </c>
      <c r="E947" s="18"/>
      <c r="I947" s="2"/>
    </row>
    <row r="948" spans="1:9" x14ac:dyDescent="0.3">
      <c r="A948" s="2" t="str">
        <f xml:space="preserve"> IF( 'From SvanPC++'!A939= "", "", ('From SvanPC++'!A939))</f>
        <v/>
      </c>
      <c r="E948" s="18"/>
      <c r="I948" s="2"/>
    </row>
    <row r="949" spans="1:9" x14ac:dyDescent="0.3">
      <c r="A949" s="2" t="str">
        <f xml:space="preserve"> IF( 'From SvanPC++'!A940= "", "", ('From SvanPC++'!A940))</f>
        <v/>
      </c>
      <c r="E949" s="18"/>
      <c r="I949" s="2"/>
    </row>
    <row r="950" spans="1:9" x14ac:dyDescent="0.3">
      <c r="A950" s="2" t="str">
        <f xml:space="preserve"> IF( 'From SvanPC++'!A941= "", "", ('From SvanPC++'!A941))</f>
        <v/>
      </c>
      <c r="E950" s="18"/>
      <c r="I950" s="2"/>
    </row>
    <row r="951" spans="1:9" x14ac:dyDescent="0.3">
      <c r="A951" s="2" t="str">
        <f xml:space="preserve"> IF( 'From SvanPC++'!A942= "", "", ('From SvanPC++'!A942))</f>
        <v/>
      </c>
      <c r="E951" s="18"/>
      <c r="I951" s="2"/>
    </row>
    <row r="952" spans="1:9" x14ac:dyDescent="0.3">
      <c r="A952" s="2" t="str">
        <f xml:space="preserve"> IF( 'From SvanPC++'!A943= "", "", ('From SvanPC++'!A943))</f>
        <v/>
      </c>
      <c r="E952" s="18"/>
      <c r="I952" s="2"/>
    </row>
    <row r="953" spans="1:9" x14ac:dyDescent="0.3">
      <c r="A953" s="2" t="str">
        <f xml:space="preserve"> IF( 'From SvanPC++'!A944= "", "", ('From SvanPC++'!A944))</f>
        <v/>
      </c>
      <c r="E953" s="18"/>
      <c r="I953" s="2"/>
    </row>
    <row r="954" spans="1:9" x14ac:dyDescent="0.3">
      <c r="A954" s="2" t="str">
        <f xml:space="preserve"> IF( 'From SvanPC++'!A945= "", "", ('From SvanPC++'!A945))</f>
        <v/>
      </c>
      <c r="E954" s="18"/>
      <c r="I954" s="2"/>
    </row>
    <row r="955" spans="1:9" x14ac:dyDescent="0.3">
      <c r="A955" s="2" t="str">
        <f xml:space="preserve"> IF( 'From SvanPC++'!A946= "", "", ('From SvanPC++'!A946))</f>
        <v/>
      </c>
      <c r="E955" s="18"/>
      <c r="I955" s="2"/>
    </row>
    <row r="956" spans="1:9" x14ac:dyDescent="0.3">
      <c r="A956" s="2" t="str">
        <f xml:space="preserve"> IF( 'From SvanPC++'!A947= "", "", ('From SvanPC++'!A947))</f>
        <v/>
      </c>
      <c r="E956" s="18"/>
      <c r="I956" s="2"/>
    </row>
    <row r="957" spans="1:9" x14ac:dyDescent="0.3">
      <c r="A957" s="2" t="str">
        <f xml:space="preserve"> IF( 'From SvanPC++'!A948= "", "", ('From SvanPC++'!A948))</f>
        <v/>
      </c>
      <c r="E957" s="18"/>
      <c r="I957" s="2"/>
    </row>
    <row r="958" spans="1:9" x14ac:dyDescent="0.3">
      <c r="A958" s="2" t="str">
        <f xml:space="preserve"> IF( 'From SvanPC++'!A949= "", "", ('From SvanPC++'!A949))</f>
        <v/>
      </c>
      <c r="E958" s="18"/>
      <c r="I958" s="2"/>
    </row>
    <row r="959" spans="1:9" x14ac:dyDescent="0.3">
      <c r="A959" s="2" t="str">
        <f xml:space="preserve"> IF( 'From SvanPC++'!A950= "", "", ('From SvanPC++'!A950))</f>
        <v/>
      </c>
      <c r="E959" s="18"/>
      <c r="I959" s="2"/>
    </row>
    <row r="960" spans="1:9" x14ac:dyDescent="0.3">
      <c r="A960" s="2" t="str">
        <f xml:space="preserve"> IF( 'From SvanPC++'!A951= "", "", ('From SvanPC++'!A951))</f>
        <v/>
      </c>
      <c r="E960" s="18"/>
      <c r="I960" s="2"/>
    </row>
    <row r="961" spans="1:9" x14ac:dyDescent="0.3">
      <c r="A961" s="2" t="str">
        <f xml:space="preserve"> IF( 'From SvanPC++'!A952= "", "", ('From SvanPC++'!A952))</f>
        <v/>
      </c>
      <c r="E961" s="18"/>
      <c r="I961" s="2"/>
    </row>
    <row r="962" spans="1:9" x14ac:dyDescent="0.3">
      <c r="A962" s="2" t="str">
        <f xml:space="preserve"> IF( 'From SvanPC++'!A953= "", "", ('From SvanPC++'!A953))</f>
        <v/>
      </c>
      <c r="E962" s="18"/>
      <c r="I962" s="2"/>
    </row>
    <row r="963" spans="1:9" x14ac:dyDescent="0.3">
      <c r="A963" s="2" t="str">
        <f xml:space="preserve"> IF( 'From SvanPC++'!A954= "", "", ('From SvanPC++'!A954))</f>
        <v/>
      </c>
      <c r="E963" s="18"/>
      <c r="I963" s="2"/>
    </row>
    <row r="964" spans="1:9" x14ac:dyDescent="0.3">
      <c r="A964" s="2" t="str">
        <f xml:space="preserve"> IF( 'From SvanPC++'!A955= "", "", ('From SvanPC++'!A955))</f>
        <v/>
      </c>
      <c r="E964" s="18"/>
      <c r="I964" s="2"/>
    </row>
    <row r="965" spans="1:9" x14ac:dyDescent="0.3">
      <c r="A965" s="2" t="str">
        <f xml:space="preserve"> IF( 'From SvanPC++'!A956= "", "", ('From SvanPC++'!A956))</f>
        <v/>
      </c>
      <c r="E965" s="18"/>
      <c r="I965" s="2"/>
    </row>
    <row r="966" spans="1:9" x14ac:dyDescent="0.3">
      <c r="A966" s="2" t="str">
        <f xml:space="preserve"> IF( 'From SvanPC++'!A957= "", "", ('From SvanPC++'!A957))</f>
        <v/>
      </c>
      <c r="E966" s="18"/>
      <c r="I966" s="2"/>
    </row>
    <row r="967" spans="1:9" x14ac:dyDescent="0.3">
      <c r="A967" s="2" t="str">
        <f xml:space="preserve"> IF( 'From SvanPC++'!A958= "", "", ('From SvanPC++'!A958))</f>
        <v/>
      </c>
      <c r="E967" s="18"/>
      <c r="I967" s="2"/>
    </row>
    <row r="968" spans="1:9" x14ac:dyDescent="0.3">
      <c r="A968" s="2" t="str">
        <f xml:space="preserve"> IF( 'From SvanPC++'!A959= "", "", ('From SvanPC++'!A959))</f>
        <v/>
      </c>
      <c r="E968" s="18"/>
      <c r="I968" s="2"/>
    </row>
    <row r="969" spans="1:9" x14ac:dyDescent="0.3">
      <c r="A969" s="2" t="str">
        <f xml:space="preserve"> IF( 'From SvanPC++'!A960= "", "", ('From SvanPC++'!A960))</f>
        <v/>
      </c>
      <c r="E969" s="18"/>
      <c r="I969" s="2"/>
    </row>
    <row r="970" spans="1:9" x14ac:dyDescent="0.3">
      <c r="A970" s="2" t="str">
        <f xml:space="preserve"> IF( 'From SvanPC++'!A961= "", "", ('From SvanPC++'!A961))</f>
        <v/>
      </c>
      <c r="E970" s="18"/>
      <c r="I970" s="2"/>
    </row>
    <row r="971" spans="1:9" x14ac:dyDescent="0.3">
      <c r="A971" s="2" t="str">
        <f xml:space="preserve"> IF( 'From SvanPC++'!A962= "", "", ('From SvanPC++'!A962))</f>
        <v/>
      </c>
      <c r="E971" s="18"/>
      <c r="I971" s="2"/>
    </row>
    <row r="972" spans="1:9" x14ac:dyDescent="0.3">
      <c r="A972" s="2" t="str">
        <f xml:space="preserve"> IF( 'From SvanPC++'!A963= "", "", ('From SvanPC++'!A963))</f>
        <v/>
      </c>
      <c r="E972" s="18"/>
      <c r="I972" s="2"/>
    </row>
    <row r="973" spans="1:9" x14ac:dyDescent="0.3">
      <c r="A973" s="2" t="str">
        <f xml:space="preserve"> IF( 'From SvanPC++'!A964= "", "", ('From SvanPC++'!A964))</f>
        <v/>
      </c>
      <c r="E973" s="18"/>
      <c r="I973" s="2"/>
    </row>
    <row r="974" spans="1:9" x14ac:dyDescent="0.3">
      <c r="A974" s="2" t="str">
        <f xml:space="preserve"> IF( 'From SvanPC++'!A965= "", "", ('From SvanPC++'!A965))</f>
        <v/>
      </c>
      <c r="E974" s="18"/>
      <c r="I974" s="2"/>
    </row>
    <row r="975" spans="1:9" x14ac:dyDescent="0.3">
      <c r="A975" s="2" t="str">
        <f xml:space="preserve"> IF( 'From SvanPC++'!A966= "", "", ('From SvanPC++'!A966))</f>
        <v/>
      </c>
      <c r="E975" s="18"/>
      <c r="I975" s="2"/>
    </row>
    <row r="976" spans="1:9" x14ac:dyDescent="0.3">
      <c r="A976" s="2" t="str">
        <f xml:space="preserve"> IF( 'From SvanPC++'!A967= "", "", ('From SvanPC++'!A967))</f>
        <v/>
      </c>
      <c r="E976" s="18"/>
      <c r="I976" s="2"/>
    </row>
    <row r="977" spans="1:9" x14ac:dyDescent="0.3">
      <c r="A977" s="2" t="str">
        <f xml:space="preserve"> IF( 'From SvanPC++'!A968= "", "", ('From SvanPC++'!A968))</f>
        <v/>
      </c>
      <c r="E977" s="18"/>
      <c r="I977" s="2"/>
    </row>
    <row r="978" spans="1:9" x14ac:dyDescent="0.3">
      <c r="A978" s="2" t="str">
        <f xml:space="preserve"> IF( 'From SvanPC++'!A969= "", "", ('From SvanPC++'!A969))</f>
        <v/>
      </c>
      <c r="E978" s="18"/>
      <c r="I978" s="2"/>
    </row>
    <row r="979" spans="1:9" x14ac:dyDescent="0.3">
      <c r="A979" s="2" t="str">
        <f xml:space="preserve"> IF( 'From SvanPC++'!A970= "", "", ('From SvanPC++'!A970))</f>
        <v/>
      </c>
      <c r="E979" s="18"/>
      <c r="I979" s="2"/>
    </row>
    <row r="980" spans="1:9" x14ac:dyDescent="0.3">
      <c r="A980" s="2" t="str">
        <f xml:space="preserve"> IF( 'From SvanPC++'!A971= "", "", ('From SvanPC++'!A971))</f>
        <v/>
      </c>
      <c r="E980" s="18"/>
      <c r="I980" s="2"/>
    </row>
    <row r="981" spans="1:9" x14ac:dyDescent="0.3">
      <c r="A981" s="2" t="str">
        <f xml:space="preserve"> IF( 'From SvanPC++'!A972= "", "", ('From SvanPC++'!A972))</f>
        <v/>
      </c>
      <c r="E981" s="18"/>
      <c r="I981" s="2"/>
    </row>
    <row r="982" spans="1:9" x14ac:dyDescent="0.3">
      <c r="A982" s="2" t="str">
        <f xml:space="preserve"> IF( 'From SvanPC++'!A973= "", "", ('From SvanPC++'!A973))</f>
        <v/>
      </c>
      <c r="E982" s="18"/>
      <c r="I982" s="2"/>
    </row>
    <row r="983" spans="1:9" x14ac:dyDescent="0.3">
      <c r="A983" s="2" t="str">
        <f xml:space="preserve"> IF( 'From SvanPC++'!A974= "", "", ('From SvanPC++'!A974))</f>
        <v/>
      </c>
      <c r="E983" s="18"/>
      <c r="I983" s="2"/>
    </row>
    <row r="984" spans="1:9" x14ac:dyDescent="0.3">
      <c r="A984" s="2" t="str">
        <f xml:space="preserve"> IF( 'From SvanPC++'!A975= "", "", ('From SvanPC++'!A975))</f>
        <v/>
      </c>
      <c r="E984" s="18"/>
      <c r="I984" s="2"/>
    </row>
    <row r="985" spans="1:9" x14ac:dyDescent="0.3">
      <c r="A985" s="2" t="str">
        <f xml:space="preserve"> IF( 'From SvanPC++'!A976= "", "", ('From SvanPC++'!A976))</f>
        <v/>
      </c>
      <c r="E985" s="18"/>
      <c r="I985" s="2"/>
    </row>
    <row r="986" spans="1:9" x14ac:dyDescent="0.3">
      <c r="A986" s="2" t="str">
        <f xml:space="preserve"> IF( 'From SvanPC++'!A977= "", "", ('From SvanPC++'!A977))</f>
        <v/>
      </c>
      <c r="E986" s="18"/>
      <c r="I986" s="2"/>
    </row>
    <row r="987" spans="1:9" x14ac:dyDescent="0.3">
      <c r="A987" s="2" t="str">
        <f xml:space="preserve"> IF( 'From SvanPC++'!A978= "", "", ('From SvanPC++'!A978))</f>
        <v/>
      </c>
      <c r="E987" s="18"/>
      <c r="I987" s="2"/>
    </row>
    <row r="988" spans="1:9" x14ac:dyDescent="0.3">
      <c r="A988" s="2" t="str">
        <f xml:space="preserve"> IF( 'From SvanPC++'!A979= "", "", ('From SvanPC++'!A979))</f>
        <v/>
      </c>
      <c r="E988" s="18"/>
      <c r="I988" s="2"/>
    </row>
    <row r="989" spans="1:9" x14ac:dyDescent="0.3">
      <c r="A989" s="2" t="str">
        <f xml:space="preserve"> IF( 'From SvanPC++'!A980= "", "", ('From SvanPC++'!A980))</f>
        <v/>
      </c>
      <c r="E989" s="18"/>
      <c r="I989" s="2"/>
    </row>
    <row r="990" spans="1:9" x14ac:dyDescent="0.3">
      <c r="A990" s="2" t="str">
        <f xml:space="preserve"> IF( 'From SvanPC++'!A981= "", "", ('From SvanPC++'!A981))</f>
        <v/>
      </c>
      <c r="E990" s="18"/>
      <c r="I990" s="2"/>
    </row>
    <row r="991" spans="1:9" x14ac:dyDescent="0.3">
      <c r="A991" s="2" t="str">
        <f xml:space="preserve"> IF( 'From SvanPC++'!A982= "", "", ('From SvanPC++'!A982))</f>
        <v/>
      </c>
      <c r="E991" s="18"/>
      <c r="I991" s="2"/>
    </row>
    <row r="992" spans="1:9" x14ac:dyDescent="0.3">
      <c r="A992" s="2" t="str">
        <f xml:space="preserve"> IF( 'From SvanPC++'!A983= "", "", ('From SvanPC++'!A983))</f>
        <v/>
      </c>
      <c r="E992" s="18"/>
      <c r="I992" s="2"/>
    </row>
    <row r="993" spans="1:9" x14ac:dyDescent="0.3">
      <c r="A993" s="2" t="str">
        <f xml:space="preserve"> IF( 'From SvanPC++'!A984= "", "", ('From SvanPC++'!A984))</f>
        <v/>
      </c>
      <c r="E993" s="18"/>
      <c r="I993" s="2"/>
    </row>
    <row r="994" spans="1:9" x14ac:dyDescent="0.3">
      <c r="A994" s="2" t="str">
        <f xml:space="preserve"> IF( 'From SvanPC++'!A985= "", "", ('From SvanPC++'!A985))</f>
        <v/>
      </c>
      <c r="E994" s="18"/>
      <c r="I994" s="2"/>
    </row>
    <row r="995" spans="1:9" x14ac:dyDescent="0.3">
      <c r="A995" s="2" t="str">
        <f xml:space="preserve"> IF( 'From SvanPC++'!A986= "", "", ('From SvanPC++'!A986))</f>
        <v/>
      </c>
      <c r="E995" s="18"/>
      <c r="I995" s="2"/>
    </row>
    <row r="996" spans="1:9" x14ac:dyDescent="0.3">
      <c r="A996" s="2" t="str">
        <f xml:space="preserve"> IF( 'From SvanPC++'!A987= "", "", ('From SvanPC++'!A987))</f>
        <v/>
      </c>
      <c r="E996" s="18"/>
      <c r="I996" s="2"/>
    </row>
    <row r="997" spans="1:9" x14ac:dyDescent="0.3">
      <c r="A997" s="2" t="str">
        <f xml:space="preserve"> IF( 'From SvanPC++'!A988= "", "", ('From SvanPC++'!A988))</f>
        <v/>
      </c>
      <c r="E997" s="18"/>
      <c r="I997" s="2"/>
    </row>
    <row r="998" spans="1:9" x14ac:dyDescent="0.3">
      <c r="A998" s="2" t="str">
        <f xml:space="preserve"> IF( 'From SvanPC++'!A989= "", "", ('From SvanPC++'!A989))</f>
        <v/>
      </c>
      <c r="E998" s="18"/>
      <c r="I998" s="2"/>
    </row>
    <row r="999" spans="1:9" x14ac:dyDescent="0.3">
      <c r="A999" s="2" t="str">
        <f xml:space="preserve"> IF( 'From SvanPC++'!A990= "", "", ('From SvanPC++'!A990))</f>
        <v/>
      </c>
      <c r="E999" s="18"/>
      <c r="I999" s="2"/>
    </row>
    <row r="1000" spans="1:9" x14ac:dyDescent="0.3">
      <c r="A1000" s="2" t="str">
        <f xml:space="preserve"> IF( 'From SvanPC++'!A991= "", "", ('From SvanPC++'!A991))</f>
        <v/>
      </c>
      <c r="E1000" s="18"/>
      <c r="I1000" s="2"/>
    </row>
    <row r="1001" spans="1:9" x14ac:dyDescent="0.3">
      <c r="A1001" s="2" t="str">
        <f xml:space="preserve"> IF( 'From SvanPC++'!A992= "", "", ('From SvanPC++'!A992))</f>
        <v/>
      </c>
      <c r="E1001" s="18"/>
      <c r="I1001" s="2"/>
    </row>
    <row r="1002" spans="1:9" x14ac:dyDescent="0.3">
      <c r="A1002" s="2" t="str">
        <f xml:space="preserve"> IF( 'From SvanPC++'!A993= "", "", ('From SvanPC++'!A993))</f>
        <v/>
      </c>
      <c r="E1002" s="18"/>
      <c r="I1002" s="2"/>
    </row>
    <row r="1003" spans="1:9" x14ac:dyDescent="0.3">
      <c r="A1003" s="2" t="str">
        <f xml:space="preserve"> IF( 'From SvanPC++'!A994= "", "", ('From SvanPC++'!A994))</f>
        <v/>
      </c>
      <c r="E1003" s="18"/>
      <c r="I1003" s="2"/>
    </row>
    <row r="1004" spans="1:9" x14ac:dyDescent="0.3">
      <c r="A1004" s="2" t="str">
        <f xml:space="preserve"> IF( 'From SvanPC++'!A995= "", "", ('From SvanPC++'!A995))</f>
        <v/>
      </c>
      <c r="E1004" s="18"/>
      <c r="I1004" s="2"/>
    </row>
    <row r="1005" spans="1:9" x14ac:dyDescent="0.3">
      <c r="A1005" s="2" t="str">
        <f xml:space="preserve"> IF( 'From SvanPC++'!A996= "", "", ('From SvanPC++'!A996))</f>
        <v/>
      </c>
      <c r="E1005" s="18"/>
      <c r="I1005" s="2"/>
    </row>
    <row r="1006" spans="1:9" x14ac:dyDescent="0.3">
      <c r="A1006" s="2" t="str">
        <f xml:space="preserve"> IF( 'From SvanPC++'!A997= "", "", ('From SvanPC++'!A997))</f>
        <v/>
      </c>
      <c r="E1006" s="18"/>
      <c r="I1006" s="2"/>
    </row>
    <row r="1007" spans="1:9" x14ac:dyDescent="0.3">
      <c r="A1007" s="2" t="str">
        <f xml:space="preserve"> IF( 'From SvanPC++'!A998= "", "", ('From SvanPC++'!A998))</f>
        <v/>
      </c>
      <c r="E1007" s="18"/>
      <c r="I1007" s="2"/>
    </row>
    <row r="1008" spans="1:9" x14ac:dyDescent="0.3">
      <c r="A1008" s="2" t="str">
        <f xml:space="preserve"> IF( 'From SvanPC++'!A999= "", "", ('From SvanPC++'!A999))</f>
        <v/>
      </c>
      <c r="E1008" s="18"/>
      <c r="I1008" s="2"/>
    </row>
    <row r="1009" spans="1:9" x14ac:dyDescent="0.3">
      <c r="A1009" s="2" t="str">
        <f xml:space="preserve"> IF( 'From SvanPC++'!A1000= "", "", ('From SvanPC++'!A1000))</f>
        <v/>
      </c>
      <c r="E1009" s="18"/>
      <c r="I1009" s="2"/>
    </row>
    <row r="1010" spans="1:9" x14ac:dyDescent="0.3">
      <c r="A1010" s="2" t="str">
        <f xml:space="preserve"> IF( 'From SvanPC++'!A1001= "", "", ('From SvanPC++'!A1001))</f>
        <v/>
      </c>
      <c r="E1010" s="18"/>
      <c r="I1010" s="2"/>
    </row>
    <row r="1011" spans="1:9" x14ac:dyDescent="0.3">
      <c r="A1011" s="2" t="str">
        <f xml:space="preserve"> IF( 'From SvanPC++'!A1002= "", "", ('From SvanPC++'!A1002))</f>
        <v/>
      </c>
      <c r="E1011" s="18"/>
      <c r="I1011" s="2"/>
    </row>
    <row r="1012" spans="1:9" x14ac:dyDescent="0.3">
      <c r="A1012" s="2" t="str">
        <f xml:space="preserve"> IF( 'From SvanPC++'!A1003= "", "", ('From SvanPC++'!A1003))</f>
        <v/>
      </c>
      <c r="E1012" s="18"/>
      <c r="I1012" s="2"/>
    </row>
    <row r="1013" spans="1:9" x14ac:dyDescent="0.3">
      <c r="A1013" s="2" t="str">
        <f xml:space="preserve"> IF( 'From SvanPC++'!A1004= "", "", ('From SvanPC++'!A1004))</f>
        <v/>
      </c>
      <c r="E1013" s="18"/>
      <c r="I1013" s="2"/>
    </row>
    <row r="1014" spans="1:9" x14ac:dyDescent="0.3">
      <c r="A1014" s="2" t="str">
        <f xml:space="preserve"> IF( 'From SvanPC++'!A1005= "", "", ('From SvanPC++'!A1005))</f>
        <v/>
      </c>
      <c r="E1014" s="18"/>
      <c r="I1014" s="2"/>
    </row>
    <row r="1015" spans="1:9" x14ac:dyDescent="0.3">
      <c r="A1015" s="2" t="str">
        <f xml:space="preserve"> IF( 'From SvanPC++'!A1006= "", "", ('From SvanPC++'!A1006))</f>
        <v/>
      </c>
      <c r="E1015" s="18"/>
      <c r="I1015" s="2"/>
    </row>
    <row r="1016" spans="1:9" x14ac:dyDescent="0.3">
      <c r="A1016" s="2" t="str">
        <f xml:space="preserve"> IF( 'From SvanPC++'!A1007= "", "", ('From SvanPC++'!A1007))</f>
        <v/>
      </c>
      <c r="E1016" s="18"/>
      <c r="I1016" s="2"/>
    </row>
    <row r="1017" spans="1:9" x14ac:dyDescent="0.3">
      <c r="A1017" s="2" t="str">
        <f xml:space="preserve"> IF( 'From SvanPC++'!A1008= "", "", ('From SvanPC++'!A1008))</f>
        <v/>
      </c>
      <c r="E1017" s="18"/>
      <c r="I1017" s="2"/>
    </row>
    <row r="1018" spans="1:9" x14ac:dyDescent="0.3">
      <c r="A1018" s="2" t="str">
        <f xml:space="preserve"> IF( 'From SvanPC++'!A1009= "", "", ('From SvanPC++'!A1009))</f>
        <v/>
      </c>
      <c r="E1018" s="18"/>
      <c r="I1018" s="2"/>
    </row>
    <row r="1019" spans="1:9" x14ac:dyDescent="0.3">
      <c r="A1019" s="2" t="str">
        <f xml:space="preserve"> IF( 'From SvanPC++'!A1010= "", "", ('From SvanPC++'!A1010))</f>
        <v/>
      </c>
      <c r="E1019" s="18"/>
      <c r="I1019" s="2"/>
    </row>
    <row r="1020" spans="1:9" x14ac:dyDescent="0.3">
      <c r="A1020" s="2" t="str">
        <f xml:space="preserve"> IF( 'From SvanPC++'!A1011= "", "", ('From SvanPC++'!A1011))</f>
        <v/>
      </c>
      <c r="E1020" s="18"/>
      <c r="I1020" s="2"/>
    </row>
    <row r="1021" spans="1:9" x14ac:dyDescent="0.3">
      <c r="A1021" s="2" t="str">
        <f xml:space="preserve"> IF( 'From SvanPC++'!A1012= "", "", ('From SvanPC++'!A1012))</f>
        <v/>
      </c>
      <c r="E1021" s="18"/>
      <c r="I1021" s="2"/>
    </row>
    <row r="1022" spans="1:9" x14ac:dyDescent="0.3">
      <c r="A1022" s="2" t="str">
        <f xml:space="preserve"> IF( 'From SvanPC++'!A1013= "", "", ('From SvanPC++'!A1013))</f>
        <v/>
      </c>
      <c r="E1022" s="18"/>
      <c r="I1022" s="2"/>
    </row>
    <row r="1023" spans="1:9" x14ac:dyDescent="0.3">
      <c r="A1023" s="2" t="str">
        <f xml:space="preserve"> IF( 'From SvanPC++'!A1014= "", "", ('From SvanPC++'!A1014))</f>
        <v/>
      </c>
      <c r="E1023" s="18"/>
      <c r="I1023" s="2"/>
    </row>
    <row r="1024" spans="1:9" x14ac:dyDescent="0.3">
      <c r="A1024" s="2" t="str">
        <f xml:space="preserve"> IF( 'From SvanPC++'!A1015= "", "", ('From SvanPC++'!A1015))</f>
        <v/>
      </c>
      <c r="E1024" s="18"/>
      <c r="I1024" s="2"/>
    </row>
    <row r="1025" spans="1:9" x14ac:dyDescent="0.3">
      <c r="A1025" s="2" t="str">
        <f xml:space="preserve"> IF( 'From SvanPC++'!A1016= "", "", ('From SvanPC++'!A1016))</f>
        <v/>
      </c>
      <c r="E1025" s="18"/>
      <c r="I1025" s="2"/>
    </row>
    <row r="1026" spans="1:9" x14ac:dyDescent="0.3">
      <c r="A1026" s="2" t="str">
        <f xml:space="preserve"> IF( 'From SvanPC++'!A1017= "", "", ('From SvanPC++'!A1017))</f>
        <v/>
      </c>
      <c r="E1026" s="18"/>
      <c r="I1026" s="2"/>
    </row>
    <row r="1027" spans="1:9" x14ac:dyDescent="0.3">
      <c r="A1027" s="2" t="str">
        <f xml:space="preserve"> IF( 'From SvanPC++'!A1018= "", "", ('From SvanPC++'!A1018))</f>
        <v/>
      </c>
      <c r="E1027" s="18"/>
      <c r="I1027" s="2"/>
    </row>
    <row r="1028" spans="1:9" x14ac:dyDescent="0.3">
      <c r="A1028" s="2" t="str">
        <f xml:space="preserve"> IF( 'From SvanPC++'!A1019= "", "", ('From SvanPC++'!A1019))</f>
        <v/>
      </c>
      <c r="E1028" s="18"/>
      <c r="I1028" s="2"/>
    </row>
    <row r="1029" spans="1:9" x14ac:dyDescent="0.3">
      <c r="A1029" s="2" t="str">
        <f xml:space="preserve"> IF( 'From SvanPC++'!A1020= "", "", ('From SvanPC++'!A1020))</f>
        <v/>
      </c>
      <c r="E1029" s="18"/>
      <c r="I1029" s="2"/>
    </row>
    <row r="1030" spans="1:9" x14ac:dyDescent="0.3">
      <c r="A1030" s="2" t="str">
        <f xml:space="preserve"> IF( 'From SvanPC++'!A1021= "", "", ('From SvanPC++'!A1021))</f>
        <v/>
      </c>
      <c r="E1030" s="18"/>
      <c r="I1030" s="2"/>
    </row>
    <row r="1031" spans="1:9" x14ac:dyDescent="0.3">
      <c r="A1031" s="2" t="str">
        <f xml:space="preserve"> IF( 'From SvanPC++'!A1022= "", "", ('From SvanPC++'!A1022))</f>
        <v/>
      </c>
      <c r="E1031" s="18"/>
      <c r="I1031" s="2"/>
    </row>
    <row r="1032" spans="1:9" x14ac:dyDescent="0.3">
      <c r="A1032" s="2" t="str">
        <f xml:space="preserve"> IF( 'From SvanPC++'!A1023= "", "", ('From SvanPC++'!A1023))</f>
        <v/>
      </c>
      <c r="E1032" s="18"/>
      <c r="I1032" s="2"/>
    </row>
    <row r="1033" spans="1:9" x14ac:dyDescent="0.3">
      <c r="A1033" s="2" t="str">
        <f xml:space="preserve"> IF( 'From SvanPC++'!A1024= "", "", ('From SvanPC++'!A1024))</f>
        <v/>
      </c>
      <c r="E1033" s="18"/>
      <c r="I1033" s="2"/>
    </row>
    <row r="1034" spans="1:9" x14ac:dyDescent="0.3">
      <c r="A1034" s="2" t="str">
        <f xml:space="preserve"> IF( 'From SvanPC++'!A1025= "", "", ('From SvanPC++'!A1025))</f>
        <v/>
      </c>
      <c r="E1034" s="18"/>
      <c r="I1034" s="2"/>
    </row>
    <row r="1035" spans="1:9" x14ac:dyDescent="0.3">
      <c r="A1035" s="2" t="str">
        <f xml:space="preserve"> IF( 'From SvanPC++'!A1026= "", "", ('From SvanPC++'!A1026))</f>
        <v/>
      </c>
      <c r="E1035" s="18"/>
      <c r="I1035" s="2"/>
    </row>
    <row r="1036" spans="1:9" x14ac:dyDescent="0.3">
      <c r="A1036" s="2" t="str">
        <f xml:space="preserve"> IF( 'From SvanPC++'!A1027= "", "", ('From SvanPC++'!A1027))</f>
        <v/>
      </c>
      <c r="E1036" s="18"/>
      <c r="I1036" s="2"/>
    </row>
    <row r="1037" spans="1:9" x14ac:dyDescent="0.3">
      <c r="A1037" s="2" t="str">
        <f xml:space="preserve"> IF( 'From SvanPC++'!A1028= "", "", ('From SvanPC++'!A1028))</f>
        <v/>
      </c>
      <c r="E1037" s="18"/>
      <c r="I1037" s="2"/>
    </row>
    <row r="1038" spans="1:9" x14ac:dyDescent="0.3">
      <c r="A1038" s="2" t="str">
        <f xml:space="preserve"> IF( 'From SvanPC++'!A1029= "", "", ('From SvanPC++'!A1029))</f>
        <v/>
      </c>
      <c r="E1038" s="18"/>
      <c r="I1038" s="2"/>
    </row>
    <row r="1039" spans="1:9" x14ac:dyDescent="0.3">
      <c r="A1039" s="2" t="str">
        <f xml:space="preserve"> IF( 'From SvanPC++'!A1030= "", "", ('From SvanPC++'!A1030))</f>
        <v/>
      </c>
      <c r="E1039" s="18"/>
      <c r="I1039" s="2"/>
    </row>
    <row r="1040" spans="1:9" x14ac:dyDescent="0.3">
      <c r="A1040" s="2" t="str">
        <f xml:space="preserve"> IF( 'From SvanPC++'!A1031= "", "", ('From SvanPC++'!A1031))</f>
        <v/>
      </c>
      <c r="E1040" s="18"/>
      <c r="I1040" s="2"/>
    </row>
    <row r="1041" spans="1:9" x14ac:dyDescent="0.3">
      <c r="A1041" s="2" t="str">
        <f xml:space="preserve"> IF( 'From SvanPC++'!A1032= "", "", ('From SvanPC++'!A1032))</f>
        <v/>
      </c>
      <c r="E1041" s="18"/>
      <c r="I1041" s="2"/>
    </row>
    <row r="1042" spans="1:9" x14ac:dyDescent="0.3">
      <c r="A1042" s="2" t="str">
        <f xml:space="preserve"> IF( 'From SvanPC++'!A1033= "", "", ('From SvanPC++'!A1033))</f>
        <v/>
      </c>
      <c r="E1042" s="18"/>
      <c r="I1042" s="2"/>
    </row>
    <row r="1043" spans="1:9" x14ac:dyDescent="0.3">
      <c r="A1043" s="2" t="str">
        <f xml:space="preserve"> IF( 'From SvanPC++'!A1034= "", "", ('From SvanPC++'!A1034))</f>
        <v/>
      </c>
      <c r="E1043" s="18"/>
      <c r="I1043" s="2"/>
    </row>
    <row r="1044" spans="1:9" x14ac:dyDescent="0.3">
      <c r="A1044" s="2" t="str">
        <f xml:space="preserve"> IF( 'From SvanPC++'!A1035= "", "", ('From SvanPC++'!A1035))</f>
        <v/>
      </c>
      <c r="E1044" s="18"/>
      <c r="I1044" s="2"/>
    </row>
    <row r="1045" spans="1:9" x14ac:dyDescent="0.3">
      <c r="A1045" s="2" t="str">
        <f xml:space="preserve"> IF( 'From SvanPC++'!A1036= "", "", ('From SvanPC++'!A1036))</f>
        <v/>
      </c>
      <c r="E1045" s="18"/>
      <c r="I1045" s="2"/>
    </row>
    <row r="1046" spans="1:9" x14ac:dyDescent="0.3">
      <c r="A1046" s="2" t="str">
        <f xml:space="preserve"> IF( 'From SvanPC++'!A1037= "", "", ('From SvanPC++'!A1037))</f>
        <v/>
      </c>
      <c r="E1046" s="18"/>
      <c r="I1046" s="2"/>
    </row>
    <row r="1047" spans="1:9" x14ac:dyDescent="0.3">
      <c r="A1047" s="2" t="str">
        <f xml:space="preserve"> IF( 'From SvanPC++'!A1038= "", "", ('From SvanPC++'!A1038))</f>
        <v/>
      </c>
      <c r="E1047" s="18"/>
      <c r="I1047" s="2"/>
    </row>
    <row r="1048" spans="1:9" x14ac:dyDescent="0.3">
      <c r="A1048" s="2" t="str">
        <f xml:space="preserve"> IF( 'From SvanPC++'!A1039= "", "", ('From SvanPC++'!A1039))</f>
        <v/>
      </c>
      <c r="E1048" s="18"/>
      <c r="I1048" s="2"/>
    </row>
    <row r="1049" spans="1:9" x14ac:dyDescent="0.3">
      <c r="A1049" s="2" t="str">
        <f xml:space="preserve"> IF( 'From SvanPC++'!A1040= "", "", ('From SvanPC++'!A1040))</f>
        <v/>
      </c>
      <c r="E1049" s="18"/>
      <c r="I1049" s="2"/>
    </row>
    <row r="1050" spans="1:9" x14ac:dyDescent="0.3">
      <c r="A1050" s="2" t="str">
        <f xml:space="preserve"> IF( 'From SvanPC++'!A1041= "", "", ('From SvanPC++'!A1041))</f>
        <v/>
      </c>
      <c r="E1050" s="18"/>
      <c r="I1050" s="2"/>
    </row>
    <row r="1051" spans="1:9" x14ac:dyDescent="0.3">
      <c r="A1051" s="2" t="str">
        <f xml:space="preserve"> IF( 'From SvanPC++'!A1042= "", "", ('From SvanPC++'!A1042))</f>
        <v/>
      </c>
      <c r="E1051" s="18"/>
      <c r="I1051" s="2"/>
    </row>
    <row r="1052" spans="1:9" x14ac:dyDescent="0.3">
      <c r="A1052" s="2" t="str">
        <f xml:space="preserve"> IF( 'From SvanPC++'!A1043= "", "", ('From SvanPC++'!A1043))</f>
        <v/>
      </c>
      <c r="E1052" s="18"/>
      <c r="I1052" s="2"/>
    </row>
    <row r="1053" spans="1:9" x14ac:dyDescent="0.3">
      <c r="A1053" s="2" t="str">
        <f xml:space="preserve"> IF( 'From SvanPC++'!A1044= "", "", ('From SvanPC++'!A1044))</f>
        <v/>
      </c>
      <c r="E1053" s="18"/>
      <c r="I1053" s="2"/>
    </row>
    <row r="1054" spans="1:9" x14ac:dyDescent="0.3">
      <c r="A1054" s="2" t="str">
        <f xml:space="preserve"> IF( 'From SvanPC++'!A1045= "", "", ('From SvanPC++'!A1045))</f>
        <v/>
      </c>
      <c r="E1054" s="18"/>
      <c r="I1054" s="2"/>
    </row>
    <row r="1055" spans="1:9" x14ac:dyDescent="0.3">
      <c r="A1055" s="2" t="str">
        <f xml:space="preserve"> IF( 'From SvanPC++'!A1046= "", "", ('From SvanPC++'!A1046))</f>
        <v/>
      </c>
      <c r="E1055" s="18"/>
      <c r="I1055" s="2"/>
    </row>
    <row r="1056" spans="1:9" x14ac:dyDescent="0.3">
      <c r="A1056" s="2" t="str">
        <f xml:space="preserve"> IF( 'From SvanPC++'!A1047= "", "", ('From SvanPC++'!A1047))</f>
        <v/>
      </c>
      <c r="E1056" s="18"/>
      <c r="I1056" s="2"/>
    </row>
    <row r="1057" spans="1:9" x14ac:dyDescent="0.3">
      <c r="A1057" s="2" t="str">
        <f xml:space="preserve"> IF( 'From SvanPC++'!A1048= "", "", ('From SvanPC++'!A1048))</f>
        <v/>
      </c>
      <c r="E1057" s="18"/>
      <c r="I1057" s="2"/>
    </row>
    <row r="1058" spans="1:9" x14ac:dyDescent="0.3">
      <c r="A1058" s="2" t="str">
        <f xml:space="preserve"> IF( 'From SvanPC++'!A1049= "", "", ('From SvanPC++'!A1049))</f>
        <v/>
      </c>
      <c r="E1058" s="18"/>
      <c r="I1058" s="2"/>
    </row>
    <row r="1059" spans="1:9" x14ac:dyDescent="0.3">
      <c r="A1059" s="2" t="str">
        <f xml:space="preserve"> IF( 'From SvanPC++'!A1050= "", "", ('From SvanPC++'!A1050))</f>
        <v/>
      </c>
      <c r="E1059" s="18"/>
      <c r="I1059" s="2"/>
    </row>
    <row r="1060" spans="1:9" x14ac:dyDescent="0.3">
      <c r="A1060" s="2" t="str">
        <f xml:space="preserve"> IF( 'From SvanPC++'!A1051= "", "", ('From SvanPC++'!A1051))</f>
        <v/>
      </c>
      <c r="E1060" s="18"/>
      <c r="I1060" s="2"/>
    </row>
    <row r="1061" spans="1:9" x14ac:dyDescent="0.3">
      <c r="A1061" s="2" t="str">
        <f xml:space="preserve"> IF( 'From SvanPC++'!A1052= "", "", ('From SvanPC++'!A1052))</f>
        <v/>
      </c>
      <c r="E1061" s="18"/>
      <c r="I1061" s="2"/>
    </row>
    <row r="1062" spans="1:9" x14ac:dyDescent="0.3">
      <c r="A1062" s="2" t="str">
        <f xml:space="preserve"> IF( 'From SvanPC++'!A1053= "", "", ('From SvanPC++'!A1053))</f>
        <v/>
      </c>
      <c r="E1062" s="18"/>
      <c r="I1062" s="2"/>
    </row>
    <row r="1063" spans="1:9" x14ac:dyDescent="0.3">
      <c r="A1063" s="2" t="str">
        <f xml:space="preserve"> IF( 'From SvanPC++'!A1054= "", "", ('From SvanPC++'!A1054))</f>
        <v/>
      </c>
      <c r="E1063" s="18"/>
      <c r="I1063" s="2"/>
    </row>
    <row r="1064" spans="1:9" x14ac:dyDescent="0.3">
      <c r="A1064" s="2" t="str">
        <f xml:space="preserve"> IF( 'From SvanPC++'!A1055= "", "", ('From SvanPC++'!A1055))</f>
        <v/>
      </c>
      <c r="E1064" s="18"/>
      <c r="I1064" s="2"/>
    </row>
    <row r="1065" spans="1:9" x14ac:dyDescent="0.3">
      <c r="A1065" s="2" t="str">
        <f xml:space="preserve"> IF( 'From SvanPC++'!A1056= "", "", ('From SvanPC++'!A1056))</f>
        <v/>
      </c>
      <c r="E1065" s="18"/>
      <c r="I1065" s="2"/>
    </row>
    <row r="1066" spans="1:9" x14ac:dyDescent="0.3">
      <c r="A1066" s="2" t="str">
        <f xml:space="preserve"> IF( 'From SvanPC++'!A1057= "", "", ('From SvanPC++'!A1057))</f>
        <v/>
      </c>
      <c r="E1066" s="18"/>
      <c r="I1066" s="2"/>
    </row>
    <row r="1067" spans="1:9" x14ac:dyDescent="0.3">
      <c r="A1067" s="2" t="str">
        <f xml:space="preserve"> IF( 'From SvanPC++'!A1058= "", "", ('From SvanPC++'!A1058))</f>
        <v/>
      </c>
      <c r="E1067" s="18"/>
      <c r="I1067" s="2"/>
    </row>
    <row r="1068" spans="1:9" x14ac:dyDescent="0.3">
      <c r="A1068" s="2" t="str">
        <f xml:space="preserve"> IF( 'From SvanPC++'!A1059= "", "", ('From SvanPC++'!A1059))</f>
        <v/>
      </c>
      <c r="E1068" s="18"/>
      <c r="I1068" s="2"/>
    </row>
    <row r="1069" spans="1:9" x14ac:dyDescent="0.3">
      <c r="A1069" s="2" t="str">
        <f xml:space="preserve"> IF( 'From SvanPC++'!A1060= "", "", ('From SvanPC++'!A1060))</f>
        <v/>
      </c>
      <c r="E1069" s="18"/>
      <c r="I1069" s="2"/>
    </row>
    <row r="1070" spans="1:9" x14ac:dyDescent="0.3">
      <c r="A1070" s="2" t="str">
        <f xml:space="preserve"> IF( 'From SvanPC++'!A1061= "", "", ('From SvanPC++'!A1061))</f>
        <v/>
      </c>
      <c r="E1070" s="18"/>
      <c r="I1070" s="2"/>
    </row>
    <row r="1071" spans="1:9" x14ac:dyDescent="0.3">
      <c r="A1071" s="2" t="str">
        <f xml:space="preserve"> IF( 'From SvanPC++'!A1062= "", "", ('From SvanPC++'!A1062))</f>
        <v/>
      </c>
      <c r="E1071" s="18"/>
      <c r="I1071" s="2"/>
    </row>
    <row r="1072" spans="1:9" x14ac:dyDescent="0.3">
      <c r="A1072" s="2" t="str">
        <f xml:space="preserve"> IF( 'From SvanPC++'!A1063= "", "", ('From SvanPC++'!A1063))</f>
        <v/>
      </c>
      <c r="E1072" s="18"/>
      <c r="I1072" s="2"/>
    </row>
    <row r="1073" spans="1:9" x14ac:dyDescent="0.3">
      <c r="A1073" s="2" t="str">
        <f xml:space="preserve"> IF( 'From SvanPC++'!A1064= "", "", ('From SvanPC++'!A1064))</f>
        <v/>
      </c>
      <c r="E1073" s="18"/>
      <c r="I1073" s="2"/>
    </row>
    <row r="1074" spans="1:9" x14ac:dyDescent="0.3">
      <c r="A1074" s="2" t="str">
        <f xml:space="preserve"> IF( 'From SvanPC++'!A1065= "", "", ('From SvanPC++'!A1065))</f>
        <v/>
      </c>
      <c r="E1074" s="18"/>
      <c r="I1074" s="2"/>
    </row>
    <row r="1075" spans="1:9" x14ac:dyDescent="0.3">
      <c r="A1075" s="2" t="str">
        <f xml:space="preserve"> IF( 'From SvanPC++'!A1066= "", "", ('From SvanPC++'!A1066))</f>
        <v/>
      </c>
      <c r="E1075" s="18"/>
      <c r="I1075" s="2"/>
    </row>
    <row r="1076" spans="1:9" x14ac:dyDescent="0.3">
      <c r="A1076" s="2" t="str">
        <f xml:space="preserve"> IF( 'From SvanPC++'!A1067= "", "", ('From SvanPC++'!A1067))</f>
        <v/>
      </c>
      <c r="E1076" s="18"/>
      <c r="I1076" s="2"/>
    </row>
    <row r="1077" spans="1:9" x14ac:dyDescent="0.3">
      <c r="A1077" s="2" t="str">
        <f xml:space="preserve"> IF( 'From SvanPC++'!A1068= "", "", ('From SvanPC++'!A1068))</f>
        <v/>
      </c>
      <c r="E1077" s="18"/>
      <c r="I1077" s="2"/>
    </row>
    <row r="1078" spans="1:9" x14ac:dyDescent="0.3">
      <c r="A1078" s="2" t="str">
        <f xml:space="preserve"> IF( 'From SvanPC++'!A1069= "", "", ('From SvanPC++'!A1069))</f>
        <v/>
      </c>
      <c r="E1078" s="18"/>
      <c r="I1078" s="2"/>
    </row>
    <row r="1079" spans="1:9" x14ac:dyDescent="0.3">
      <c r="A1079" s="2" t="str">
        <f xml:space="preserve"> IF( 'From SvanPC++'!A1070= "", "", ('From SvanPC++'!A1070))</f>
        <v/>
      </c>
      <c r="E1079" s="18"/>
      <c r="I1079" s="2"/>
    </row>
    <row r="1080" spans="1:9" x14ac:dyDescent="0.3">
      <c r="A1080" s="2" t="str">
        <f xml:space="preserve"> IF( 'From SvanPC++'!A1071= "", "", ('From SvanPC++'!A1071))</f>
        <v/>
      </c>
      <c r="E1080" s="18"/>
      <c r="I1080" s="2"/>
    </row>
    <row r="1081" spans="1:9" x14ac:dyDescent="0.3">
      <c r="A1081" s="2" t="str">
        <f xml:space="preserve"> IF( 'From SvanPC++'!A1072= "", "", ('From SvanPC++'!A1072))</f>
        <v/>
      </c>
      <c r="E1081" s="18"/>
      <c r="I1081" s="2"/>
    </row>
    <row r="1082" spans="1:9" x14ac:dyDescent="0.3">
      <c r="A1082" s="2" t="str">
        <f xml:space="preserve"> IF( 'From SvanPC++'!A1073= "", "", ('From SvanPC++'!A1073))</f>
        <v/>
      </c>
      <c r="E1082" s="18"/>
      <c r="I1082" s="2"/>
    </row>
    <row r="1083" spans="1:9" x14ac:dyDescent="0.3">
      <c r="A1083" s="2" t="str">
        <f xml:space="preserve"> IF( 'From SvanPC++'!A1074= "", "", ('From SvanPC++'!A1074))</f>
        <v/>
      </c>
      <c r="E1083" s="18"/>
      <c r="I1083" s="2"/>
    </row>
    <row r="1084" spans="1:9" x14ac:dyDescent="0.3">
      <c r="A1084" s="2" t="str">
        <f xml:space="preserve"> IF( 'From SvanPC++'!A1075= "", "", ('From SvanPC++'!A1075))</f>
        <v/>
      </c>
      <c r="E1084" s="18"/>
      <c r="I1084" s="2"/>
    </row>
    <row r="1085" spans="1:9" x14ac:dyDescent="0.3">
      <c r="A1085" s="2" t="str">
        <f xml:space="preserve"> IF( 'From SvanPC++'!A1076= "", "", ('From SvanPC++'!A1076))</f>
        <v/>
      </c>
      <c r="E1085" s="18"/>
      <c r="I1085" s="2"/>
    </row>
    <row r="1086" spans="1:9" x14ac:dyDescent="0.3">
      <c r="A1086" s="2" t="str">
        <f xml:space="preserve"> IF( 'From SvanPC++'!A1077= "", "", ('From SvanPC++'!A1077))</f>
        <v/>
      </c>
      <c r="E1086" s="18"/>
      <c r="I1086" s="2"/>
    </row>
    <row r="1087" spans="1:9" x14ac:dyDescent="0.3">
      <c r="A1087" s="2" t="str">
        <f xml:space="preserve"> IF( 'From SvanPC++'!A1078= "", "", ('From SvanPC++'!A1078))</f>
        <v/>
      </c>
      <c r="E1087" s="18"/>
      <c r="I1087" s="2"/>
    </row>
    <row r="1088" spans="1:9" x14ac:dyDescent="0.3">
      <c r="A1088" s="2" t="str">
        <f xml:space="preserve"> IF( 'From SvanPC++'!A1079= "", "", ('From SvanPC++'!A1079))</f>
        <v/>
      </c>
      <c r="E1088" s="18"/>
      <c r="I1088" s="2"/>
    </row>
    <row r="1089" spans="1:9" x14ac:dyDescent="0.3">
      <c r="A1089" s="2" t="str">
        <f xml:space="preserve"> IF( 'From SvanPC++'!A1080= "", "", ('From SvanPC++'!A1080))</f>
        <v/>
      </c>
      <c r="E1089" s="18"/>
      <c r="I1089" s="2"/>
    </row>
    <row r="1090" spans="1:9" x14ac:dyDescent="0.3">
      <c r="A1090" s="2" t="str">
        <f xml:space="preserve"> IF( 'From SvanPC++'!A1081= "", "", ('From SvanPC++'!A1081))</f>
        <v/>
      </c>
      <c r="E1090" s="18"/>
      <c r="I1090" s="2"/>
    </row>
    <row r="1091" spans="1:9" x14ac:dyDescent="0.3">
      <c r="A1091" s="2" t="str">
        <f xml:space="preserve"> IF( 'From SvanPC++'!A1082= "", "", ('From SvanPC++'!A1082))</f>
        <v/>
      </c>
      <c r="E1091" s="18"/>
      <c r="I1091" s="2"/>
    </row>
    <row r="1092" spans="1:9" x14ac:dyDescent="0.3">
      <c r="A1092" s="2" t="str">
        <f xml:space="preserve"> IF( 'From SvanPC++'!A1083= "", "", ('From SvanPC++'!A1083))</f>
        <v/>
      </c>
      <c r="E1092" s="18"/>
      <c r="I1092" s="2"/>
    </row>
    <row r="1093" spans="1:9" x14ac:dyDescent="0.3">
      <c r="A1093" s="2" t="str">
        <f xml:space="preserve"> IF( 'From SvanPC++'!A1084= "", "", ('From SvanPC++'!A1084))</f>
        <v/>
      </c>
      <c r="E1093" s="18"/>
      <c r="I1093" s="2"/>
    </row>
    <row r="1094" spans="1:9" x14ac:dyDescent="0.3">
      <c r="A1094" s="2" t="str">
        <f xml:space="preserve"> IF( 'From SvanPC++'!A1085= "", "", ('From SvanPC++'!A1085))</f>
        <v/>
      </c>
      <c r="E1094" s="18"/>
      <c r="I1094" s="2"/>
    </row>
    <row r="1095" spans="1:9" x14ac:dyDescent="0.3">
      <c r="A1095" s="2" t="str">
        <f xml:space="preserve"> IF( 'From SvanPC++'!A1086= "", "", ('From SvanPC++'!A1086))</f>
        <v/>
      </c>
      <c r="E1095" s="18"/>
      <c r="I1095" s="2"/>
    </row>
    <row r="1096" spans="1:9" x14ac:dyDescent="0.3">
      <c r="A1096" s="2" t="str">
        <f xml:space="preserve"> IF( 'From SvanPC++'!A1087= "", "", ('From SvanPC++'!A1087))</f>
        <v/>
      </c>
      <c r="E1096" s="18"/>
      <c r="I1096" s="2"/>
    </row>
    <row r="1097" spans="1:9" x14ac:dyDescent="0.3">
      <c r="A1097" s="2" t="str">
        <f xml:space="preserve"> IF( 'From SvanPC++'!A1088= "", "", ('From SvanPC++'!A1088))</f>
        <v/>
      </c>
      <c r="E1097" s="18"/>
      <c r="I1097" s="2"/>
    </row>
    <row r="1098" spans="1:9" x14ac:dyDescent="0.3">
      <c r="A1098" s="2" t="str">
        <f xml:space="preserve"> IF( 'From SvanPC++'!A1089= "", "", ('From SvanPC++'!A1089))</f>
        <v/>
      </c>
      <c r="E1098" s="18"/>
      <c r="I1098" s="2"/>
    </row>
    <row r="1099" spans="1:9" x14ac:dyDescent="0.3">
      <c r="A1099" s="2" t="str">
        <f xml:space="preserve"> IF( 'From SvanPC++'!A1090= "", "", ('From SvanPC++'!A1090))</f>
        <v/>
      </c>
      <c r="E1099" s="18"/>
      <c r="I1099" s="2"/>
    </row>
    <row r="1100" spans="1:9" x14ac:dyDescent="0.3">
      <c r="A1100" s="2" t="str">
        <f xml:space="preserve"> IF( 'From SvanPC++'!A1091= "", "", ('From SvanPC++'!A1091))</f>
        <v/>
      </c>
      <c r="E1100" s="18"/>
      <c r="I1100" s="2"/>
    </row>
    <row r="1101" spans="1:9" x14ac:dyDescent="0.3">
      <c r="A1101" s="2" t="str">
        <f xml:space="preserve"> IF( 'From SvanPC++'!A1092= "", "", ('From SvanPC++'!A1092))</f>
        <v/>
      </c>
      <c r="E1101" s="18"/>
      <c r="I1101" s="2"/>
    </row>
    <row r="1102" spans="1:9" x14ac:dyDescent="0.3">
      <c r="A1102" s="2" t="str">
        <f xml:space="preserve"> IF( 'From SvanPC++'!A1093= "", "", ('From SvanPC++'!A1093))</f>
        <v/>
      </c>
      <c r="E1102" s="18"/>
      <c r="I1102" s="2"/>
    </row>
    <row r="1103" spans="1:9" x14ac:dyDescent="0.3">
      <c r="A1103" s="2" t="str">
        <f xml:space="preserve"> IF( 'From SvanPC++'!A1094= "", "", ('From SvanPC++'!A1094))</f>
        <v/>
      </c>
      <c r="E1103" s="18"/>
      <c r="I1103" s="2"/>
    </row>
    <row r="1104" spans="1:9" x14ac:dyDescent="0.3">
      <c r="A1104" s="2" t="str">
        <f xml:space="preserve"> IF( 'From SvanPC++'!A1095= "", "", ('From SvanPC++'!A1095))</f>
        <v/>
      </c>
      <c r="E1104" s="18"/>
      <c r="I1104" s="2"/>
    </row>
    <row r="1105" spans="1:9" x14ac:dyDescent="0.3">
      <c r="A1105" s="2" t="str">
        <f xml:space="preserve"> IF( 'From SvanPC++'!A1096= "", "", ('From SvanPC++'!A1096))</f>
        <v/>
      </c>
      <c r="E1105" s="18"/>
      <c r="I1105" s="2"/>
    </row>
    <row r="1106" spans="1:9" x14ac:dyDescent="0.3">
      <c r="A1106" s="2" t="str">
        <f xml:space="preserve"> IF( 'From SvanPC++'!A1097= "", "", ('From SvanPC++'!A1097))</f>
        <v/>
      </c>
      <c r="E1106" s="18"/>
      <c r="I1106" s="2"/>
    </row>
    <row r="1107" spans="1:9" x14ac:dyDescent="0.3">
      <c r="A1107" s="2" t="str">
        <f xml:space="preserve"> IF( 'From SvanPC++'!A1098= "", "", ('From SvanPC++'!A1098))</f>
        <v/>
      </c>
      <c r="E1107" s="18"/>
      <c r="I1107" s="2"/>
    </row>
    <row r="1108" spans="1:9" x14ac:dyDescent="0.3">
      <c r="A1108" s="2" t="str">
        <f xml:space="preserve"> IF( 'From SvanPC++'!A1099= "", "", ('From SvanPC++'!A1099))</f>
        <v/>
      </c>
      <c r="E1108" s="18"/>
      <c r="I1108" s="2"/>
    </row>
    <row r="1109" spans="1:9" x14ac:dyDescent="0.3">
      <c r="A1109" s="2" t="str">
        <f xml:space="preserve"> IF( 'From SvanPC++'!A1100= "", "", ('From SvanPC++'!A1100))</f>
        <v/>
      </c>
      <c r="E1109" s="18"/>
      <c r="I1109" s="2"/>
    </row>
    <row r="1110" spans="1:9" x14ac:dyDescent="0.3">
      <c r="A1110" s="2" t="str">
        <f xml:space="preserve"> IF( 'From SvanPC++'!A1101= "", "", ('From SvanPC++'!A1101))</f>
        <v/>
      </c>
      <c r="E1110" s="18"/>
      <c r="I1110" s="2"/>
    </row>
    <row r="1111" spans="1:9" x14ac:dyDescent="0.3">
      <c r="A1111" s="2" t="str">
        <f xml:space="preserve"> IF( 'From SvanPC++'!A1102= "", "", ('From SvanPC++'!A1102))</f>
        <v/>
      </c>
      <c r="E1111" s="18"/>
      <c r="I1111" s="2"/>
    </row>
    <row r="1112" spans="1:9" x14ac:dyDescent="0.3">
      <c r="A1112" s="2" t="str">
        <f xml:space="preserve"> IF( 'From SvanPC++'!A1103= "", "", ('From SvanPC++'!A1103))</f>
        <v/>
      </c>
      <c r="E1112" s="18"/>
      <c r="I1112" s="2"/>
    </row>
    <row r="1113" spans="1:9" x14ac:dyDescent="0.3">
      <c r="A1113" s="2" t="str">
        <f xml:space="preserve"> IF( 'From SvanPC++'!A1104= "", "", ('From SvanPC++'!A1104))</f>
        <v/>
      </c>
      <c r="E1113" s="18"/>
      <c r="I1113" s="2"/>
    </row>
    <row r="1114" spans="1:9" x14ac:dyDescent="0.3">
      <c r="A1114" s="2" t="str">
        <f xml:space="preserve"> IF( 'From SvanPC++'!A1105= "", "", ('From SvanPC++'!A1105))</f>
        <v/>
      </c>
      <c r="E1114" s="18"/>
      <c r="I1114" s="2"/>
    </row>
    <row r="1115" spans="1:9" x14ac:dyDescent="0.3">
      <c r="A1115" s="2" t="str">
        <f xml:space="preserve"> IF( 'From SvanPC++'!A1106= "", "", ('From SvanPC++'!A1106))</f>
        <v/>
      </c>
      <c r="E1115" s="18"/>
      <c r="I1115" s="2"/>
    </row>
    <row r="1116" spans="1:9" x14ac:dyDescent="0.3">
      <c r="A1116" s="2" t="str">
        <f xml:space="preserve"> IF( 'From SvanPC++'!A1107= "", "", ('From SvanPC++'!A1107))</f>
        <v/>
      </c>
      <c r="E1116" s="18"/>
      <c r="I1116" s="2"/>
    </row>
    <row r="1117" spans="1:9" x14ac:dyDescent="0.3">
      <c r="A1117" s="2" t="str">
        <f xml:space="preserve"> IF( 'From SvanPC++'!A1108= "", "", ('From SvanPC++'!A1108))</f>
        <v/>
      </c>
      <c r="E1117" s="18"/>
      <c r="I1117" s="2"/>
    </row>
    <row r="1118" spans="1:9" x14ac:dyDescent="0.3">
      <c r="A1118" s="2" t="str">
        <f xml:space="preserve"> IF( 'From SvanPC++'!A1109= "", "", ('From SvanPC++'!A1109))</f>
        <v/>
      </c>
      <c r="E1118" s="18"/>
      <c r="I1118" s="2"/>
    </row>
    <row r="1119" spans="1:9" x14ac:dyDescent="0.3">
      <c r="A1119" s="2" t="str">
        <f xml:space="preserve"> IF( 'From SvanPC++'!A1110= "", "", ('From SvanPC++'!A1110))</f>
        <v/>
      </c>
      <c r="E1119" s="18"/>
      <c r="I1119" s="2"/>
    </row>
    <row r="1120" spans="1:9" x14ac:dyDescent="0.3">
      <c r="A1120" s="2" t="str">
        <f xml:space="preserve"> IF( 'From SvanPC++'!A1111= "", "", ('From SvanPC++'!A1111))</f>
        <v/>
      </c>
      <c r="E1120" s="18"/>
      <c r="I1120" s="2"/>
    </row>
    <row r="1121" spans="1:9" x14ac:dyDescent="0.3">
      <c r="A1121" s="2" t="str">
        <f xml:space="preserve"> IF( 'From SvanPC++'!A1112= "", "", ('From SvanPC++'!A1112))</f>
        <v/>
      </c>
      <c r="E1121" s="18"/>
      <c r="I1121" s="2"/>
    </row>
    <row r="1122" spans="1:9" x14ac:dyDescent="0.3">
      <c r="A1122" s="2" t="str">
        <f xml:space="preserve"> IF( 'From SvanPC++'!A1113= "", "", ('From SvanPC++'!A1113))</f>
        <v/>
      </c>
      <c r="E1122" s="18"/>
      <c r="I1122" s="2"/>
    </row>
    <row r="1123" spans="1:9" x14ac:dyDescent="0.3">
      <c r="A1123" s="2" t="str">
        <f xml:space="preserve"> IF( 'From SvanPC++'!A1114= "", "", ('From SvanPC++'!A1114))</f>
        <v/>
      </c>
      <c r="E1123" s="18"/>
      <c r="I1123" s="2"/>
    </row>
    <row r="1124" spans="1:9" x14ac:dyDescent="0.3">
      <c r="A1124" s="2" t="str">
        <f xml:space="preserve"> IF( 'From SvanPC++'!A1115= "", "", ('From SvanPC++'!A1115))</f>
        <v/>
      </c>
      <c r="E1124" s="18"/>
      <c r="I1124" s="2"/>
    </row>
    <row r="1125" spans="1:9" x14ac:dyDescent="0.3">
      <c r="A1125" s="2" t="str">
        <f xml:space="preserve"> IF( 'From SvanPC++'!A1116= "", "", ('From SvanPC++'!A1116))</f>
        <v/>
      </c>
      <c r="E1125" s="18"/>
      <c r="I1125" s="2"/>
    </row>
    <row r="1126" spans="1:9" x14ac:dyDescent="0.3">
      <c r="A1126" s="2" t="str">
        <f xml:space="preserve"> IF( 'From SvanPC++'!A1117= "", "", ('From SvanPC++'!A1117))</f>
        <v/>
      </c>
      <c r="E1126" s="18"/>
      <c r="I1126" s="2"/>
    </row>
    <row r="1127" spans="1:9" x14ac:dyDescent="0.3">
      <c r="A1127" s="2" t="str">
        <f xml:space="preserve"> IF( 'From SvanPC++'!A1118= "", "", ('From SvanPC++'!A1118))</f>
        <v/>
      </c>
      <c r="E1127" s="18"/>
      <c r="I1127" s="2"/>
    </row>
    <row r="1128" spans="1:9" x14ac:dyDescent="0.3">
      <c r="A1128" s="2" t="str">
        <f xml:space="preserve"> IF( 'From SvanPC++'!A1119= "", "", ('From SvanPC++'!A1119))</f>
        <v/>
      </c>
      <c r="E1128" s="18"/>
      <c r="I1128" s="2"/>
    </row>
    <row r="1129" spans="1:9" x14ac:dyDescent="0.3">
      <c r="A1129" s="2" t="str">
        <f xml:space="preserve"> IF( 'From SvanPC++'!A1120= "", "", ('From SvanPC++'!A1120))</f>
        <v/>
      </c>
      <c r="E1129" s="18"/>
      <c r="I1129" s="2"/>
    </row>
    <row r="1130" spans="1:9" x14ac:dyDescent="0.3">
      <c r="A1130" s="2" t="str">
        <f xml:space="preserve"> IF( 'From SvanPC++'!A1121= "", "", ('From SvanPC++'!A1121))</f>
        <v/>
      </c>
      <c r="E1130" s="18"/>
      <c r="I1130" s="2"/>
    </row>
    <row r="1131" spans="1:9" x14ac:dyDescent="0.3">
      <c r="A1131" s="2" t="str">
        <f xml:space="preserve"> IF( 'From SvanPC++'!A1122= "", "", ('From SvanPC++'!A1122))</f>
        <v/>
      </c>
      <c r="E1131" s="18"/>
      <c r="I1131" s="2"/>
    </row>
    <row r="1132" spans="1:9" x14ac:dyDescent="0.3">
      <c r="A1132" s="2" t="str">
        <f xml:space="preserve"> IF( 'From SvanPC++'!A1123= "", "", ('From SvanPC++'!A1123))</f>
        <v/>
      </c>
      <c r="E1132" s="18"/>
      <c r="I1132" s="2"/>
    </row>
    <row r="1133" spans="1:9" x14ac:dyDescent="0.3">
      <c r="A1133" s="2" t="str">
        <f xml:space="preserve"> IF( 'From SvanPC++'!A1124= "", "", ('From SvanPC++'!A1124))</f>
        <v/>
      </c>
      <c r="E1133" s="18"/>
      <c r="I1133" s="2"/>
    </row>
    <row r="1134" spans="1:9" x14ac:dyDescent="0.3">
      <c r="A1134" s="2" t="str">
        <f xml:space="preserve"> IF( 'From SvanPC++'!A1125= "", "", ('From SvanPC++'!A1125))</f>
        <v/>
      </c>
      <c r="E1134" s="18"/>
      <c r="I1134" s="2"/>
    </row>
    <row r="1135" spans="1:9" x14ac:dyDescent="0.3">
      <c r="A1135" s="2" t="str">
        <f xml:space="preserve"> IF( 'From SvanPC++'!A1126= "", "", ('From SvanPC++'!A1126))</f>
        <v/>
      </c>
      <c r="E1135" s="18"/>
      <c r="I1135" s="2"/>
    </row>
    <row r="1136" spans="1:9" x14ac:dyDescent="0.3">
      <c r="A1136" s="2" t="str">
        <f xml:space="preserve"> IF( 'From SvanPC++'!A1127= "", "", ('From SvanPC++'!A1127))</f>
        <v/>
      </c>
      <c r="E1136" s="18"/>
      <c r="I1136" s="2"/>
    </row>
    <row r="1137" spans="1:9" x14ac:dyDescent="0.3">
      <c r="A1137" s="2" t="str">
        <f xml:space="preserve"> IF( 'From SvanPC++'!A1128= "", "", ('From SvanPC++'!A1128))</f>
        <v/>
      </c>
      <c r="E1137" s="18"/>
      <c r="I1137" s="2"/>
    </row>
    <row r="1138" spans="1:9" x14ac:dyDescent="0.3">
      <c r="A1138" s="2" t="str">
        <f xml:space="preserve"> IF( 'From SvanPC++'!A1129= "", "", ('From SvanPC++'!A1129))</f>
        <v/>
      </c>
      <c r="E1138" s="18"/>
      <c r="I1138" s="2"/>
    </row>
    <row r="1139" spans="1:9" x14ac:dyDescent="0.3">
      <c r="A1139" s="2" t="str">
        <f xml:space="preserve"> IF( 'From SvanPC++'!A1130= "", "", ('From SvanPC++'!A1130))</f>
        <v/>
      </c>
      <c r="E1139" s="18"/>
      <c r="I1139" s="2"/>
    </row>
    <row r="1140" spans="1:9" x14ac:dyDescent="0.3">
      <c r="A1140" s="2" t="str">
        <f xml:space="preserve"> IF( 'From SvanPC++'!A1131= "", "", ('From SvanPC++'!A1131))</f>
        <v/>
      </c>
      <c r="E1140" s="18"/>
      <c r="I1140" s="2"/>
    </row>
    <row r="1141" spans="1:9" x14ac:dyDescent="0.3">
      <c r="A1141" s="2" t="str">
        <f xml:space="preserve"> IF( 'From SvanPC++'!A1132= "", "", ('From SvanPC++'!A1132))</f>
        <v/>
      </c>
      <c r="E1141" s="18"/>
      <c r="I1141" s="2"/>
    </row>
    <row r="1142" spans="1:9" x14ac:dyDescent="0.3">
      <c r="A1142" s="2" t="str">
        <f xml:space="preserve"> IF( 'From SvanPC++'!A1133= "", "", ('From SvanPC++'!A1133))</f>
        <v/>
      </c>
      <c r="E1142" s="18"/>
      <c r="I1142" s="2"/>
    </row>
    <row r="1143" spans="1:9" x14ac:dyDescent="0.3">
      <c r="A1143" s="2" t="str">
        <f xml:space="preserve"> IF( 'From SvanPC++'!A1134= "", "", ('From SvanPC++'!A1134))</f>
        <v/>
      </c>
      <c r="E1143" s="18"/>
      <c r="I1143" s="2"/>
    </row>
    <row r="1144" spans="1:9" x14ac:dyDescent="0.3">
      <c r="A1144" s="2" t="str">
        <f xml:space="preserve"> IF( 'From SvanPC++'!A1135= "", "", ('From SvanPC++'!A1135))</f>
        <v/>
      </c>
      <c r="E1144" s="18"/>
      <c r="I1144" s="2"/>
    </row>
    <row r="1145" spans="1:9" x14ac:dyDescent="0.3">
      <c r="A1145" s="2" t="str">
        <f xml:space="preserve"> IF( 'From SvanPC++'!A1136= "", "", ('From SvanPC++'!A1136))</f>
        <v/>
      </c>
      <c r="E1145" s="18"/>
      <c r="I1145" s="2"/>
    </row>
    <row r="1146" spans="1:9" x14ac:dyDescent="0.3">
      <c r="A1146" s="2" t="str">
        <f xml:space="preserve"> IF( 'From SvanPC++'!A1137= "", "", ('From SvanPC++'!A1137))</f>
        <v/>
      </c>
      <c r="E1146" s="18"/>
      <c r="I1146" s="2"/>
    </row>
    <row r="1147" spans="1:9" x14ac:dyDescent="0.3">
      <c r="A1147" s="2" t="str">
        <f xml:space="preserve"> IF( 'From SvanPC++'!A1138= "", "", ('From SvanPC++'!A1138))</f>
        <v/>
      </c>
      <c r="E1147" s="18"/>
      <c r="I1147" s="2"/>
    </row>
    <row r="1148" spans="1:9" x14ac:dyDescent="0.3">
      <c r="A1148" s="2" t="str">
        <f xml:space="preserve"> IF( 'From SvanPC++'!A1139= "", "", ('From SvanPC++'!A1139))</f>
        <v/>
      </c>
      <c r="E1148" s="18"/>
      <c r="I1148" s="2"/>
    </row>
    <row r="1149" spans="1:9" x14ac:dyDescent="0.3">
      <c r="A1149" s="2" t="str">
        <f xml:space="preserve"> IF( 'From SvanPC++'!A1140= "", "", ('From SvanPC++'!A1140))</f>
        <v/>
      </c>
      <c r="E1149" s="18"/>
      <c r="I1149" s="2"/>
    </row>
    <row r="1150" spans="1:9" x14ac:dyDescent="0.3">
      <c r="A1150" s="2" t="str">
        <f xml:space="preserve"> IF( 'From SvanPC++'!A1141= "", "", ('From SvanPC++'!A1141))</f>
        <v/>
      </c>
      <c r="E1150" s="18"/>
      <c r="I1150" s="2"/>
    </row>
    <row r="1151" spans="1:9" x14ac:dyDescent="0.3">
      <c r="A1151" s="2" t="str">
        <f xml:space="preserve"> IF( 'From SvanPC++'!A1142= "", "", ('From SvanPC++'!A1142))</f>
        <v/>
      </c>
      <c r="E1151" s="18"/>
      <c r="I1151" s="2"/>
    </row>
    <row r="1152" spans="1:9" x14ac:dyDescent="0.3">
      <c r="A1152" s="2" t="str">
        <f xml:space="preserve"> IF( 'From SvanPC++'!A1143= "", "", ('From SvanPC++'!A1143))</f>
        <v/>
      </c>
      <c r="E1152" s="18"/>
      <c r="I1152" s="2"/>
    </row>
    <row r="1153" spans="1:9" x14ac:dyDescent="0.3">
      <c r="A1153" s="2" t="str">
        <f xml:space="preserve"> IF( 'From SvanPC++'!A1144= "", "", ('From SvanPC++'!A1144))</f>
        <v/>
      </c>
      <c r="E1153" s="18"/>
      <c r="I1153" s="2"/>
    </row>
    <row r="1154" spans="1:9" x14ac:dyDescent="0.3">
      <c r="A1154" s="2" t="str">
        <f xml:space="preserve"> IF( 'From SvanPC++'!A1145= "", "", ('From SvanPC++'!A1145))</f>
        <v/>
      </c>
      <c r="E1154" s="18"/>
      <c r="I1154" s="2"/>
    </row>
    <row r="1155" spans="1:9" x14ac:dyDescent="0.3">
      <c r="A1155" s="2" t="str">
        <f xml:space="preserve"> IF( 'From SvanPC++'!A1146= "", "", ('From SvanPC++'!A1146))</f>
        <v/>
      </c>
      <c r="E1155" s="18"/>
      <c r="I1155" s="2"/>
    </row>
    <row r="1156" spans="1:9" x14ac:dyDescent="0.3">
      <c r="A1156" s="2" t="str">
        <f xml:space="preserve"> IF( 'From SvanPC++'!A1147= "", "", ('From SvanPC++'!A1147))</f>
        <v/>
      </c>
      <c r="E1156" s="18"/>
      <c r="I1156" s="2"/>
    </row>
    <row r="1157" spans="1:9" x14ac:dyDescent="0.3">
      <c r="A1157" s="2" t="str">
        <f xml:space="preserve"> IF( 'From SvanPC++'!A1148= "", "", ('From SvanPC++'!A1148))</f>
        <v/>
      </c>
      <c r="E1157" s="18"/>
      <c r="I1157" s="2"/>
    </row>
    <row r="1158" spans="1:9" x14ac:dyDescent="0.3">
      <c r="A1158" s="2" t="str">
        <f xml:space="preserve"> IF( 'From SvanPC++'!A1149= "", "", ('From SvanPC++'!A1149))</f>
        <v/>
      </c>
      <c r="E1158" s="18"/>
      <c r="I1158" s="2"/>
    </row>
    <row r="1159" spans="1:9" x14ac:dyDescent="0.3">
      <c r="A1159" s="2" t="str">
        <f xml:space="preserve"> IF( 'From SvanPC++'!A1150= "", "", ('From SvanPC++'!A1150))</f>
        <v/>
      </c>
      <c r="E1159" s="18"/>
      <c r="I1159" s="2"/>
    </row>
    <row r="1160" spans="1:9" x14ac:dyDescent="0.3">
      <c r="A1160" s="2" t="str">
        <f xml:space="preserve"> IF( 'From SvanPC++'!A1151= "", "", ('From SvanPC++'!A1151))</f>
        <v/>
      </c>
      <c r="E1160" s="18"/>
      <c r="I1160" s="2"/>
    </row>
    <row r="1161" spans="1:9" x14ac:dyDescent="0.3">
      <c r="A1161" s="2" t="str">
        <f xml:space="preserve"> IF( 'From SvanPC++'!A1152= "", "", ('From SvanPC++'!A1152))</f>
        <v/>
      </c>
      <c r="E1161" s="18"/>
      <c r="I1161" s="2"/>
    </row>
    <row r="1162" spans="1:9" x14ac:dyDescent="0.3">
      <c r="A1162" s="2" t="str">
        <f xml:space="preserve"> IF( 'From SvanPC++'!A1153= "", "", ('From SvanPC++'!A1153))</f>
        <v/>
      </c>
      <c r="E1162" s="18"/>
      <c r="I1162" s="2"/>
    </row>
    <row r="1163" spans="1:9" x14ac:dyDescent="0.3">
      <c r="A1163" s="2" t="str">
        <f xml:space="preserve"> IF( 'From SvanPC++'!A1154= "", "", ('From SvanPC++'!A1154))</f>
        <v/>
      </c>
      <c r="E1163" s="18"/>
      <c r="I1163" s="2"/>
    </row>
    <row r="1164" spans="1:9" x14ac:dyDescent="0.3">
      <c r="A1164" s="2" t="str">
        <f xml:space="preserve"> IF( 'From SvanPC++'!A1155= "", "", ('From SvanPC++'!A1155))</f>
        <v/>
      </c>
      <c r="E1164" s="18"/>
      <c r="I1164" s="2"/>
    </row>
    <row r="1165" spans="1:9" x14ac:dyDescent="0.3">
      <c r="A1165" s="2" t="str">
        <f xml:space="preserve"> IF( 'From SvanPC++'!A1156= "", "", ('From SvanPC++'!A1156))</f>
        <v/>
      </c>
      <c r="E1165" s="18"/>
      <c r="I1165" s="2"/>
    </row>
    <row r="1166" spans="1:9" x14ac:dyDescent="0.3">
      <c r="A1166" s="2" t="str">
        <f xml:space="preserve"> IF( 'From SvanPC++'!A1157= "", "", ('From SvanPC++'!A1157))</f>
        <v/>
      </c>
      <c r="E1166" s="18"/>
      <c r="I1166" s="2"/>
    </row>
    <row r="1167" spans="1:9" x14ac:dyDescent="0.3">
      <c r="A1167" s="2" t="str">
        <f xml:space="preserve"> IF( 'From SvanPC++'!A1158= "", "", ('From SvanPC++'!A1158))</f>
        <v/>
      </c>
      <c r="E1167" s="18"/>
      <c r="I1167" s="2"/>
    </row>
    <row r="1168" spans="1:9" x14ac:dyDescent="0.3">
      <c r="A1168" s="2" t="str">
        <f xml:space="preserve"> IF( 'From SvanPC++'!A1159= "", "", ('From SvanPC++'!A1159))</f>
        <v/>
      </c>
      <c r="E1168" s="18"/>
      <c r="I1168" s="2"/>
    </row>
    <row r="1169" spans="1:9" x14ac:dyDescent="0.3">
      <c r="A1169" s="2" t="str">
        <f xml:space="preserve"> IF( 'From SvanPC++'!A1160= "", "", ('From SvanPC++'!A1160))</f>
        <v/>
      </c>
      <c r="E1169" s="18"/>
      <c r="I1169" s="2"/>
    </row>
    <row r="1170" spans="1:9" x14ac:dyDescent="0.3">
      <c r="A1170" s="2" t="str">
        <f xml:space="preserve"> IF( 'From SvanPC++'!A1161= "", "", ('From SvanPC++'!A1161))</f>
        <v/>
      </c>
      <c r="E1170" s="18"/>
      <c r="I1170" s="2"/>
    </row>
    <row r="1171" spans="1:9" x14ac:dyDescent="0.3">
      <c r="A1171" s="2" t="str">
        <f xml:space="preserve"> IF( 'From SvanPC++'!A1162= "", "", ('From SvanPC++'!A1162))</f>
        <v/>
      </c>
      <c r="E1171" s="18"/>
      <c r="I1171" s="2"/>
    </row>
    <row r="1172" spans="1:9" x14ac:dyDescent="0.3">
      <c r="A1172" s="2" t="str">
        <f xml:space="preserve"> IF( 'From SvanPC++'!A1163= "", "", ('From SvanPC++'!A1163))</f>
        <v/>
      </c>
      <c r="E1172" s="18"/>
      <c r="I1172" s="2"/>
    </row>
    <row r="1173" spans="1:9" x14ac:dyDescent="0.3">
      <c r="A1173" s="2" t="str">
        <f xml:space="preserve"> IF( 'From SvanPC++'!A1164= "", "", ('From SvanPC++'!A1164))</f>
        <v/>
      </c>
      <c r="E1173" s="18"/>
      <c r="I1173" s="2"/>
    </row>
    <row r="1174" spans="1:9" x14ac:dyDescent="0.3">
      <c r="A1174" s="2" t="str">
        <f xml:space="preserve"> IF( 'From SvanPC++'!A1165= "", "", ('From SvanPC++'!A1165))</f>
        <v/>
      </c>
      <c r="E1174" s="18"/>
      <c r="I1174" s="2"/>
    </row>
    <row r="1175" spans="1:9" x14ac:dyDescent="0.3">
      <c r="A1175" s="2" t="str">
        <f xml:space="preserve"> IF( 'From SvanPC++'!A1166= "", "", ('From SvanPC++'!A1166))</f>
        <v/>
      </c>
      <c r="E1175" s="18"/>
      <c r="I1175" s="2"/>
    </row>
    <row r="1176" spans="1:9" x14ac:dyDescent="0.3">
      <c r="A1176" s="2" t="str">
        <f xml:space="preserve"> IF( 'From SvanPC++'!A1167= "", "", ('From SvanPC++'!A1167))</f>
        <v/>
      </c>
      <c r="E1176" s="18"/>
      <c r="I1176" s="2"/>
    </row>
    <row r="1177" spans="1:9" x14ac:dyDescent="0.3">
      <c r="A1177" s="2" t="str">
        <f xml:space="preserve"> IF( 'From SvanPC++'!A1168= "", "", ('From SvanPC++'!A1168))</f>
        <v/>
      </c>
      <c r="E1177" s="18"/>
      <c r="I1177" s="2"/>
    </row>
    <row r="1178" spans="1:9" x14ac:dyDescent="0.3">
      <c r="A1178" s="2" t="str">
        <f xml:space="preserve"> IF( 'From SvanPC++'!A1169= "", "", ('From SvanPC++'!A1169))</f>
        <v/>
      </c>
      <c r="E1178" s="18"/>
      <c r="I1178" s="2"/>
    </row>
    <row r="1179" spans="1:9" x14ac:dyDescent="0.3">
      <c r="A1179" s="2" t="str">
        <f xml:space="preserve"> IF( 'From SvanPC++'!A1170= "", "", ('From SvanPC++'!A1170))</f>
        <v/>
      </c>
      <c r="E1179" s="18"/>
      <c r="I1179" s="2"/>
    </row>
    <row r="1180" spans="1:9" x14ac:dyDescent="0.3">
      <c r="A1180" s="2" t="str">
        <f xml:space="preserve"> IF( 'From SvanPC++'!A1171= "", "", ('From SvanPC++'!A1171))</f>
        <v/>
      </c>
      <c r="E1180" s="18"/>
      <c r="I1180" s="2"/>
    </row>
    <row r="1181" spans="1:9" x14ac:dyDescent="0.3">
      <c r="A1181" s="2" t="str">
        <f xml:space="preserve"> IF( 'From SvanPC++'!A1172= "", "", ('From SvanPC++'!A1172))</f>
        <v/>
      </c>
      <c r="E1181" s="18"/>
      <c r="I1181" s="2"/>
    </row>
    <row r="1182" spans="1:9" x14ac:dyDescent="0.3">
      <c r="A1182" s="2" t="str">
        <f xml:space="preserve"> IF( 'From SvanPC++'!A1173= "", "", ('From SvanPC++'!A1173))</f>
        <v/>
      </c>
      <c r="E1182" s="18"/>
      <c r="I1182" s="2"/>
    </row>
    <row r="1183" spans="1:9" x14ac:dyDescent="0.3">
      <c r="A1183" s="2" t="str">
        <f xml:space="preserve"> IF( 'From SvanPC++'!A1174= "", "", ('From SvanPC++'!A1174))</f>
        <v/>
      </c>
      <c r="E1183" s="18"/>
      <c r="I1183" s="2"/>
    </row>
    <row r="1184" spans="1:9" x14ac:dyDescent="0.3">
      <c r="A1184" s="2" t="str">
        <f xml:space="preserve"> IF( 'From SvanPC++'!A1175= "", "", ('From SvanPC++'!A1175))</f>
        <v/>
      </c>
      <c r="E1184" s="18"/>
      <c r="I1184" s="2"/>
    </row>
    <row r="1185" spans="1:9" x14ac:dyDescent="0.3">
      <c r="A1185" s="2" t="str">
        <f xml:space="preserve"> IF( 'From SvanPC++'!A1176= "", "", ('From SvanPC++'!A1176))</f>
        <v/>
      </c>
      <c r="E1185" s="18"/>
      <c r="I1185" s="2"/>
    </row>
    <row r="1186" spans="1:9" x14ac:dyDescent="0.3">
      <c r="A1186" s="2" t="str">
        <f xml:space="preserve"> IF( 'From SvanPC++'!A1177= "", "", ('From SvanPC++'!A1177))</f>
        <v/>
      </c>
      <c r="E1186" s="18"/>
      <c r="I1186" s="2"/>
    </row>
    <row r="1187" spans="1:9" x14ac:dyDescent="0.3">
      <c r="A1187" s="2" t="str">
        <f xml:space="preserve"> IF( 'From SvanPC++'!A1178= "", "", ('From SvanPC++'!A1178))</f>
        <v/>
      </c>
      <c r="E1187" s="18"/>
      <c r="I1187" s="2"/>
    </row>
    <row r="1188" spans="1:9" x14ac:dyDescent="0.3">
      <c r="A1188" s="2" t="str">
        <f xml:space="preserve"> IF( 'From SvanPC++'!A1179= "", "", ('From SvanPC++'!A1179))</f>
        <v/>
      </c>
      <c r="E1188" s="18"/>
      <c r="I1188" s="2"/>
    </row>
    <row r="1189" spans="1:9" x14ac:dyDescent="0.3">
      <c r="A1189" s="2" t="str">
        <f xml:space="preserve"> IF( 'From SvanPC++'!A1180= "", "", ('From SvanPC++'!A1180))</f>
        <v/>
      </c>
      <c r="E1189" s="18"/>
      <c r="I1189" s="2"/>
    </row>
    <row r="1190" spans="1:9" x14ac:dyDescent="0.3">
      <c r="A1190" s="2" t="str">
        <f xml:space="preserve"> IF( 'From SvanPC++'!A1181= "", "", ('From SvanPC++'!A1181))</f>
        <v/>
      </c>
      <c r="E1190" s="18"/>
      <c r="I1190" s="2"/>
    </row>
    <row r="1191" spans="1:9" x14ac:dyDescent="0.3">
      <c r="A1191" s="2" t="str">
        <f xml:space="preserve"> IF( 'From SvanPC++'!A1182= "", "", ('From SvanPC++'!A1182))</f>
        <v/>
      </c>
      <c r="E1191" s="18"/>
      <c r="I1191" s="2"/>
    </row>
    <row r="1192" spans="1:9" x14ac:dyDescent="0.3">
      <c r="A1192" s="2" t="str">
        <f xml:space="preserve"> IF( 'From SvanPC++'!A1183= "", "", ('From SvanPC++'!A1183))</f>
        <v/>
      </c>
      <c r="E1192" s="18"/>
      <c r="I1192" s="2"/>
    </row>
    <row r="1193" spans="1:9" x14ac:dyDescent="0.3">
      <c r="A1193" s="2" t="str">
        <f xml:space="preserve"> IF( 'From SvanPC++'!A1184= "", "", ('From SvanPC++'!A1184))</f>
        <v/>
      </c>
      <c r="E1193" s="18"/>
      <c r="I1193" s="2"/>
    </row>
    <row r="1194" spans="1:9" x14ac:dyDescent="0.3">
      <c r="A1194" s="2" t="str">
        <f xml:space="preserve"> IF( 'From SvanPC++'!A1185= "", "", ('From SvanPC++'!A1185))</f>
        <v/>
      </c>
      <c r="E1194" s="18"/>
      <c r="I1194" s="2"/>
    </row>
    <row r="1195" spans="1:9" x14ac:dyDescent="0.3">
      <c r="A1195" s="2" t="str">
        <f xml:space="preserve"> IF( 'From SvanPC++'!A1186= "", "", ('From SvanPC++'!A1186))</f>
        <v/>
      </c>
      <c r="E1195" s="18"/>
      <c r="I1195" s="2"/>
    </row>
    <row r="1196" spans="1:9" x14ac:dyDescent="0.3">
      <c r="A1196" s="2" t="str">
        <f xml:space="preserve"> IF( 'From SvanPC++'!A1187= "", "", ('From SvanPC++'!A1187))</f>
        <v/>
      </c>
      <c r="E1196" s="18"/>
      <c r="I1196" s="2"/>
    </row>
    <row r="1197" spans="1:9" x14ac:dyDescent="0.3">
      <c r="A1197" s="2" t="str">
        <f xml:space="preserve"> IF( 'From SvanPC++'!A1188= "", "", ('From SvanPC++'!A1188))</f>
        <v/>
      </c>
      <c r="E1197" s="18"/>
      <c r="I1197" s="2"/>
    </row>
    <row r="1198" spans="1:9" x14ac:dyDescent="0.3">
      <c r="A1198" s="2" t="str">
        <f xml:space="preserve"> IF( 'From SvanPC++'!A1189= "", "", ('From SvanPC++'!A1189))</f>
        <v/>
      </c>
      <c r="E1198" s="18"/>
      <c r="I1198" s="2"/>
    </row>
    <row r="1199" spans="1:9" x14ac:dyDescent="0.3">
      <c r="A1199" s="2" t="str">
        <f xml:space="preserve"> IF( 'From SvanPC++'!A1190= "", "", ('From SvanPC++'!A1190))</f>
        <v/>
      </c>
      <c r="E1199" s="18"/>
      <c r="I1199" s="2"/>
    </row>
    <row r="1200" spans="1:9" x14ac:dyDescent="0.3">
      <c r="A1200" s="2" t="str">
        <f xml:space="preserve"> IF( 'From SvanPC++'!A1191= "", "", ('From SvanPC++'!A1191))</f>
        <v/>
      </c>
      <c r="E1200" s="18"/>
      <c r="I1200" s="2"/>
    </row>
    <row r="1201" spans="1:9" x14ac:dyDescent="0.3">
      <c r="A1201" s="2" t="str">
        <f xml:space="preserve"> IF( 'From SvanPC++'!A1192= "", "", ('From SvanPC++'!A1192))</f>
        <v/>
      </c>
      <c r="E1201" s="18"/>
      <c r="I1201" s="2"/>
    </row>
    <row r="1202" spans="1:9" x14ac:dyDescent="0.3">
      <c r="A1202" s="2" t="str">
        <f xml:space="preserve"> IF( 'From SvanPC++'!A1193= "", "", ('From SvanPC++'!A1193))</f>
        <v/>
      </c>
      <c r="E1202" s="18"/>
      <c r="I1202" s="2"/>
    </row>
    <row r="1203" spans="1:9" x14ac:dyDescent="0.3">
      <c r="A1203" s="2" t="str">
        <f xml:space="preserve"> IF( 'From SvanPC++'!A1194= "", "", ('From SvanPC++'!A1194))</f>
        <v/>
      </c>
      <c r="E1203" s="18"/>
      <c r="I1203" s="2"/>
    </row>
    <row r="1204" spans="1:9" x14ac:dyDescent="0.3">
      <c r="A1204" s="2" t="str">
        <f xml:space="preserve"> IF( 'From SvanPC++'!A1195= "", "", ('From SvanPC++'!A1195))</f>
        <v/>
      </c>
      <c r="E1204" s="18"/>
      <c r="I1204" s="2"/>
    </row>
    <row r="1205" spans="1:9" x14ac:dyDescent="0.3">
      <c r="A1205" s="2" t="str">
        <f xml:space="preserve"> IF( 'From SvanPC++'!A1196= "", "", ('From SvanPC++'!A1196))</f>
        <v/>
      </c>
      <c r="E1205" s="18"/>
      <c r="I1205" s="2"/>
    </row>
    <row r="1206" spans="1:9" x14ac:dyDescent="0.3">
      <c r="A1206" s="2" t="str">
        <f xml:space="preserve"> IF( 'From SvanPC++'!A1197= "", "", ('From SvanPC++'!A1197))</f>
        <v/>
      </c>
      <c r="E1206" s="18"/>
      <c r="I1206" s="2"/>
    </row>
    <row r="1207" spans="1:9" x14ac:dyDescent="0.3">
      <c r="A1207" s="2" t="str">
        <f xml:space="preserve"> IF( 'From SvanPC++'!A1198= "", "", ('From SvanPC++'!A1198))</f>
        <v/>
      </c>
      <c r="E1207" s="18"/>
      <c r="I1207" s="2"/>
    </row>
    <row r="1208" spans="1:9" x14ac:dyDescent="0.3">
      <c r="A1208" s="2" t="str">
        <f xml:space="preserve"> IF( 'From SvanPC++'!A1199= "", "", ('From SvanPC++'!A1199))</f>
        <v/>
      </c>
      <c r="E1208" s="18"/>
      <c r="I1208" s="2"/>
    </row>
    <row r="1209" spans="1:9" x14ac:dyDescent="0.3">
      <c r="A1209" s="2" t="str">
        <f xml:space="preserve"> IF( 'From SvanPC++'!A1200= "", "", ('From SvanPC++'!A1200))</f>
        <v/>
      </c>
      <c r="E1209" s="18"/>
      <c r="I1209" s="2"/>
    </row>
    <row r="1210" spans="1:9" x14ac:dyDescent="0.3">
      <c r="A1210" s="2" t="str">
        <f xml:space="preserve"> IF( 'From SvanPC++'!A1201= "", "", ('From SvanPC++'!A1201))</f>
        <v/>
      </c>
      <c r="E1210" s="18"/>
      <c r="I1210" s="2"/>
    </row>
    <row r="1211" spans="1:9" x14ac:dyDescent="0.3">
      <c r="A1211" s="2" t="str">
        <f xml:space="preserve"> IF( 'From SvanPC++'!A1202= "", "", ('From SvanPC++'!A1202))</f>
        <v/>
      </c>
      <c r="E1211" s="18"/>
      <c r="I1211" s="2"/>
    </row>
    <row r="1212" spans="1:9" x14ac:dyDescent="0.3">
      <c r="A1212" s="2" t="str">
        <f xml:space="preserve"> IF( 'From SvanPC++'!A1203= "", "", ('From SvanPC++'!A1203))</f>
        <v/>
      </c>
      <c r="E1212" s="18"/>
      <c r="I1212" s="2"/>
    </row>
    <row r="1213" spans="1:9" x14ac:dyDescent="0.3">
      <c r="A1213" s="2" t="str">
        <f xml:space="preserve"> IF( 'From SvanPC++'!A1204= "", "", ('From SvanPC++'!A1204))</f>
        <v/>
      </c>
      <c r="E1213" s="18"/>
      <c r="I1213" s="2"/>
    </row>
    <row r="1214" spans="1:9" x14ac:dyDescent="0.3">
      <c r="A1214" s="2" t="str">
        <f xml:space="preserve"> IF( 'From SvanPC++'!A1205= "", "", ('From SvanPC++'!A1205))</f>
        <v/>
      </c>
      <c r="E1214" s="18"/>
      <c r="I1214" s="2"/>
    </row>
    <row r="1215" spans="1:9" x14ac:dyDescent="0.3">
      <c r="A1215" s="2" t="str">
        <f xml:space="preserve"> IF( 'From SvanPC++'!A1206= "", "", ('From SvanPC++'!A1206))</f>
        <v/>
      </c>
      <c r="E1215" s="18"/>
      <c r="I1215" s="2"/>
    </row>
    <row r="1216" spans="1:9" x14ac:dyDescent="0.3">
      <c r="A1216" s="2" t="str">
        <f xml:space="preserve"> IF( 'From SvanPC++'!A1207= "", "", ('From SvanPC++'!A1207))</f>
        <v/>
      </c>
      <c r="E1216" s="18"/>
      <c r="I1216" s="2"/>
    </row>
    <row r="1217" spans="1:9" x14ac:dyDescent="0.3">
      <c r="A1217" s="2" t="str">
        <f xml:space="preserve"> IF( 'From SvanPC++'!A1208= "", "", ('From SvanPC++'!A1208))</f>
        <v/>
      </c>
      <c r="E1217" s="18"/>
      <c r="I1217" s="2"/>
    </row>
    <row r="1218" spans="1:9" x14ac:dyDescent="0.3">
      <c r="A1218" s="2" t="str">
        <f xml:space="preserve"> IF( 'From SvanPC++'!A1209= "", "", ('From SvanPC++'!A1209))</f>
        <v/>
      </c>
      <c r="E1218" s="18"/>
      <c r="I1218" s="2"/>
    </row>
    <row r="1219" spans="1:9" x14ac:dyDescent="0.3">
      <c r="A1219" s="2" t="str">
        <f xml:space="preserve"> IF( 'From SvanPC++'!A1210= "", "", ('From SvanPC++'!A1210))</f>
        <v/>
      </c>
      <c r="E1219" s="18"/>
      <c r="I1219" s="2"/>
    </row>
    <row r="1220" spans="1:9" x14ac:dyDescent="0.3">
      <c r="A1220" s="2" t="str">
        <f xml:space="preserve"> IF( 'From SvanPC++'!A1211= "", "", ('From SvanPC++'!A1211))</f>
        <v/>
      </c>
      <c r="E1220" s="18"/>
      <c r="I1220" s="2"/>
    </row>
    <row r="1221" spans="1:9" x14ac:dyDescent="0.3">
      <c r="A1221" s="2" t="str">
        <f xml:space="preserve"> IF( 'From SvanPC++'!A1212= "", "", ('From SvanPC++'!A1212))</f>
        <v/>
      </c>
      <c r="E1221" s="18"/>
      <c r="I1221" s="2"/>
    </row>
    <row r="1222" spans="1:9" x14ac:dyDescent="0.3">
      <c r="A1222" s="2" t="str">
        <f xml:space="preserve"> IF( 'From SvanPC++'!A1213= "", "", ('From SvanPC++'!A1213))</f>
        <v/>
      </c>
      <c r="E1222" s="18"/>
      <c r="I1222" s="2"/>
    </row>
    <row r="1223" spans="1:9" x14ac:dyDescent="0.3">
      <c r="A1223" s="2" t="str">
        <f xml:space="preserve"> IF( 'From SvanPC++'!A1214= "", "", ('From SvanPC++'!A1214))</f>
        <v/>
      </c>
      <c r="E1223" s="18"/>
      <c r="I1223" s="2"/>
    </row>
    <row r="1224" spans="1:9" x14ac:dyDescent="0.3">
      <c r="A1224" s="2" t="str">
        <f xml:space="preserve"> IF( 'From SvanPC++'!A1215= "", "", ('From SvanPC++'!A1215))</f>
        <v/>
      </c>
      <c r="E1224" s="18"/>
      <c r="I1224" s="2"/>
    </row>
    <row r="1225" spans="1:9" x14ac:dyDescent="0.3">
      <c r="A1225" s="2" t="str">
        <f xml:space="preserve"> IF( 'From SvanPC++'!A1216= "", "", ('From SvanPC++'!A1216))</f>
        <v/>
      </c>
      <c r="E1225" s="18"/>
      <c r="I1225" s="2"/>
    </row>
    <row r="1226" spans="1:9" x14ac:dyDescent="0.3">
      <c r="A1226" s="2" t="str">
        <f xml:space="preserve"> IF( 'From SvanPC++'!A1217= "", "", ('From SvanPC++'!A1217))</f>
        <v/>
      </c>
      <c r="E1226" s="18"/>
      <c r="I1226" s="2"/>
    </row>
    <row r="1227" spans="1:9" x14ac:dyDescent="0.3">
      <c r="A1227" s="2" t="str">
        <f xml:space="preserve"> IF( 'From SvanPC++'!A1218= "", "", ('From SvanPC++'!A1218))</f>
        <v/>
      </c>
      <c r="E1227" s="18"/>
      <c r="I1227" s="2"/>
    </row>
    <row r="1228" spans="1:9" x14ac:dyDescent="0.3">
      <c r="A1228" s="2" t="str">
        <f xml:space="preserve"> IF( 'From SvanPC++'!A1219= "", "", ('From SvanPC++'!A1219))</f>
        <v/>
      </c>
      <c r="E1228" s="18"/>
      <c r="I1228" s="2"/>
    </row>
    <row r="1229" spans="1:9" x14ac:dyDescent="0.3">
      <c r="A1229" s="2" t="str">
        <f xml:space="preserve"> IF( 'From SvanPC++'!A1220= "", "", ('From SvanPC++'!A1220))</f>
        <v/>
      </c>
      <c r="E1229" s="18"/>
      <c r="I1229" s="2"/>
    </row>
    <row r="1230" spans="1:9" x14ac:dyDescent="0.3">
      <c r="A1230" s="2" t="str">
        <f xml:space="preserve"> IF( 'From SvanPC++'!A1221= "", "", ('From SvanPC++'!A1221))</f>
        <v/>
      </c>
      <c r="E1230" s="18"/>
      <c r="I1230" s="2"/>
    </row>
    <row r="1231" spans="1:9" x14ac:dyDescent="0.3">
      <c r="A1231" s="2" t="str">
        <f xml:space="preserve"> IF( 'From SvanPC++'!A1222= "", "", ('From SvanPC++'!A1222))</f>
        <v/>
      </c>
      <c r="E1231" s="18"/>
      <c r="I1231" s="2"/>
    </row>
    <row r="1232" spans="1:9" x14ac:dyDescent="0.3">
      <c r="A1232" s="2" t="str">
        <f xml:space="preserve"> IF( 'From SvanPC++'!A1223= "", "", ('From SvanPC++'!A1223))</f>
        <v/>
      </c>
      <c r="E1232" s="18"/>
      <c r="I1232" s="2"/>
    </row>
    <row r="1233" spans="1:9" x14ac:dyDescent="0.3">
      <c r="A1233" s="2" t="str">
        <f xml:space="preserve"> IF( 'From SvanPC++'!A1224= "", "", ('From SvanPC++'!A1224))</f>
        <v/>
      </c>
      <c r="E1233" s="18"/>
      <c r="I1233" s="2"/>
    </row>
    <row r="1234" spans="1:9" x14ac:dyDescent="0.3">
      <c r="A1234" s="2" t="str">
        <f xml:space="preserve"> IF( 'From SvanPC++'!A1225= "", "", ('From SvanPC++'!A1225))</f>
        <v/>
      </c>
      <c r="E1234" s="18"/>
      <c r="I1234" s="2"/>
    </row>
    <row r="1235" spans="1:9" x14ac:dyDescent="0.3">
      <c r="A1235" s="2" t="str">
        <f xml:space="preserve"> IF( 'From SvanPC++'!A1226= "", "", ('From SvanPC++'!A1226))</f>
        <v/>
      </c>
      <c r="E1235" s="18"/>
      <c r="I1235" s="2"/>
    </row>
    <row r="1236" spans="1:9" x14ac:dyDescent="0.3">
      <c r="A1236" s="2" t="str">
        <f xml:space="preserve"> IF( 'From SvanPC++'!A1227= "", "", ('From SvanPC++'!A1227))</f>
        <v/>
      </c>
      <c r="E1236" s="18"/>
      <c r="I1236" s="2"/>
    </row>
    <row r="1237" spans="1:9" x14ac:dyDescent="0.3">
      <c r="A1237" s="2" t="str">
        <f xml:space="preserve"> IF( 'From SvanPC++'!A1228= "", "", ('From SvanPC++'!A1228))</f>
        <v/>
      </c>
      <c r="E1237" s="18"/>
      <c r="I1237" s="2"/>
    </row>
    <row r="1238" spans="1:9" x14ac:dyDescent="0.3">
      <c r="A1238" s="2" t="str">
        <f xml:space="preserve"> IF( 'From SvanPC++'!A1229= "", "", ('From SvanPC++'!A1229))</f>
        <v/>
      </c>
      <c r="E1238" s="18"/>
      <c r="I1238" s="2"/>
    </row>
    <row r="1239" spans="1:9" x14ac:dyDescent="0.3">
      <c r="A1239" s="2" t="str">
        <f xml:space="preserve"> IF( 'From SvanPC++'!A1230= "", "", ('From SvanPC++'!A1230))</f>
        <v/>
      </c>
      <c r="E1239" s="18"/>
      <c r="I1239" s="2"/>
    </row>
    <row r="1240" spans="1:9" x14ac:dyDescent="0.3">
      <c r="A1240" s="2" t="str">
        <f xml:space="preserve"> IF( 'From SvanPC++'!A1231= "", "", ('From SvanPC++'!A1231))</f>
        <v/>
      </c>
      <c r="E1240" s="18"/>
      <c r="I1240" s="2"/>
    </row>
    <row r="1241" spans="1:9" x14ac:dyDescent="0.3">
      <c r="A1241" s="2" t="str">
        <f xml:space="preserve"> IF( 'From SvanPC++'!A1232= "", "", ('From SvanPC++'!A1232))</f>
        <v/>
      </c>
      <c r="E1241" s="18"/>
      <c r="I1241" s="2"/>
    </row>
    <row r="1242" spans="1:9" x14ac:dyDescent="0.3">
      <c r="A1242" s="2" t="str">
        <f xml:space="preserve"> IF( 'From SvanPC++'!A1233= "", "", ('From SvanPC++'!A1233))</f>
        <v/>
      </c>
      <c r="E1242" s="18"/>
      <c r="I1242" s="2"/>
    </row>
    <row r="1243" spans="1:9" x14ac:dyDescent="0.3">
      <c r="A1243" s="2" t="str">
        <f xml:space="preserve"> IF( 'From SvanPC++'!A1234= "", "", ('From SvanPC++'!A1234))</f>
        <v/>
      </c>
      <c r="E1243" s="18"/>
      <c r="I1243" s="2"/>
    </row>
    <row r="1244" spans="1:9" x14ac:dyDescent="0.3">
      <c r="A1244" s="2" t="str">
        <f xml:space="preserve"> IF( 'From SvanPC++'!A1235= "", "", ('From SvanPC++'!A1235))</f>
        <v/>
      </c>
      <c r="E1244" s="18"/>
      <c r="I1244" s="2"/>
    </row>
    <row r="1245" spans="1:9" x14ac:dyDescent="0.3">
      <c r="A1245" s="2" t="str">
        <f xml:space="preserve"> IF( 'From SvanPC++'!A1236= "", "", ('From SvanPC++'!A1236))</f>
        <v/>
      </c>
      <c r="E1245" s="18"/>
      <c r="I1245" s="2"/>
    </row>
    <row r="1246" spans="1:9" x14ac:dyDescent="0.3">
      <c r="A1246" s="2" t="str">
        <f xml:space="preserve"> IF( 'From SvanPC++'!A1237= "", "", ('From SvanPC++'!A1237))</f>
        <v/>
      </c>
      <c r="E1246" s="18"/>
      <c r="I1246" s="2"/>
    </row>
    <row r="1247" spans="1:9" x14ac:dyDescent="0.3">
      <c r="A1247" s="2" t="str">
        <f xml:space="preserve"> IF( 'From SvanPC++'!A1238= "", "", ('From SvanPC++'!A1238))</f>
        <v/>
      </c>
      <c r="E1247" s="18"/>
      <c r="I1247" s="2"/>
    </row>
    <row r="1248" spans="1:9" x14ac:dyDescent="0.3">
      <c r="A1248" s="2" t="str">
        <f xml:space="preserve"> IF( 'From SvanPC++'!A1239= "", "", ('From SvanPC++'!A1239))</f>
        <v/>
      </c>
      <c r="E1248" s="18"/>
      <c r="I1248" s="2"/>
    </row>
    <row r="1249" spans="1:9" x14ac:dyDescent="0.3">
      <c r="A1249" s="2" t="str">
        <f xml:space="preserve"> IF( 'From SvanPC++'!A1240= "", "", ('From SvanPC++'!A1240))</f>
        <v/>
      </c>
      <c r="E1249" s="18"/>
      <c r="I1249" s="2"/>
    </row>
    <row r="1250" spans="1:9" x14ac:dyDescent="0.3">
      <c r="A1250" s="2" t="str">
        <f xml:space="preserve"> IF( 'From SvanPC++'!A1241= "", "", ('From SvanPC++'!A1241))</f>
        <v/>
      </c>
      <c r="E1250" s="18"/>
      <c r="I1250" s="2"/>
    </row>
    <row r="1251" spans="1:9" x14ac:dyDescent="0.3">
      <c r="A1251" s="2" t="str">
        <f xml:space="preserve"> IF( 'From SvanPC++'!A1242= "", "", ('From SvanPC++'!A1242))</f>
        <v/>
      </c>
      <c r="E1251" s="18"/>
      <c r="I1251" s="2"/>
    </row>
    <row r="1252" spans="1:9" x14ac:dyDescent="0.3">
      <c r="A1252" s="2" t="str">
        <f xml:space="preserve"> IF( 'From SvanPC++'!A1243= "", "", ('From SvanPC++'!A1243))</f>
        <v/>
      </c>
      <c r="E1252" s="18"/>
      <c r="I1252" s="2"/>
    </row>
    <row r="1253" spans="1:9" x14ac:dyDescent="0.3">
      <c r="A1253" s="2" t="str">
        <f xml:space="preserve"> IF( 'From SvanPC++'!A1244= "", "", ('From SvanPC++'!A1244))</f>
        <v/>
      </c>
      <c r="E1253" s="18"/>
      <c r="I1253" s="2"/>
    </row>
    <row r="1254" spans="1:9" x14ac:dyDescent="0.3">
      <c r="A1254" s="2" t="str">
        <f xml:space="preserve"> IF( 'From SvanPC++'!A1245= "", "", ('From SvanPC++'!A1245))</f>
        <v/>
      </c>
      <c r="E1254" s="18"/>
      <c r="I1254" s="2"/>
    </row>
    <row r="1255" spans="1:9" x14ac:dyDescent="0.3">
      <c r="A1255" s="2" t="str">
        <f xml:space="preserve"> IF( 'From SvanPC++'!A1246= "", "", ('From SvanPC++'!A1246))</f>
        <v/>
      </c>
      <c r="E1255" s="18"/>
      <c r="I1255" s="2"/>
    </row>
    <row r="1256" spans="1:9" x14ac:dyDescent="0.3">
      <c r="A1256" s="2" t="str">
        <f xml:space="preserve"> IF( 'From SvanPC++'!A1247= "", "", ('From SvanPC++'!A1247))</f>
        <v/>
      </c>
      <c r="E1256" s="18"/>
      <c r="I1256" s="2"/>
    </row>
    <row r="1257" spans="1:9" x14ac:dyDescent="0.3">
      <c r="A1257" s="2" t="str">
        <f xml:space="preserve"> IF( 'From SvanPC++'!A1248= "", "", ('From SvanPC++'!A1248))</f>
        <v/>
      </c>
      <c r="E1257" s="18"/>
      <c r="I1257" s="2"/>
    </row>
    <row r="1258" spans="1:9" x14ac:dyDescent="0.3">
      <c r="A1258" s="2" t="str">
        <f xml:space="preserve"> IF( 'From SvanPC++'!A1249= "", "", ('From SvanPC++'!A1249))</f>
        <v/>
      </c>
      <c r="E1258" s="18"/>
      <c r="I1258" s="2"/>
    </row>
    <row r="1259" spans="1:9" x14ac:dyDescent="0.3">
      <c r="A1259" s="2" t="str">
        <f xml:space="preserve"> IF( 'From SvanPC++'!A1250= "", "", ('From SvanPC++'!A1250))</f>
        <v/>
      </c>
      <c r="E1259" s="18"/>
      <c r="I1259" s="2"/>
    </row>
    <row r="1260" spans="1:9" x14ac:dyDescent="0.3">
      <c r="A1260" s="2" t="str">
        <f xml:space="preserve"> IF( 'From SvanPC++'!A1251= "", "", ('From SvanPC++'!A1251))</f>
        <v/>
      </c>
      <c r="E1260" s="18"/>
      <c r="I1260" s="2"/>
    </row>
    <row r="1261" spans="1:9" x14ac:dyDescent="0.3">
      <c r="A1261" s="2" t="str">
        <f xml:space="preserve"> IF( 'From SvanPC++'!A1252= "", "", ('From SvanPC++'!A1252))</f>
        <v/>
      </c>
      <c r="E1261" s="18"/>
      <c r="I1261" s="2"/>
    </row>
    <row r="1262" spans="1:9" x14ac:dyDescent="0.3">
      <c r="A1262" s="2" t="str">
        <f xml:space="preserve"> IF( 'From SvanPC++'!A1253= "", "", ('From SvanPC++'!A1253))</f>
        <v/>
      </c>
      <c r="E1262" s="18"/>
      <c r="I1262" s="2"/>
    </row>
    <row r="1263" spans="1:9" x14ac:dyDescent="0.3">
      <c r="A1263" s="2" t="str">
        <f xml:space="preserve"> IF( 'From SvanPC++'!A1254= "", "", ('From SvanPC++'!A1254))</f>
        <v/>
      </c>
      <c r="E1263" s="18"/>
      <c r="I1263" s="2"/>
    </row>
    <row r="1264" spans="1:9" x14ac:dyDescent="0.3">
      <c r="A1264" s="2" t="str">
        <f xml:space="preserve"> IF( 'From SvanPC++'!A1255= "", "", ('From SvanPC++'!A1255))</f>
        <v/>
      </c>
      <c r="E1264" s="18"/>
      <c r="I1264" s="2"/>
    </row>
    <row r="1265" spans="1:9" x14ac:dyDescent="0.3">
      <c r="A1265" s="2" t="str">
        <f xml:space="preserve"> IF( 'From SvanPC++'!A1256= "", "", ('From SvanPC++'!A1256))</f>
        <v/>
      </c>
      <c r="E1265" s="18"/>
      <c r="I1265" s="2"/>
    </row>
    <row r="1266" spans="1:9" x14ac:dyDescent="0.3">
      <c r="A1266" s="2" t="str">
        <f xml:space="preserve"> IF( 'From SvanPC++'!A1257= "", "", ('From SvanPC++'!A1257))</f>
        <v/>
      </c>
      <c r="E1266" s="18"/>
      <c r="I1266" s="2"/>
    </row>
    <row r="1267" spans="1:9" x14ac:dyDescent="0.3">
      <c r="A1267" s="2" t="str">
        <f xml:space="preserve"> IF( 'From SvanPC++'!A1258= "", "", ('From SvanPC++'!A1258))</f>
        <v/>
      </c>
      <c r="E1267" s="18"/>
      <c r="I1267" s="2"/>
    </row>
    <row r="1268" spans="1:9" x14ac:dyDescent="0.3">
      <c r="A1268" s="2" t="str">
        <f xml:space="preserve"> IF( 'From SvanPC++'!A1259= "", "", ('From SvanPC++'!A1259))</f>
        <v/>
      </c>
      <c r="E1268" s="18"/>
      <c r="I1268" s="2"/>
    </row>
    <row r="1269" spans="1:9" x14ac:dyDescent="0.3">
      <c r="A1269" s="2" t="str">
        <f xml:space="preserve"> IF( 'From SvanPC++'!A1260= "", "", ('From SvanPC++'!A1260))</f>
        <v/>
      </c>
      <c r="E1269" s="18"/>
      <c r="I1269" s="2"/>
    </row>
    <row r="1270" spans="1:9" x14ac:dyDescent="0.3">
      <c r="A1270" s="2" t="str">
        <f xml:space="preserve"> IF( 'From SvanPC++'!A1261= "", "", ('From SvanPC++'!A1261))</f>
        <v/>
      </c>
      <c r="E1270" s="18"/>
      <c r="I1270" s="2"/>
    </row>
    <row r="1271" spans="1:9" x14ac:dyDescent="0.3">
      <c r="A1271" s="2" t="str">
        <f xml:space="preserve"> IF( 'From SvanPC++'!A1262= "", "", ('From SvanPC++'!A1262))</f>
        <v/>
      </c>
      <c r="E1271" s="18"/>
      <c r="I1271" s="2"/>
    </row>
    <row r="1272" spans="1:9" x14ac:dyDescent="0.3">
      <c r="A1272" s="2" t="str">
        <f xml:space="preserve"> IF( 'From SvanPC++'!A1263= "", "", ('From SvanPC++'!A1263))</f>
        <v/>
      </c>
      <c r="E1272" s="18"/>
      <c r="I1272" s="2"/>
    </row>
    <row r="1273" spans="1:9" x14ac:dyDescent="0.3">
      <c r="A1273" s="2" t="str">
        <f xml:space="preserve"> IF( 'From SvanPC++'!A1264= "", "", ('From SvanPC++'!A1264))</f>
        <v/>
      </c>
      <c r="E1273" s="18"/>
      <c r="I1273" s="2"/>
    </row>
    <row r="1274" spans="1:9" x14ac:dyDescent="0.3">
      <c r="A1274" s="2" t="str">
        <f xml:space="preserve"> IF( 'From SvanPC++'!A1265= "", "", ('From SvanPC++'!A1265))</f>
        <v/>
      </c>
      <c r="E1274" s="18"/>
      <c r="I1274" s="2"/>
    </row>
    <row r="1275" spans="1:9" x14ac:dyDescent="0.3">
      <c r="A1275" s="2" t="str">
        <f xml:space="preserve"> IF( 'From SvanPC++'!A1266= "", "", ('From SvanPC++'!A1266))</f>
        <v/>
      </c>
      <c r="E1275" s="18"/>
      <c r="I1275" s="2"/>
    </row>
    <row r="1276" spans="1:9" x14ac:dyDescent="0.3">
      <c r="A1276" s="2" t="str">
        <f xml:space="preserve"> IF( 'From SvanPC++'!A1267= "", "", ('From SvanPC++'!A1267))</f>
        <v/>
      </c>
      <c r="E1276" s="18"/>
      <c r="I1276" s="2"/>
    </row>
    <row r="1277" spans="1:9" x14ac:dyDescent="0.3">
      <c r="A1277" s="2" t="str">
        <f xml:space="preserve"> IF( 'From SvanPC++'!A1268= "", "", ('From SvanPC++'!A1268))</f>
        <v/>
      </c>
      <c r="E1277" s="18"/>
      <c r="I1277" s="2"/>
    </row>
    <row r="1278" spans="1:9" x14ac:dyDescent="0.3">
      <c r="A1278" s="2" t="str">
        <f xml:space="preserve"> IF( 'From SvanPC++'!A1269= "", "", ('From SvanPC++'!A1269))</f>
        <v/>
      </c>
      <c r="E1278" s="18"/>
      <c r="I1278" s="2"/>
    </row>
    <row r="1279" spans="1:9" x14ac:dyDescent="0.3">
      <c r="A1279" s="2" t="str">
        <f xml:space="preserve"> IF( 'From SvanPC++'!A1270= "", "", ('From SvanPC++'!A1270))</f>
        <v/>
      </c>
      <c r="E1279" s="18"/>
      <c r="I1279" s="2"/>
    </row>
    <row r="1280" spans="1:9" x14ac:dyDescent="0.3">
      <c r="A1280" s="2" t="str">
        <f xml:space="preserve"> IF( 'From SvanPC++'!A1271= "", "", ('From SvanPC++'!A1271))</f>
        <v/>
      </c>
      <c r="E1280" s="18"/>
      <c r="I1280" s="2"/>
    </row>
    <row r="1281" spans="1:9" x14ac:dyDescent="0.3">
      <c r="A1281" s="2" t="str">
        <f xml:space="preserve"> IF( 'From SvanPC++'!A1272= "", "", ('From SvanPC++'!A1272))</f>
        <v/>
      </c>
      <c r="E1281" s="18"/>
      <c r="I1281" s="2"/>
    </row>
    <row r="1282" spans="1:9" x14ac:dyDescent="0.3">
      <c r="A1282" s="2" t="str">
        <f xml:space="preserve"> IF( 'From SvanPC++'!A1273= "", "", ('From SvanPC++'!A1273))</f>
        <v/>
      </c>
      <c r="E1282" s="18"/>
      <c r="I1282" s="2"/>
    </row>
    <row r="1283" spans="1:9" x14ac:dyDescent="0.3">
      <c r="A1283" s="2" t="str">
        <f xml:space="preserve"> IF( 'From SvanPC++'!A1274= "", "", ('From SvanPC++'!A1274))</f>
        <v/>
      </c>
      <c r="E1283" s="18"/>
      <c r="I1283" s="2"/>
    </row>
    <row r="1284" spans="1:9" x14ac:dyDescent="0.3">
      <c r="A1284" s="2" t="str">
        <f xml:space="preserve"> IF( 'From SvanPC++'!A1275= "", "", ('From SvanPC++'!A1275))</f>
        <v/>
      </c>
      <c r="E1284" s="18"/>
      <c r="I1284" s="2"/>
    </row>
    <row r="1285" spans="1:9" x14ac:dyDescent="0.3">
      <c r="A1285" s="2" t="str">
        <f xml:space="preserve"> IF( 'From SvanPC++'!A1276= "", "", ('From SvanPC++'!A1276))</f>
        <v/>
      </c>
      <c r="E1285" s="18"/>
      <c r="I1285" s="2"/>
    </row>
    <row r="1286" spans="1:9" x14ac:dyDescent="0.3">
      <c r="A1286" s="2" t="str">
        <f xml:space="preserve"> IF( 'From SvanPC++'!A1277= "", "", ('From SvanPC++'!A1277))</f>
        <v/>
      </c>
      <c r="E1286" s="18"/>
      <c r="I1286" s="2"/>
    </row>
    <row r="1287" spans="1:9" x14ac:dyDescent="0.3">
      <c r="A1287" s="2" t="str">
        <f xml:space="preserve"> IF( 'From SvanPC++'!A1278= "", "", ('From SvanPC++'!A1278))</f>
        <v/>
      </c>
      <c r="E1287" s="18"/>
      <c r="I1287" s="2"/>
    </row>
    <row r="1288" spans="1:9" x14ac:dyDescent="0.3">
      <c r="A1288" s="2" t="str">
        <f xml:space="preserve"> IF( 'From SvanPC++'!A1279= "", "", ('From SvanPC++'!A1279))</f>
        <v/>
      </c>
      <c r="E1288" s="18"/>
      <c r="I1288" s="2"/>
    </row>
    <row r="1289" spans="1:9" x14ac:dyDescent="0.3">
      <c r="A1289" s="2" t="str">
        <f xml:space="preserve"> IF( 'From SvanPC++'!A1280= "", "", ('From SvanPC++'!A1280))</f>
        <v/>
      </c>
      <c r="E1289" s="18"/>
      <c r="I1289" s="2"/>
    </row>
    <row r="1290" spans="1:9" x14ac:dyDescent="0.3">
      <c r="A1290" s="2" t="str">
        <f xml:space="preserve"> IF( 'From SvanPC++'!A1281= "", "", ('From SvanPC++'!A1281))</f>
        <v/>
      </c>
      <c r="E1290" s="18"/>
      <c r="I1290" s="2"/>
    </row>
    <row r="1291" spans="1:9" x14ac:dyDescent="0.3">
      <c r="A1291" s="2" t="str">
        <f xml:space="preserve"> IF( 'From SvanPC++'!A1282= "", "", ('From SvanPC++'!A1282))</f>
        <v/>
      </c>
      <c r="E1291" s="18"/>
      <c r="I1291" s="2"/>
    </row>
    <row r="1292" spans="1:9" x14ac:dyDescent="0.3">
      <c r="A1292" s="2" t="str">
        <f xml:space="preserve"> IF( 'From SvanPC++'!A1283= "", "", ('From SvanPC++'!A1283))</f>
        <v/>
      </c>
      <c r="E1292" s="18"/>
      <c r="I1292" s="2"/>
    </row>
    <row r="1293" spans="1:9" x14ac:dyDescent="0.3">
      <c r="A1293" s="2" t="str">
        <f xml:space="preserve"> IF( 'From SvanPC++'!A1284= "", "", ('From SvanPC++'!A1284))</f>
        <v/>
      </c>
      <c r="E1293" s="18"/>
      <c r="I1293" s="2"/>
    </row>
    <row r="1294" spans="1:9" x14ac:dyDescent="0.3">
      <c r="A1294" s="2" t="str">
        <f xml:space="preserve"> IF( 'From SvanPC++'!A1285= "", "", ('From SvanPC++'!A1285))</f>
        <v/>
      </c>
      <c r="E1294" s="18"/>
      <c r="I1294" s="2"/>
    </row>
    <row r="1295" spans="1:9" x14ac:dyDescent="0.3">
      <c r="A1295" s="2" t="str">
        <f xml:space="preserve"> IF( 'From SvanPC++'!A1286= "", "", ('From SvanPC++'!A1286))</f>
        <v/>
      </c>
      <c r="E1295" s="18"/>
      <c r="I1295" s="2"/>
    </row>
    <row r="1296" spans="1:9" x14ac:dyDescent="0.3">
      <c r="A1296" s="2" t="str">
        <f xml:space="preserve"> IF( 'From SvanPC++'!A1287= "", "", ('From SvanPC++'!A1287))</f>
        <v/>
      </c>
      <c r="E1296" s="18"/>
      <c r="I1296" s="2"/>
    </row>
    <row r="1297" spans="1:9" x14ac:dyDescent="0.3">
      <c r="A1297" s="2" t="str">
        <f xml:space="preserve"> IF( 'From SvanPC++'!A1288= "", "", ('From SvanPC++'!A1288))</f>
        <v/>
      </c>
      <c r="E1297" s="18"/>
      <c r="I1297" s="2"/>
    </row>
    <row r="1298" spans="1:9" x14ac:dyDescent="0.3">
      <c r="A1298" s="2" t="str">
        <f xml:space="preserve"> IF( 'From SvanPC++'!A1289= "", "", ('From SvanPC++'!A1289))</f>
        <v/>
      </c>
      <c r="E1298" s="18"/>
      <c r="I1298" s="2"/>
    </row>
    <row r="1299" spans="1:9" x14ac:dyDescent="0.3">
      <c r="A1299" s="2" t="str">
        <f xml:space="preserve"> IF( 'From SvanPC++'!A1290= "", "", ('From SvanPC++'!A1290))</f>
        <v/>
      </c>
      <c r="E1299" s="18"/>
      <c r="I1299" s="2"/>
    </row>
    <row r="1300" spans="1:9" x14ac:dyDescent="0.3">
      <c r="A1300" s="2" t="str">
        <f xml:space="preserve"> IF( 'From SvanPC++'!A1291= "", "", ('From SvanPC++'!A1291))</f>
        <v/>
      </c>
      <c r="E1300" s="18"/>
      <c r="I1300" s="2"/>
    </row>
    <row r="1301" spans="1:9" x14ac:dyDescent="0.3">
      <c r="A1301" s="2" t="str">
        <f xml:space="preserve"> IF( 'From SvanPC++'!A1292= "", "", ('From SvanPC++'!A1292))</f>
        <v/>
      </c>
      <c r="E1301" s="18"/>
      <c r="I1301" s="2"/>
    </row>
    <row r="1302" spans="1:9" x14ac:dyDescent="0.3">
      <c r="A1302" s="2" t="str">
        <f xml:space="preserve"> IF( 'From SvanPC++'!A1293= "", "", ('From SvanPC++'!A1293))</f>
        <v/>
      </c>
      <c r="E1302" s="18"/>
      <c r="I1302" s="2"/>
    </row>
    <row r="1303" spans="1:9" x14ac:dyDescent="0.3">
      <c r="A1303" s="2" t="str">
        <f xml:space="preserve"> IF( 'From SvanPC++'!A1294= "", "", ('From SvanPC++'!A1294))</f>
        <v/>
      </c>
      <c r="E1303" s="18"/>
      <c r="I1303" s="2"/>
    </row>
    <row r="1304" spans="1:9" x14ac:dyDescent="0.3">
      <c r="A1304" s="2" t="str">
        <f xml:space="preserve"> IF( 'From SvanPC++'!A1295= "", "", ('From SvanPC++'!A1295))</f>
        <v/>
      </c>
      <c r="E1304" s="18"/>
      <c r="I1304" s="2"/>
    </row>
    <row r="1305" spans="1:9" x14ac:dyDescent="0.3">
      <c r="A1305" s="2" t="str">
        <f xml:space="preserve"> IF( 'From SvanPC++'!A1296= "", "", ('From SvanPC++'!A1296))</f>
        <v/>
      </c>
      <c r="E1305" s="18"/>
      <c r="I1305" s="2"/>
    </row>
    <row r="1306" spans="1:9" x14ac:dyDescent="0.3">
      <c r="A1306" s="2" t="str">
        <f xml:space="preserve"> IF( 'From SvanPC++'!A1297= "", "", ('From SvanPC++'!A1297))</f>
        <v/>
      </c>
      <c r="E1306" s="18"/>
      <c r="I1306" s="2"/>
    </row>
    <row r="1307" spans="1:9" x14ac:dyDescent="0.3">
      <c r="A1307" s="2" t="str">
        <f xml:space="preserve"> IF( 'From SvanPC++'!A1298= "", "", ('From SvanPC++'!A1298))</f>
        <v/>
      </c>
      <c r="E1307" s="18"/>
      <c r="I1307" s="2"/>
    </row>
    <row r="1308" spans="1:9" x14ac:dyDescent="0.3">
      <c r="A1308" s="2" t="str">
        <f xml:space="preserve"> IF( 'From SvanPC++'!A1299= "", "", ('From SvanPC++'!A1299))</f>
        <v/>
      </c>
      <c r="E1308" s="18"/>
      <c r="I1308" s="2"/>
    </row>
    <row r="1309" spans="1:9" x14ac:dyDescent="0.3">
      <c r="A1309" s="2" t="str">
        <f xml:space="preserve"> IF( 'From SvanPC++'!A1300= "", "", ('From SvanPC++'!A1300))</f>
        <v/>
      </c>
      <c r="E1309" s="18"/>
      <c r="I1309" s="2"/>
    </row>
    <row r="1310" spans="1:9" x14ac:dyDescent="0.3">
      <c r="A1310" s="2" t="str">
        <f xml:space="preserve"> IF( 'From SvanPC++'!A1301= "", "", ('From SvanPC++'!A1301))</f>
        <v/>
      </c>
      <c r="E1310" s="18"/>
      <c r="I1310" s="2"/>
    </row>
    <row r="1311" spans="1:9" x14ac:dyDescent="0.3">
      <c r="A1311" s="2" t="str">
        <f xml:space="preserve"> IF( 'From SvanPC++'!A1302= "", "", ('From SvanPC++'!A1302))</f>
        <v/>
      </c>
      <c r="E1311" s="18"/>
      <c r="I1311" s="2"/>
    </row>
    <row r="1312" spans="1:9" x14ac:dyDescent="0.3">
      <c r="A1312" s="2" t="str">
        <f xml:space="preserve"> IF( 'From SvanPC++'!A1303= "", "", ('From SvanPC++'!A1303))</f>
        <v/>
      </c>
      <c r="E1312" s="18"/>
      <c r="I1312" s="2"/>
    </row>
    <row r="1313" spans="1:9" x14ac:dyDescent="0.3">
      <c r="A1313" s="2" t="str">
        <f xml:space="preserve"> IF( 'From SvanPC++'!A1304= "", "", ('From SvanPC++'!A1304))</f>
        <v/>
      </c>
      <c r="E1313" s="18"/>
      <c r="I1313" s="2"/>
    </row>
    <row r="1314" spans="1:9" x14ac:dyDescent="0.3">
      <c r="A1314" s="2" t="str">
        <f xml:space="preserve"> IF( 'From SvanPC++'!A1305= "", "", ('From SvanPC++'!A1305))</f>
        <v/>
      </c>
      <c r="E1314" s="18"/>
      <c r="I1314" s="2"/>
    </row>
    <row r="1315" spans="1:9" x14ac:dyDescent="0.3">
      <c r="A1315" s="2" t="str">
        <f xml:space="preserve"> IF( 'From SvanPC++'!A1306= "", "", ('From SvanPC++'!A1306))</f>
        <v/>
      </c>
      <c r="E1315" s="18"/>
      <c r="I1315" s="2"/>
    </row>
    <row r="1316" spans="1:9" x14ac:dyDescent="0.3">
      <c r="A1316" s="2" t="str">
        <f xml:space="preserve"> IF( 'From SvanPC++'!A1307= "", "", ('From SvanPC++'!A1307))</f>
        <v/>
      </c>
      <c r="E1316" s="18"/>
      <c r="I1316" s="2"/>
    </row>
    <row r="1317" spans="1:9" x14ac:dyDescent="0.3">
      <c r="A1317" s="2" t="str">
        <f xml:space="preserve"> IF( 'From SvanPC++'!A1308= "", "", ('From SvanPC++'!A1308))</f>
        <v/>
      </c>
      <c r="E1317" s="18"/>
      <c r="I1317" s="2"/>
    </row>
    <row r="1318" spans="1:9" x14ac:dyDescent="0.3">
      <c r="A1318" s="2" t="str">
        <f xml:space="preserve"> IF( 'From SvanPC++'!A1309= "", "", ('From SvanPC++'!A1309))</f>
        <v/>
      </c>
      <c r="E1318" s="18"/>
      <c r="I1318" s="2"/>
    </row>
    <row r="1319" spans="1:9" x14ac:dyDescent="0.3">
      <c r="A1319" s="2" t="str">
        <f xml:space="preserve"> IF( 'From SvanPC++'!A1310= "", "", ('From SvanPC++'!A1310))</f>
        <v/>
      </c>
      <c r="E1319" s="18"/>
      <c r="I1319" s="2"/>
    </row>
    <row r="1320" spans="1:9" x14ac:dyDescent="0.3">
      <c r="A1320" s="2" t="str">
        <f xml:space="preserve"> IF( 'From SvanPC++'!A1311= "", "", ('From SvanPC++'!A1311))</f>
        <v/>
      </c>
      <c r="E1320" s="18"/>
      <c r="I1320" s="2"/>
    </row>
    <row r="1321" spans="1:9" x14ac:dyDescent="0.3">
      <c r="A1321" s="2" t="str">
        <f xml:space="preserve"> IF( 'From SvanPC++'!A1312= "", "", ('From SvanPC++'!A1312))</f>
        <v/>
      </c>
      <c r="E1321" s="18"/>
      <c r="I1321" s="2"/>
    </row>
    <row r="1322" spans="1:9" x14ac:dyDescent="0.3">
      <c r="A1322" s="2" t="str">
        <f xml:space="preserve"> IF( 'From SvanPC++'!A1313= "", "", ('From SvanPC++'!A1313))</f>
        <v/>
      </c>
      <c r="E1322" s="18"/>
      <c r="I1322" s="2"/>
    </row>
    <row r="1323" spans="1:9" x14ac:dyDescent="0.3">
      <c r="A1323" s="2" t="str">
        <f xml:space="preserve"> IF( 'From SvanPC++'!A1314= "", "", ('From SvanPC++'!A1314))</f>
        <v/>
      </c>
      <c r="E1323" s="18"/>
      <c r="I1323" s="2"/>
    </row>
    <row r="1324" spans="1:9" x14ac:dyDescent="0.3">
      <c r="A1324" s="2" t="str">
        <f xml:space="preserve"> IF( 'From SvanPC++'!A1315= "", "", ('From SvanPC++'!A1315))</f>
        <v/>
      </c>
      <c r="E1324" s="18"/>
      <c r="I1324" s="2"/>
    </row>
    <row r="1325" spans="1:9" x14ac:dyDescent="0.3">
      <c r="A1325" s="2" t="str">
        <f xml:space="preserve"> IF( 'From SvanPC++'!A1316= "", "", ('From SvanPC++'!A1316))</f>
        <v/>
      </c>
      <c r="E1325" s="18"/>
      <c r="I1325" s="2"/>
    </row>
    <row r="1326" spans="1:9" x14ac:dyDescent="0.3">
      <c r="A1326" s="2" t="str">
        <f xml:space="preserve"> IF( 'From SvanPC++'!A1317= "", "", ('From SvanPC++'!A1317))</f>
        <v/>
      </c>
      <c r="E1326" s="18"/>
      <c r="I1326" s="2"/>
    </row>
    <row r="1327" spans="1:9" x14ac:dyDescent="0.3">
      <c r="A1327" s="2" t="str">
        <f xml:space="preserve"> IF( 'From SvanPC++'!A1318= "", "", ('From SvanPC++'!A1318))</f>
        <v/>
      </c>
      <c r="E1327" s="18"/>
      <c r="I1327" s="2"/>
    </row>
    <row r="1328" spans="1:9" x14ac:dyDescent="0.3">
      <c r="A1328" s="2" t="str">
        <f xml:space="preserve"> IF( 'From SvanPC++'!A1319= "", "", ('From SvanPC++'!A1319))</f>
        <v/>
      </c>
      <c r="E1328" s="18"/>
      <c r="I1328" s="2"/>
    </row>
    <row r="1329" spans="1:9" x14ac:dyDescent="0.3">
      <c r="A1329" s="2" t="str">
        <f xml:space="preserve"> IF( 'From SvanPC++'!A1320= "", "", ('From SvanPC++'!A1320))</f>
        <v/>
      </c>
      <c r="E1329" s="18"/>
      <c r="I1329" s="2"/>
    </row>
    <row r="1330" spans="1:9" x14ac:dyDescent="0.3">
      <c r="A1330" s="2" t="str">
        <f xml:space="preserve"> IF( 'From SvanPC++'!A1321= "", "", ('From SvanPC++'!A1321))</f>
        <v/>
      </c>
      <c r="E1330" s="18"/>
      <c r="I1330" s="2"/>
    </row>
    <row r="1331" spans="1:9" x14ac:dyDescent="0.3">
      <c r="A1331" s="2" t="str">
        <f xml:space="preserve"> IF( 'From SvanPC++'!A1322= "", "", ('From SvanPC++'!A1322))</f>
        <v/>
      </c>
      <c r="E1331" s="18"/>
      <c r="I1331" s="2"/>
    </row>
    <row r="1332" spans="1:9" x14ac:dyDescent="0.3">
      <c r="A1332" s="2" t="str">
        <f xml:space="preserve"> IF( 'From SvanPC++'!A1323= "", "", ('From SvanPC++'!A1323))</f>
        <v/>
      </c>
      <c r="E1332" s="18"/>
      <c r="I1332" s="2"/>
    </row>
    <row r="1333" spans="1:9" x14ac:dyDescent="0.3">
      <c r="A1333" s="2" t="str">
        <f xml:space="preserve"> IF( 'From SvanPC++'!A1324= "", "", ('From SvanPC++'!A1324))</f>
        <v/>
      </c>
      <c r="E1333" s="18"/>
      <c r="I1333" s="2"/>
    </row>
    <row r="1334" spans="1:9" x14ac:dyDescent="0.3">
      <c r="A1334" s="2" t="str">
        <f xml:space="preserve"> IF( 'From SvanPC++'!A1325= "", "", ('From SvanPC++'!A1325))</f>
        <v/>
      </c>
      <c r="E1334" s="18"/>
      <c r="I1334" s="2"/>
    </row>
    <row r="1335" spans="1:9" x14ac:dyDescent="0.3">
      <c r="A1335" s="2" t="str">
        <f xml:space="preserve"> IF( 'From SvanPC++'!A1326= "", "", ('From SvanPC++'!A1326))</f>
        <v/>
      </c>
      <c r="E1335" s="18"/>
      <c r="I1335" s="2"/>
    </row>
    <row r="1336" spans="1:9" x14ac:dyDescent="0.3">
      <c r="A1336" s="2" t="str">
        <f xml:space="preserve"> IF( 'From SvanPC++'!A1327= "", "", ('From SvanPC++'!A1327))</f>
        <v/>
      </c>
      <c r="E1336" s="18"/>
      <c r="I1336" s="2"/>
    </row>
    <row r="1337" spans="1:9" x14ac:dyDescent="0.3">
      <c r="A1337" s="2" t="str">
        <f xml:space="preserve"> IF( 'From SvanPC++'!A1328= "", "", ('From SvanPC++'!A1328))</f>
        <v/>
      </c>
      <c r="E1337" s="18"/>
      <c r="I1337" s="2"/>
    </row>
    <row r="1338" spans="1:9" x14ac:dyDescent="0.3">
      <c r="A1338" s="2" t="str">
        <f xml:space="preserve"> IF( 'From SvanPC++'!A1329= "", "", ('From SvanPC++'!A1329))</f>
        <v/>
      </c>
      <c r="E1338" s="18"/>
      <c r="I1338" s="2"/>
    </row>
    <row r="1339" spans="1:9" x14ac:dyDescent="0.3">
      <c r="A1339" s="2" t="str">
        <f xml:space="preserve"> IF( 'From SvanPC++'!A1330= "", "", ('From SvanPC++'!A1330))</f>
        <v/>
      </c>
      <c r="E1339" s="18"/>
      <c r="I1339" s="2"/>
    </row>
    <row r="1340" spans="1:9" x14ac:dyDescent="0.3">
      <c r="A1340" s="2" t="str">
        <f xml:space="preserve"> IF( 'From SvanPC++'!A1331= "", "", ('From SvanPC++'!A1331))</f>
        <v/>
      </c>
      <c r="E1340" s="18"/>
      <c r="I1340" s="2"/>
    </row>
    <row r="1341" spans="1:9" x14ac:dyDescent="0.3">
      <c r="A1341" s="2" t="str">
        <f xml:space="preserve"> IF( 'From SvanPC++'!A1332= "", "", ('From SvanPC++'!A1332))</f>
        <v/>
      </c>
      <c r="E1341" s="18"/>
      <c r="I1341" s="2"/>
    </row>
    <row r="1342" spans="1:9" x14ac:dyDescent="0.3">
      <c r="A1342" s="2" t="str">
        <f xml:space="preserve"> IF( 'From SvanPC++'!A1333= "", "", ('From SvanPC++'!A1333))</f>
        <v/>
      </c>
      <c r="E1342" s="18"/>
      <c r="I1342" s="2"/>
    </row>
    <row r="1343" spans="1:9" x14ac:dyDescent="0.3">
      <c r="A1343" s="2" t="str">
        <f xml:space="preserve"> IF( 'From SvanPC++'!A1334= "", "", ('From SvanPC++'!A1334))</f>
        <v/>
      </c>
      <c r="E1343" s="18"/>
      <c r="I1343" s="2"/>
    </row>
    <row r="1344" spans="1:9" x14ac:dyDescent="0.3">
      <c r="A1344" s="2" t="str">
        <f xml:space="preserve"> IF( 'From SvanPC++'!A1335= "", "", ('From SvanPC++'!A1335))</f>
        <v/>
      </c>
      <c r="E1344" s="18"/>
      <c r="I1344" s="2"/>
    </row>
    <row r="1345" spans="1:9" x14ac:dyDescent="0.3">
      <c r="A1345" s="2" t="str">
        <f xml:space="preserve"> IF( 'From SvanPC++'!A1336= "", "", ('From SvanPC++'!A1336))</f>
        <v/>
      </c>
      <c r="E1345" s="18"/>
      <c r="I1345" s="2"/>
    </row>
    <row r="1346" spans="1:9" x14ac:dyDescent="0.3">
      <c r="A1346" s="2" t="str">
        <f xml:space="preserve"> IF( 'From SvanPC++'!A1337= "", "", ('From SvanPC++'!A1337))</f>
        <v/>
      </c>
      <c r="E1346" s="18"/>
      <c r="I1346" s="2"/>
    </row>
    <row r="1347" spans="1:9" x14ac:dyDescent="0.3">
      <c r="A1347" s="2" t="str">
        <f xml:space="preserve"> IF( 'From SvanPC++'!A1338= "", "", ('From SvanPC++'!A1338))</f>
        <v/>
      </c>
      <c r="E1347" s="18"/>
      <c r="I1347" s="2"/>
    </row>
    <row r="1348" spans="1:9" x14ac:dyDescent="0.3">
      <c r="A1348" s="2" t="str">
        <f xml:space="preserve"> IF( 'From SvanPC++'!A1339= "", "", ('From SvanPC++'!A1339))</f>
        <v/>
      </c>
      <c r="E1348" s="18"/>
      <c r="I1348" s="2"/>
    </row>
    <row r="1349" spans="1:9" x14ac:dyDescent="0.3">
      <c r="A1349" s="2" t="str">
        <f xml:space="preserve"> IF( 'From SvanPC++'!A1340= "", "", ('From SvanPC++'!A1340))</f>
        <v/>
      </c>
      <c r="E1349" s="18"/>
      <c r="I1349" s="2"/>
    </row>
    <row r="1350" spans="1:9" x14ac:dyDescent="0.3">
      <c r="A1350" s="2" t="str">
        <f xml:space="preserve"> IF( 'From SvanPC++'!A1341= "", "", ('From SvanPC++'!A1341))</f>
        <v/>
      </c>
      <c r="E1350" s="18"/>
      <c r="I1350" s="2"/>
    </row>
    <row r="1351" spans="1:9" x14ac:dyDescent="0.3">
      <c r="A1351" s="2" t="str">
        <f xml:space="preserve"> IF( 'From SvanPC++'!A1342= "", "", ('From SvanPC++'!A1342))</f>
        <v/>
      </c>
      <c r="E1351" s="18"/>
      <c r="I1351" s="2"/>
    </row>
    <row r="1352" spans="1:9" x14ac:dyDescent="0.3">
      <c r="A1352" s="2" t="str">
        <f xml:space="preserve"> IF( 'From SvanPC++'!A1343= "", "", ('From SvanPC++'!A1343))</f>
        <v/>
      </c>
      <c r="E1352" s="18"/>
      <c r="I1352" s="2"/>
    </row>
    <row r="1353" spans="1:9" x14ac:dyDescent="0.3">
      <c r="A1353" s="2" t="str">
        <f xml:space="preserve"> IF( 'From SvanPC++'!A1344= "", "", ('From SvanPC++'!A1344))</f>
        <v/>
      </c>
      <c r="E1353" s="18"/>
      <c r="I1353" s="2"/>
    </row>
    <row r="1354" spans="1:9" x14ac:dyDescent="0.3">
      <c r="A1354" s="2" t="str">
        <f xml:space="preserve"> IF( 'From SvanPC++'!A1345= "", "", ('From SvanPC++'!A1345))</f>
        <v/>
      </c>
      <c r="E1354" s="18"/>
      <c r="I1354" s="2"/>
    </row>
    <row r="1355" spans="1:9" x14ac:dyDescent="0.3">
      <c r="A1355" s="2" t="str">
        <f xml:space="preserve"> IF( 'From SvanPC++'!A1346= "", "", ('From SvanPC++'!A1346))</f>
        <v/>
      </c>
      <c r="E1355" s="18"/>
      <c r="I1355" s="2"/>
    </row>
    <row r="1356" spans="1:9" x14ac:dyDescent="0.3">
      <c r="A1356" s="2" t="str">
        <f xml:space="preserve"> IF( 'From SvanPC++'!A1347= "", "", ('From SvanPC++'!A1347))</f>
        <v/>
      </c>
      <c r="E1356" s="18"/>
      <c r="I1356" s="2"/>
    </row>
    <row r="1357" spans="1:9" x14ac:dyDescent="0.3">
      <c r="A1357" s="2" t="str">
        <f xml:space="preserve"> IF( 'From SvanPC++'!A1348= "", "", ('From SvanPC++'!A1348))</f>
        <v/>
      </c>
      <c r="E1357" s="18"/>
      <c r="I1357" s="2"/>
    </row>
    <row r="1358" spans="1:9" x14ac:dyDescent="0.3">
      <c r="A1358" s="2" t="str">
        <f xml:space="preserve"> IF( 'From SvanPC++'!A1349= "", "", ('From SvanPC++'!A1349))</f>
        <v/>
      </c>
      <c r="E1358" s="18"/>
      <c r="I1358" s="2"/>
    </row>
    <row r="1359" spans="1:9" x14ac:dyDescent="0.3">
      <c r="A1359" s="2" t="str">
        <f xml:space="preserve"> IF( 'From SvanPC++'!A1350= "", "", ('From SvanPC++'!A1350))</f>
        <v/>
      </c>
      <c r="E1359" s="18"/>
      <c r="I1359" s="2"/>
    </row>
    <row r="1360" spans="1:9" x14ac:dyDescent="0.3">
      <c r="A1360" s="2" t="str">
        <f xml:space="preserve"> IF( 'From SvanPC++'!A1351= "", "", ('From SvanPC++'!A1351))</f>
        <v/>
      </c>
      <c r="E1360" s="18"/>
      <c r="I1360" s="2"/>
    </row>
    <row r="1361" spans="1:9" x14ac:dyDescent="0.3">
      <c r="A1361" s="2" t="str">
        <f xml:space="preserve"> IF( 'From SvanPC++'!A1352= "", "", ('From SvanPC++'!A1352))</f>
        <v/>
      </c>
      <c r="E1361" s="18"/>
      <c r="I1361" s="2"/>
    </row>
    <row r="1362" spans="1:9" x14ac:dyDescent="0.3">
      <c r="A1362" s="2" t="str">
        <f xml:space="preserve"> IF( 'From SvanPC++'!A1353= "", "", ('From SvanPC++'!A1353))</f>
        <v/>
      </c>
      <c r="E1362" s="18"/>
      <c r="I1362" s="2"/>
    </row>
    <row r="1363" spans="1:9" x14ac:dyDescent="0.3">
      <c r="A1363" s="2" t="str">
        <f xml:space="preserve"> IF( 'From SvanPC++'!A1354= "", "", ('From SvanPC++'!A1354))</f>
        <v/>
      </c>
      <c r="E1363" s="18"/>
      <c r="I1363" s="2"/>
    </row>
    <row r="1364" spans="1:9" x14ac:dyDescent="0.3">
      <c r="A1364" s="2" t="str">
        <f xml:space="preserve"> IF( 'From SvanPC++'!A1355= "", "", ('From SvanPC++'!A1355))</f>
        <v/>
      </c>
      <c r="E1364" s="18"/>
      <c r="I1364" s="2"/>
    </row>
    <row r="1365" spans="1:9" x14ac:dyDescent="0.3">
      <c r="A1365" s="2" t="str">
        <f xml:space="preserve"> IF( 'From SvanPC++'!A1356= "", "", ('From SvanPC++'!A1356))</f>
        <v/>
      </c>
      <c r="E1365" s="18"/>
      <c r="I1365" s="2"/>
    </row>
    <row r="1366" spans="1:9" x14ac:dyDescent="0.3">
      <c r="A1366" s="2" t="str">
        <f xml:space="preserve"> IF( 'From SvanPC++'!A1357= "", "", ('From SvanPC++'!A1357))</f>
        <v/>
      </c>
      <c r="E1366" s="18"/>
      <c r="I1366" s="2"/>
    </row>
    <row r="1367" spans="1:9" x14ac:dyDescent="0.3">
      <c r="A1367" s="2" t="str">
        <f xml:space="preserve"> IF( 'From SvanPC++'!A1358= "", "", ('From SvanPC++'!A1358))</f>
        <v/>
      </c>
      <c r="E1367" s="18"/>
      <c r="I1367" s="2"/>
    </row>
    <row r="1368" spans="1:9" x14ac:dyDescent="0.3">
      <c r="A1368" s="2" t="str">
        <f xml:space="preserve"> IF( 'From SvanPC++'!A1359= "", "", ('From SvanPC++'!A1359))</f>
        <v/>
      </c>
      <c r="E1368" s="18"/>
      <c r="I1368" s="2"/>
    </row>
    <row r="1369" spans="1:9" x14ac:dyDescent="0.3">
      <c r="A1369" s="2" t="str">
        <f xml:space="preserve"> IF( 'From SvanPC++'!A1360= "", "", ('From SvanPC++'!A1360))</f>
        <v/>
      </c>
      <c r="E1369" s="18"/>
      <c r="I1369" s="2"/>
    </row>
    <row r="1370" spans="1:9" x14ac:dyDescent="0.3">
      <c r="A1370" s="2" t="str">
        <f xml:space="preserve"> IF( 'From SvanPC++'!A1361= "", "", ('From SvanPC++'!A1361))</f>
        <v/>
      </c>
      <c r="E1370" s="18"/>
      <c r="I1370" s="2"/>
    </row>
    <row r="1371" spans="1:9" x14ac:dyDescent="0.3">
      <c r="A1371" s="2" t="str">
        <f xml:space="preserve"> IF( 'From SvanPC++'!A1362= "", "", ('From SvanPC++'!A1362))</f>
        <v/>
      </c>
      <c r="E1371" s="18"/>
      <c r="I1371" s="2"/>
    </row>
    <row r="1372" spans="1:9" x14ac:dyDescent="0.3">
      <c r="A1372" s="2" t="str">
        <f xml:space="preserve"> IF( 'From SvanPC++'!A1363= "", "", ('From SvanPC++'!A1363))</f>
        <v/>
      </c>
      <c r="E1372" s="18"/>
      <c r="I1372" s="2"/>
    </row>
    <row r="1373" spans="1:9" x14ac:dyDescent="0.3">
      <c r="A1373" s="2" t="str">
        <f xml:space="preserve"> IF( 'From SvanPC++'!A1364= "", "", ('From SvanPC++'!A1364))</f>
        <v/>
      </c>
      <c r="E1373" s="18"/>
      <c r="I1373" s="2"/>
    </row>
    <row r="1374" spans="1:9" x14ac:dyDescent="0.3">
      <c r="A1374" s="2" t="str">
        <f xml:space="preserve"> IF( 'From SvanPC++'!A1365= "", "", ('From SvanPC++'!A1365))</f>
        <v/>
      </c>
      <c r="E1374" s="18"/>
      <c r="I1374" s="2"/>
    </row>
    <row r="1375" spans="1:9" x14ac:dyDescent="0.3">
      <c r="A1375" s="2" t="str">
        <f xml:space="preserve"> IF( 'From SvanPC++'!A1366= "", "", ('From SvanPC++'!A1366))</f>
        <v/>
      </c>
      <c r="E1375" s="18"/>
      <c r="I1375" s="2"/>
    </row>
    <row r="1376" spans="1:9" x14ac:dyDescent="0.3">
      <c r="A1376" s="2" t="str">
        <f xml:space="preserve"> IF( 'From SvanPC++'!A1367= "", "", ('From SvanPC++'!A1367))</f>
        <v/>
      </c>
      <c r="E1376" s="18"/>
      <c r="I1376" s="2"/>
    </row>
    <row r="1377" spans="1:9" x14ac:dyDescent="0.3">
      <c r="A1377" s="2" t="str">
        <f xml:space="preserve"> IF( 'From SvanPC++'!A1368= "", "", ('From SvanPC++'!A1368))</f>
        <v/>
      </c>
      <c r="E1377" s="18"/>
      <c r="I1377" s="2"/>
    </row>
    <row r="1378" spans="1:9" x14ac:dyDescent="0.3">
      <c r="A1378" s="2" t="str">
        <f xml:space="preserve"> IF( 'From SvanPC++'!A1369= "", "", ('From SvanPC++'!A1369))</f>
        <v/>
      </c>
      <c r="E1378" s="18"/>
      <c r="I1378" s="2"/>
    </row>
    <row r="1379" spans="1:9" x14ac:dyDescent="0.3">
      <c r="A1379" s="2" t="str">
        <f xml:space="preserve"> IF( 'From SvanPC++'!A1370= "", "", ('From SvanPC++'!A1370))</f>
        <v/>
      </c>
      <c r="E1379" s="18"/>
      <c r="I1379" s="2"/>
    </row>
    <row r="1380" spans="1:9" x14ac:dyDescent="0.3">
      <c r="A1380" s="2" t="str">
        <f xml:space="preserve"> IF( 'From SvanPC++'!A1371= "", "", ('From SvanPC++'!A1371))</f>
        <v/>
      </c>
      <c r="E1380" s="18"/>
      <c r="I1380" s="2"/>
    </row>
    <row r="1381" spans="1:9" x14ac:dyDescent="0.3">
      <c r="A1381" s="2" t="str">
        <f xml:space="preserve"> IF( 'From SvanPC++'!A1372= "", "", ('From SvanPC++'!A1372))</f>
        <v/>
      </c>
      <c r="E1381" s="18"/>
      <c r="I1381" s="2"/>
    </row>
    <row r="1382" spans="1:9" x14ac:dyDescent="0.3">
      <c r="A1382" s="2" t="str">
        <f xml:space="preserve"> IF( 'From SvanPC++'!A1373= "", "", ('From SvanPC++'!A1373))</f>
        <v/>
      </c>
      <c r="E1382" s="18"/>
      <c r="I1382" s="2"/>
    </row>
    <row r="1383" spans="1:9" x14ac:dyDescent="0.3">
      <c r="A1383" s="2" t="str">
        <f xml:space="preserve"> IF( 'From SvanPC++'!A1374= "", "", ('From SvanPC++'!A1374))</f>
        <v/>
      </c>
      <c r="E1383" s="18"/>
      <c r="I1383" s="2"/>
    </row>
    <row r="1384" spans="1:9" x14ac:dyDescent="0.3">
      <c r="A1384" s="2" t="str">
        <f xml:space="preserve"> IF( 'From SvanPC++'!A1375= "", "", ('From SvanPC++'!A1375))</f>
        <v/>
      </c>
      <c r="E1384" s="18"/>
      <c r="I1384" s="2"/>
    </row>
    <row r="1385" spans="1:9" x14ac:dyDescent="0.3">
      <c r="A1385" s="2" t="str">
        <f xml:space="preserve"> IF( 'From SvanPC++'!A1376= "", "", ('From SvanPC++'!A1376))</f>
        <v/>
      </c>
      <c r="E1385" s="18"/>
      <c r="I1385" s="2"/>
    </row>
    <row r="1386" spans="1:9" x14ac:dyDescent="0.3">
      <c r="A1386" s="2" t="str">
        <f xml:space="preserve"> IF( 'From SvanPC++'!A1377= "", "", ('From SvanPC++'!A1377))</f>
        <v/>
      </c>
      <c r="E1386" s="18"/>
      <c r="I1386" s="2"/>
    </row>
    <row r="1387" spans="1:9" x14ac:dyDescent="0.3">
      <c r="A1387" s="2" t="str">
        <f xml:space="preserve"> IF( 'From SvanPC++'!A1378= "", "", ('From SvanPC++'!A1378))</f>
        <v/>
      </c>
      <c r="E1387" s="18"/>
      <c r="I1387" s="2"/>
    </row>
    <row r="1388" spans="1:9" x14ac:dyDescent="0.3">
      <c r="A1388" s="2" t="str">
        <f xml:space="preserve"> IF( 'From SvanPC++'!A1379= "", "", ('From SvanPC++'!A1379))</f>
        <v/>
      </c>
      <c r="E1388" s="18"/>
      <c r="I1388" s="2"/>
    </row>
    <row r="1389" spans="1:9" x14ac:dyDescent="0.3">
      <c r="A1389" s="2" t="str">
        <f xml:space="preserve"> IF( 'From SvanPC++'!A1380= "", "", ('From SvanPC++'!A1380))</f>
        <v/>
      </c>
      <c r="E1389" s="18"/>
      <c r="I1389" s="2"/>
    </row>
    <row r="1390" spans="1:9" x14ac:dyDescent="0.3">
      <c r="A1390" s="2" t="str">
        <f xml:space="preserve"> IF( 'From SvanPC++'!A1381= "", "", ('From SvanPC++'!A1381))</f>
        <v/>
      </c>
      <c r="E1390" s="18"/>
      <c r="I1390" s="2"/>
    </row>
    <row r="1391" spans="1:9" x14ac:dyDescent="0.3">
      <c r="A1391" s="2" t="str">
        <f xml:space="preserve"> IF( 'From SvanPC++'!A1382= "", "", ('From SvanPC++'!A1382))</f>
        <v/>
      </c>
      <c r="E1391" s="18"/>
      <c r="I1391" s="2"/>
    </row>
    <row r="1392" spans="1:9" x14ac:dyDescent="0.3">
      <c r="A1392" s="2" t="str">
        <f xml:space="preserve"> IF( 'From SvanPC++'!A1383= "", "", ('From SvanPC++'!A1383))</f>
        <v/>
      </c>
      <c r="E1392" s="18"/>
      <c r="I1392" s="2"/>
    </row>
    <row r="1393" spans="1:9" x14ac:dyDescent="0.3">
      <c r="A1393" s="2" t="str">
        <f xml:space="preserve"> IF( 'From SvanPC++'!A1384= "", "", ('From SvanPC++'!A1384))</f>
        <v/>
      </c>
      <c r="E1393" s="18"/>
      <c r="I1393" s="2"/>
    </row>
    <row r="1394" spans="1:9" x14ac:dyDescent="0.3">
      <c r="A1394" s="2" t="str">
        <f xml:space="preserve"> IF( 'From SvanPC++'!A1385= "", "", ('From SvanPC++'!A1385))</f>
        <v/>
      </c>
      <c r="E1394" s="18"/>
      <c r="I1394" s="2"/>
    </row>
    <row r="1395" spans="1:9" x14ac:dyDescent="0.3">
      <c r="A1395" s="2" t="str">
        <f xml:space="preserve"> IF( 'From SvanPC++'!A1386= "", "", ('From SvanPC++'!A1386))</f>
        <v/>
      </c>
      <c r="E1395" s="18"/>
      <c r="I1395" s="2"/>
    </row>
    <row r="1396" spans="1:9" x14ac:dyDescent="0.3">
      <c r="A1396" s="2" t="str">
        <f xml:space="preserve"> IF( 'From SvanPC++'!A1387= "", "", ('From SvanPC++'!A1387))</f>
        <v/>
      </c>
      <c r="E1396" s="18"/>
      <c r="I1396" s="2"/>
    </row>
    <row r="1397" spans="1:9" x14ac:dyDescent="0.3">
      <c r="A1397" s="2" t="str">
        <f xml:space="preserve"> IF( 'From SvanPC++'!A1388= "", "", ('From SvanPC++'!A1388))</f>
        <v/>
      </c>
      <c r="E1397" s="18"/>
      <c r="I1397" s="2"/>
    </row>
    <row r="1398" spans="1:9" x14ac:dyDescent="0.3">
      <c r="A1398" s="2" t="str">
        <f xml:space="preserve"> IF( 'From SvanPC++'!A1389= "", "", ('From SvanPC++'!A1389))</f>
        <v/>
      </c>
      <c r="E1398" s="18"/>
      <c r="I1398" s="2"/>
    </row>
    <row r="1399" spans="1:9" x14ac:dyDescent="0.3">
      <c r="A1399" s="2" t="str">
        <f xml:space="preserve"> IF( 'From SvanPC++'!A1390= "", "", ('From SvanPC++'!A1390))</f>
        <v/>
      </c>
      <c r="E1399" s="18"/>
      <c r="I1399" s="2"/>
    </row>
    <row r="1400" spans="1:9" x14ac:dyDescent="0.3">
      <c r="A1400" s="2" t="str">
        <f xml:space="preserve"> IF( 'From SvanPC++'!A1391= "", "", ('From SvanPC++'!A1391))</f>
        <v/>
      </c>
      <c r="E1400" s="18"/>
      <c r="I1400" s="2"/>
    </row>
    <row r="1401" spans="1:9" x14ac:dyDescent="0.3">
      <c r="A1401" s="2" t="str">
        <f xml:space="preserve"> IF( 'From SvanPC++'!A1392= "", "", ('From SvanPC++'!A1392))</f>
        <v/>
      </c>
      <c r="E1401" s="18"/>
      <c r="I1401" s="2"/>
    </row>
    <row r="1402" spans="1:9" x14ac:dyDescent="0.3">
      <c r="A1402" s="2" t="str">
        <f xml:space="preserve"> IF( 'From SvanPC++'!A1393= "", "", ('From SvanPC++'!A1393))</f>
        <v/>
      </c>
      <c r="E1402" s="18"/>
      <c r="I1402" s="2"/>
    </row>
    <row r="1403" spans="1:9" x14ac:dyDescent="0.3">
      <c r="A1403" s="2" t="str">
        <f xml:space="preserve"> IF( 'From SvanPC++'!A1394= "", "", ('From SvanPC++'!A1394))</f>
        <v/>
      </c>
      <c r="E1403" s="18"/>
      <c r="I1403" s="2"/>
    </row>
    <row r="1404" spans="1:9" x14ac:dyDescent="0.3">
      <c r="A1404" s="2" t="str">
        <f xml:space="preserve"> IF( 'From SvanPC++'!A1395= "", "", ('From SvanPC++'!A1395))</f>
        <v/>
      </c>
      <c r="E1404" s="18"/>
      <c r="I1404" s="2"/>
    </row>
    <row r="1405" spans="1:9" x14ac:dyDescent="0.3">
      <c r="A1405" s="2" t="str">
        <f xml:space="preserve"> IF( 'From SvanPC++'!A1396= "", "", ('From SvanPC++'!A1396))</f>
        <v/>
      </c>
      <c r="E1405" s="18"/>
      <c r="I1405" s="2"/>
    </row>
    <row r="1406" spans="1:9" x14ac:dyDescent="0.3">
      <c r="A1406" s="2" t="str">
        <f xml:space="preserve"> IF( 'From SvanPC++'!A1397= "", "", ('From SvanPC++'!A1397))</f>
        <v/>
      </c>
      <c r="E1406" s="18"/>
      <c r="I1406" s="2"/>
    </row>
    <row r="1407" spans="1:9" x14ac:dyDescent="0.3">
      <c r="A1407" s="2" t="str">
        <f xml:space="preserve"> IF( 'From SvanPC++'!A1398= "", "", ('From SvanPC++'!A1398))</f>
        <v/>
      </c>
      <c r="E1407" s="18"/>
      <c r="I1407" s="2"/>
    </row>
    <row r="1408" spans="1:9" x14ac:dyDescent="0.3">
      <c r="A1408" s="2" t="str">
        <f xml:space="preserve"> IF( 'From SvanPC++'!A1399= "", "", ('From SvanPC++'!A1399))</f>
        <v/>
      </c>
      <c r="E1408" s="18"/>
      <c r="I1408" s="2"/>
    </row>
    <row r="1409" spans="1:9" x14ac:dyDescent="0.3">
      <c r="A1409" s="2" t="str">
        <f xml:space="preserve"> IF( 'From SvanPC++'!A1400= "", "", ('From SvanPC++'!A1400))</f>
        <v/>
      </c>
      <c r="E1409" s="18"/>
      <c r="I1409" s="2"/>
    </row>
    <row r="1410" spans="1:9" x14ac:dyDescent="0.3">
      <c r="A1410" s="2" t="str">
        <f xml:space="preserve"> IF( 'From SvanPC++'!A1401= "", "", ('From SvanPC++'!A1401))</f>
        <v/>
      </c>
      <c r="E1410" s="18"/>
      <c r="I1410" s="2"/>
    </row>
    <row r="1411" spans="1:9" x14ac:dyDescent="0.3">
      <c r="A1411" s="2" t="str">
        <f xml:space="preserve"> IF( 'From SvanPC++'!A1402= "", "", ('From SvanPC++'!A1402))</f>
        <v/>
      </c>
      <c r="E1411" s="18"/>
      <c r="I1411" s="2"/>
    </row>
    <row r="1412" spans="1:9" x14ac:dyDescent="0.3">
      <c r="A1412" s="2" t="str">
        <f xml:space="preserve"> IF( 'From SvanPC++'!A1403= "", "", ('From SvanPC++'!A1403))</f>
        <v/>
      </c>
      <c r="E1412" s="18"/>
      <c r="I1412" s="2"/>
    </row>
    <row r="1413" spans="1:9" x14ac:dyDescent="0.3">
      <c r="A1413" s="2" t="str">
        <f xml:space="preserve"> IF( 'From SvanPC++'!A1404= "", "", ('From SvanPC++'!A1404))</f>
        <v/>
      </c>
      <c r="E1413" s="18"/>
      <c r="I1413" s="2"/>
    </row>
    <row r="1414" spans="1:9" x14ac:dyDescent="0.3">
      <c r="A1414" s="2" t="str">
        <f xml:space="preserve"> IF( 'From SvanPC++'!A1405= "", "", ('From SvanPC++'!A1405))</f>
        <v/>
      </c>
      <c r="E1414" s="18"/>
      <c r="I1414" s="2"/>
    </row>
    <row r="1415" spans="1:9" x14ac:dyDescent="0.3">
      <c r="A1415" s="2" t="str">
        <f xml:space="preserve"> IF( 'From SvanPC++'!A1406= "", "", ('From SvanPC++'!A1406))</f>
        <v/>
      </c>
      <c r="E1415" s="18"/>
      <c r="I1415" s="2"/>
    </row>
    <row r="1416" spans="1:9" x14ac:dyDescent="0.3">
      <c r="A1416" s="2" t="str">
        <f xml:space="preserve"> IF( 'From SvanPC++'!A1407= "", "", ('From SvanPC++'!A1407))</f>
        <v/>
      </c>
      <c r="E1416" s="18"/>
      <c r="I1416" s="2"/>
    </row>
    <row r="1417" spans="1:9" x14ac:dyDescent="0.3">
      <c r="A1417" s="2" t="str">
        <f xml:space="preserve"> IF( 'From SvanPC++'!A1408= "", "", ('From SvanPC++'!A1408))</f>
        <v/>
      </c>
      <c r="E1417" s="18"/>
      <c r="I1417" s="2"/>
    </row>
    <row r="1418" spans="1:9" x14ac:dyDescent="0.3">
      <c r="A1418" s="2" t="str">
        <f xml:space="preserve"> IF( 'From SvanPC++'!A1409= "", "", ('From SvanPC++'!A1409))</f>
        <v/>
      </c>
      <c r="E1418" s="18"/>
      <c r="I1418" s="2"/>
    </row>
    <row r="1419" spans="1:9" x14ac:dyDescent="0.3">
      <c r="A1419" s="2" t="str">
        <f xml:space="preserve"> IF( 'From SvanPC++'!A1410= "", "", ('From SvanPC++'!A1410))</f>
        <v/>
      </c>
      <c r="E1419" s="18"/>
      <c r="I1419" s="2"/>
    </row>
    <row r="1420" spans="1:9" x14ac:dyDescent="0.3">
      <c r="A1420" s="2" t="str">
        <f xml:space="preserve"> IF( 'From SvanPC++'!A1411= "", "", ('From SvanPC++'!A1411))</f>
        <v/>
      </c>
      <c r="E1420" s="18"/>
      <c r="I1420" s="2"/>
    </row>
    <row r="1421" spans="1:9" x14ac:dyDescent="0.3">
      <c r="A1421" s="2" t="str">
        <f xml:space="preserve"> IF( 'From SvanPC++'!A1412= "", "", ('From SvanPC++'!A1412))</f>
        <v/>
      </c>
      <c r="E1421" s="18"/>
      <c r="I1421" s="2"/>
    </row>
    <row r="1422" spans="1:9" x14ac:dyDescent="0.3">
      <c r="A1422" s="2" t="str">
        <f xml:space="preserve"> IF( 'From SvanPC++'!A1413= "", "", ('From SvanPC++'!A1413))</f>
        <v/>
      </c>
      <c r="E1422" s="18"/>
      <c r="I1422" s="2"/>
    </row>
    <row r="1423" spans="1:9" x14ac:dyDescent="0.3">
      <c r="A1423" s="2" t="str">
        <f xml:space="preserve"> IF( 'From SvanPC++'!A1414= "", "", ('From SvanPC++'!A1414))</f>
        <v/>
      </c>
      <c r="E1423" s="18"/>
      <c r="I1423" s="2"/>
    </row>
    <row r="1424" spans="1:9" x14ac:dyDescent="0.3">
      <c r="A1424" s="2" t="str">
        <f xml:space="preserve"> IF( 'From SvanPC++'!A1415= "", "", ('From SvanPC++'!A1415))</f>
        <v/>
      </c>
      <c r="E1424" s="18"/>
      <c r="I1424" s="2"/>
    </row>
    <row r="1425" spans="1:9" x14ac:dyDescent="0.3">
      <c r="A1425" s="2" t="str">
        <f xml:space="preserve"> IF( 'From SvanPC++'!A1416= "", "", ('From SvanPC++'!A1416))</f>
        <v/>
      </c>
      <c r="E1425" s="18"/>
      <c r="I1425" s="2"/>
    </row>
    <row r="1426" spans="1:9" x14ac:dyDescent="0.3">
      <c r="A1426" s="2" t="str">
        <f xml:space="preserve"> IF( 'From SvanPC++'!A1417= "", "", ('From SvanPC++'!A1417))</f>
        <v/>
      </c>
      <c r="E1426" s="18"/>
      <c r="I1426" s="2"/>
    </row>
    <row r="1427" spans="1:9" x14ac:dyDescent="0.3">
      <c r="A1427" s="2" t="str">
        <f xml:space="preserve"> IF( 'From SvanPC++'!A1418= "", "", ('From SvanPC++'!A1418))</f>
        <v/>
      </c>
      <c r="E1427" s="18"/>
      <c r="I1427" s="2"/>
    </row>
    <row r="1428" spans="1:9" x14ac:dyDescent="0.3">
      <c r="A1428" s="2" t="str">
        <f xml:space="preserve"> IF( 'From SvanPC++'!A1419= "", "", ('From SvanPC++'!A1419))</f>
        <v/>
      </c>
      <c r="E1428" s="18"/>
      <c r="I1428" s="2"/>
    </row>
    <row r="1429" spans="1:9" x14ac:dyDescent="0.3">
      <c r="A1429" s="2" t="str">
        <f xml:space="preserve"> IF( 'From SvanPC++'!A1420= "", "", ('From SvanPC++'!A1420))</f>
        <v/>
      </c>
      <c r="E1429" s="18"/>
      <c r="I1429" s="2"/>
    </row>
    <row r="1430" spans="1:9" x14ac:dyDescent="0.3">
      <c r="A1430" s="2" t="str">
        <f xml:space="preserve"> IF( 'From SvanPC++'!A1421= "", "", ('From SvanPC++'!A1421))</f>
        <v/>
      </c>
      <c r="E1430" s="18"/>
      <c r="I1430" s="2"/>
    </row>
    <row r="1431" spans="1:9" x14ac:dyDescent="0.3">
      <c r="A1431" s="2" t="str">
        <f xml:space="preserve"> IF( 'From SvanPC++'!A1422= "", "", ('From SvanPC++'!A1422))</f>
        <v/>
      </c>
      <c r="E1431" s="18"/>
      <c r="I1431" s="2"/>
    </row>
    <row r="1432" spans="1:9" x14ac:dyDescent="0.3">
      <c r="A1432" s="2" t="str">
        <f xml:space="preserve"> IF( 'From SvanPC++'!A1423= "", "", ('From SvanPC++'!A1423))</f>
        <v/>
      </c>
      <c r="E1432" s="18"/>
      <c r="I1432" s="2"/>
    </row>
    <row r="1433" spans="1:9" x14ac:dyDescent="0.3">
      <c r="A1433" s="2" t="str">
        <f xml:space="preserve"> IF( 'From SvanPC++'!A1424= "", "", ('From SvanPC++'!A1424))</f>
        <v/>
      </c>
      <c r="E1433" s="18"/>
      <c r="I1433" s="2"/>
    </row>
    <row r="1434" spans="1:9" x14ac:dyDescent="0.3">
      <c r="A1434" s="2" t="str">
        <f xml:space="preserve"> IF( 'From SvanPC++'!A1425= "", "", ('From SvanPC++'!A1425))</f>
        <v/>
      </c>
      <c r="E1434" s="18"/>
      <c r="I1434" s="2"/>
    </row>
    <row r="1435" spans="1:9" x14ac:dyDescent="0.3">
      <c r="A1435" s="2" t="str">
        <f xml:space="preserve"> IF( 'From SvanPC++'!A1426= "", "", ('From SvanPC++'!A1426))</f>
        <v/>
      </c>
      <c r="E1435" s="18"/>
      <c r="I1435" s="2"/>
    </row>
    <row r="1436" spans="1:9" x14ac:dyDescent="0.3">
      <c r="A1436" s="2" t="str">
        <f xml:space="preserve"> IF( 'From SvanPC++'!A1427= "", "", ('From SvanPC++'!A1427))</f>
        <v/>
      </c>
      <c r="E1436" s="18"/>
      <c r="I1436" s="2"/>
    </row>
    <row r="1437" spans="1:9" x14ac:dyDescent="0.3">
      <c r="A1437" s="2" t="str">
        <f xml:space="preserve"> IF( 'From SvanPC++'!A1428= "", "", ('From SvanPC++'!A1428))</f>
        <v/>
      </c>
      <c r="E1437" s="18"/>
      <c r="I1437" s="2"/>
    </row>
    <row r="1438" spans="1:9" x14ac:dyDescent="0.3">
      <c r="A1438" s="2" t="str">
        <f xml:space="preserve"> IF( 'From SvanPC++'!A1429= "", "", ('From SvanPC++'!A1429))</f>
        <v/>
      </c>
      <c r="E1438" s="18"/>
      <c r="I1438" s="2"/>
    </row>
    <row r="1439" spans="1:9" x14ac:dyDescent="0.3">
      <c r="A1439" s="2" t="str">
        <f xml:space="preserve"> IF( 'From SvanPC++'!A1430= "", "", ('From SvanPC++'!A1430))</f>
        <v/>
      </c>
      <c r="E1439" s="18"/>
      <c r="I1439" s="2"/>
    </row>
    <row r="1440" spans="1:9" x14ac:dyDescent="0.3">
      <c r="A1440" s="2" t="str">
        <f xml:space="preserve"> IF( 'From SvanPC++'!A1431= "", "", ('From SvanPC++'!A1431))</f>
        <v/>
      </c>
      <c r="E1440" s="18"/>
      <c r="I1440" s="2"/>
    </row>
    <row r="1441" spans="1:9" x14ac:dyDescent="0.3">
      <c r="A1441" s="2" t="str">
        <f xml:space="preserve"> IF( 'From SvanPC++'!A1432= "", "", ('From SvanPC++'!A1432))</f>
        <v/>
      </c>
      <c r="E1441" s="18"/>
      <c r="I1441" s="2"/>
    </row>
    <row r="1442" spans="1:9" x14ac:dyDescent="0.3">
      <c r="A1442" s="2" t="str">
        <f xml:space="preserve"> IF( 'From SvanPC++'!A1433= "", "", ('From SvanPC++'!A1433))</f>
        <v/>
      </c>
      <c r="E1442" s="18"/>
      <c r="I1442" s="2"/>
    </row>
    <row r="1443" spans="1:9" x14ac:dyDescent="0.3">
      <c r="A1443" s="2" t="str">
        <f xml:space="preserve"> IF( 'From SvanPC++'!A1434= "", "", ('From SvanPC++'!A1434))</f>
        <v/>
      </c>
      <c r="E1443" s="18"/>
      <c r="I1443" s="2"/>
    </row>
    <row r="1444" spans="1:9" x14ac:dyDescent="0.3">
      <c r="A1444" s="2" t="str">
        <f xml:space="preserve"> IF( 'From SvanPC++'!A1435= "", "", ('From SvanPC++'!A1435))</f>
        <v/>
      </c>
      <c r="E1444" s="18"/>
      <c r="I1444" s="2"/>
    </row>
    <row r="1445" spans="1:9" x14ac:dyDescent="0.3">
      <c r="A1445" s="2" t="str">
        <f xml:space="preserve"> IF( 'From SvanPC++'!A1436= "", "", ('From SvanPC++'!A1436))</f>
        <v/>
      </c>
      <c r="E1445" s="18"/>
      <c r="I1445" s="2"/>
    </row>
    <row r="1446" spans="1:9" x14ac:dyDescent="0.3">
      <c r="A1446" s="2" t="str">
        <f xml:space="preserve"> IF( 'From SvanPC++'!A1437= "", "", ('From SvanPC++'!A1437))</f>
        <v/>
      </c>
      <c r="E1446" s="18"/>
      <c r="I1446" s="2"/>
    </row>
    <row r="1447" spans="1:9" x14ac:dyDescent="0.3">
      <c r="A1447" s="2" t="str">
        <f xml:space="preserve"> IF( 'From SvanPC++'!A1438= "", "", ('From SvanPC++'!A1438))</f>
        <v/>
      </c>
      <c r="E1447" s="18"/>
      <c r="I1447" s="2"/>
    </row>
    <row r="1448" spans="1:9" x14ac:dyDescent="0.3">
      <c r="A1448" s="2" t="str">
        <f xml:space="preserve"> IF( 'From SvanPC++'!A1439= "", "", ('From SvanPC++'!A1439))</f>
        <v/>
      </c>
      <c r="E1448" s="18"/>
      <c r="I1448" s="2"/>
    </row>
    <row r="1449" spans="1:9" x14ac:dyDescent="0.3">
      <c r="A1449" s="2" t="str">
        <f xml:space="preserve"> IF( 'From SvanPC++'!A1440= "", "", ('From SvanPC++'!A1440))</f>
        <v/>
      </c>
      <c r="E1449" s="18"/>
      <c r="I1449" s="2"/>
    </row>
    <row r="1450" spans="1:9" x14ac:dyDescent="0.3">
      <c r="A1450" s="2" t="str">
        <f xml:space="preserve"> IF( 'From SvanPC++'!A1441= "", "", ('From SvanPC++'!A1441))</f>
        <v/>
      </c>
      <c r="E1450" s="18"/>
      <c r="I1450" s="2"/>
    </row>
    <row r="1451" spans="1:9" x14ac:dyDescent="0.3">
      <c r="A1451" s="2" t="str">
        <f xml:space="preserve"> IF( 'From SvanPC++'!A1442= "", "", ('From SvanPC++'!A1442))</f>
        <v/>
      </c>
      <c r="E1451" s="18"/>
      <c r="I1451" s="2"/>
    </row>
    <row r="1452" spans="1:9" x14ac:dyDescent="0.3">
      <c r="A1452" s="2" t="str">
        <f xml:space="preserve"> IF( 'From SvanPC++'!A1443= "", "", ('From SvanPC++'!A1443))</f>
        <v/>
      </c>
      <c r="E1452" s="18"/>
      <c r="I1452" s="2"/>
    </row>
    <row r="1453" spans="1:9" x14ac:dyDescent="0.3">
      <c r="A1453" s="2" t="str">
        <f xml:space="preserve"> IF( 'From SvanPC++'!A1444= "", "", ('From SvanPC++'!A1444))</f>
        <v/>
      </c>
      <c r="E1453" s="18"/>
      <c r="I1453" s="2"/>
    </row>
    <row r="1454" spans="1:9" x14ac:dyDescent="0.3">
      <c r="A1454" s="2" t="str">
        <f xml:space="preserve"> IF( 'From SvanPC++'!A1445= "", "", ('From SvanPC++'!A1445))</f>
        <v/>
      </c>
      <c r="E1454" s="18"/>
      <c r="I1454" s="2"/>
    </row>
    <row r="1455" spans="1:9" x14ac:dyDescent="0.3">
      <c r="A1455" s="2" t="str">
        <f xml:space="preserve"> IF( 'From SvanPC++'!A1446= "", "", ('From SvanPC++'!A1446))</f>
        <v/>
      </c>
      <c r="E1455" s="18"/>
      <c r="I1455" s="2"/>
    </row>
    <row r="1456" spans="1:9" x14ac:dyDescent="0.3">
      <c r="A1456" s="2" t="str">
        <f xml:space="preserve"> IF( 'From SvanPC++'!A1447= "", "", ('From SvanPC++'!A1447))</f>
        <v/>
      </c>
      <c r="E1456" s="18"/>
      <c r="I1456" s="2"/>
    </row>
    <row r="1457" spans="1:9" x14ac:dyDescent="0.3">
      <c r="A1457" s="2" t="str">
        <f xml:space="preserve"> IF( 'From SvanPC++'!A1448= "", "", ('From SvanPC++'!A1448))</f>
        <v/>
      </c>
      <c r="E1457" s="18"/>
      <c r="I1457" s="2"/>
    </row>
    <row r="1458" spans="1:9" x14ac:dyDescent="0.3">
      <c r="A1458" s="2" t="str">
        <f xml:space="preserve"> IF( 'From SvanPC++'!A1449= "", "", ('From SvanPC++'!A1449))</f>
        <v/>
      </c>
      <c r="E1458" s="18"/>
      <c r="I1458" s="2"/>
    </row>
    <row r="1459" spans="1:9" x14ac:dyDescent="0.3">
      <c r="A1459" s="2" t="str">
        <f xml:space="preserve"> IF( 'From SvanPC++'!A1450= "", "", ('From SvanPC++'!A1450))</f>
        <v/>
      </c>
      <c r="E1459" s="18"/>
      <c r="I1459" s="2"/>
    </row>
    <row r="1460" spans="1:9" x14ac:dyDescent="0.3">
      <c r="A1460" s="2" t="str">
        <f xml:space="preserve"> IF( 'From SvanPC++'!A1451= "", "", ('From SvanPC++'!A1451))</f>
        <v/>
      </c>
      <c r="E1460" s="18"/>
      <c r="I1460" s="2"/>
    </row>
    <row r="1461" spans="1:9" x14ac:dyDescent="0.3">
      <c r="A1461" s="2" t="str">
        <f xml:space="preserve"> IF( 'From SvanPC++'!A1452= "", "", ('From SvanPC++'!A1452))</f>
        <v/>
      </c>
      <c r="E1461" s="18"/>
      <c r="I1461" s="2"/>
    </row>
    <row r="1462" spans="1:9" x14ac:dyDescent="0.3">
      <c r="A1462" s="2" t="str">
        <f xml:space="preserve"> IF( 'From SvanPC++'!A1453= "", "", ('From SvanPC++'!A1453))</f>
        <v/>
      </c>
      <c r="E1462" s="18"/>
      <c r="I1462" s="2"/>
    </row>
    <row r="1463" spans="1:9" x14ac:dyDescent="0.3">
      <c r="A1463" s="2" t="str">
        <f xml:space="preserve"> IF( 'From SvanPC++'!A1454= "", "", ('From SvanPC++'!A1454))</f>
        <v/>
      </c>
      <c r="E1463" s="18"/>
      <c r="I1463" s="2"/>
    </row>
    <row r="1464" spans="1:9" x14ac:dyDescent="0.3">
      <c r="A1464" s="2" t="str">
        <f xml:space="preserve"> IF( 'From SvanPC++'!A1455= "", "", ('From SvanPC++'!A1455))</f>
        <v/>
      </c>
      <c r="E1464" s="18"/>
      <c r="I1464" s="2"/>
    </row>
    <row r="1465" spans="1:9" x14ac:dyDescent="0.3">
      <c r="A1465" s="2" t="str">
        <f xml:space="preserve"> IF( 'From SvanPC++'!A1456= "", "", ('From SvanPC++'!A1456))</f>
        <v/>
      </c>
      <c r="E1465" s="18"/>
      <c r="I1465" s="2"/>
    </row>
    <row r="1466" spans="1:9" x14ac:dyDescent="0.3">
      <c r="A1466" s="2" t="str">
        <f xml:space="preserve"> IF( 'From SvanPC++'!A1457= "", "", ('From SvanPC++'!A1457))</f>
        <v/>
      </c>
      <c r="E1466" s="18"/>
      <c r="I1466" s="2"/>
    </row>
    <row r="1467" spans="1:9" x14ac:dyDescent="0.3">
      <c r="A1467" s="2" t="str">
        <f xml:space="preserve"> IF( 'From SvanPC++'!A1458= "", "", ('From SvanPC++'!A1458))</f>
        <v/>
      </c>
      <c r="E1467" s="18"/>
      <c r="I1467" s="2"/>
    </row>
    <row r="1468" spans="1:9" x14ac:dyDescent="0.3">
      <c r="A1468" s="2" t="str">
        <f xml:space="preserve"> IF( 'From SvanPC++'!A1459= "", "", ('From SvanPC++'!A1459))</f>
        <v/>
      </c>
      <c r="E1468" s="18"/>
      <c r="I1468" s="2"/>
    </row>
    <row r="1469" spans="1:9" x14ac:dyDescent="0.3">
      <c r="A1469" s="2" t="str">
        <f xml:space="preserve"> IF( 'From SvanPC++'!A1460= "", "", ('From SvanPC++'!A1460))</f>
        <v/>
      </c>
      <c r="E1469" s="18"/>
      <c r="I1469" s="2"/>
    </row>
    <row r="1470" spans="1:9" x14ac:dyDescent="0.3">
      <c r="A1470" s="2" t="str">
        <f xml:space="preserve"> IF( 'From SvanPC++'!A1461= "", "", ('From SvanPC++'!A1461))</f>
        <v/>
      </c>
      <c r="E1470" s="18"/>
      <c r="I1470" s="2"/>
    </row>
    <row r="1471" spans="1:9" x14ac:dyDescent="0.3">
      <c r="A1471" s="2" t="str">
        <f xml:space="preserve"> IF( 'From SvanPC++'!A1462= "", "", ('From SvanPC++'!A1462))</f>
        <v/>
      </c>
      <c r="E1471" s="18"/>
      <c r="I1471" s="2"/>
    </row>
    <row r="1472" spans="1:9" x14ac:dyDescent="0.3">
      <c r="A1472" s="2" t="str">
        <f xml:space="preserve"> IF( 'From SvanPC++'!A1463= "", "", ('From SvanPC++'!A1463))</f>
        <v/>
      </c>
      <c r="E1472" s="18"/>
      <c r="I1472" s="2"/>
    </row>
    <row r="1473" spans="1:9" x14ac:dyDescent="0.3">
      <c r="A1473" s="2" t="str">
        <f xml:space="preserve"> IF( 'From SvanPC++'!A1464= "", "", ('From SvanPC++'!A1464))</f>
        <v/>
      </c>
      <c r="E1473" s="18"/>
      <c r="I1473" s="2"/>
    </row>
    <row r="1474" spans="1:9" x14ac:dyDescent="0.3">
      <c r="A1474" s="2" t="str">
        <f xml:space="preserve"> IF( 'From SvanPC++'!A1465= "", "", ('From SvanPC++'!A1465))</f>
        <v/>
      </c>
      <c r="E1474" s="18"/>
      <c r="I1474" s="2"/>
    </row>
    <row r="1475" spans="1:9" x14ac:dyDescent="0.3">
      <c r="A1475" s="2" t="str">
        <f xml:space="preserve"> IF( 'From SvanPC++'!A1466= "", "", ('From SvanPC++'!A1466))</f>
        <v/>
      </c>
      <c r="E1475" s="18"/>
      <c r="I1475" s="2"/>
    </row>
    <row r="1476" spans="1:9" x14ac:dyDescent="0.3">
      <c r="A1476" s="2" t="str">
        <f xml:space="preserve"> IF( 'From SvanPC++'!A1467= "", "", ('From SvanPC++'!A1467))</f>
        <v/>
      </c>
      <c r="E1476" s="18"/>
      <c r="I1476" s="2"/>
    </row>
    <row r="1477" spans="1:9" x14ac:dyDescent="0.3">
      <c r="A1477" s="2" t="str">
        <f xml:space="preserve"> IF( 'From SvanPC++'!A1468= "", "", ('From SvanPC++'!A1468))</f>
        <v/>
      </c>
      <c r="E1477" s="18"/>
      <c r="I1477" s="2"/>
    </row>
    <row r="1478" spans="1:9" x14ac:dyDescent="0.3">
      <c r="A1478" s="2" t="str">
        <f xml:space="preserve"> IF( 'From SvanPC++'!A1469= "", "", ('From SvanPC++'!A1469))</f>
        <v/>
      </c>
      <c r="E1478" s="18"/>
      <c r="I1478" s="2"/>
    </row>
    <row r="1479" spans="1:9" x14ac:dyDescent="0.3">
      <c r="A1479" s="2" t="str">
        <f xml:space="preserve"> IF( 'From SvanPC++'!A1470= "", "", ('From SvanPC++'!A1470))</f>
        <v/>
      </c>
      <c r="E1479" s="18"/>
      <c r="I1479" s="2"/>
    </row>
    <row r="1480" spans="1:9" x14ac:dyDescent="0.3">
      <c r="A1480" s="2" t="str">
        <f xml:space="preserve"> IF( 'From SvanPC++'!A1471= "", "", ('From SvanPC++'!A1471))</f>
        <v/>
      </c>
      <c r="E1480" s="18"/>
      <c r="I1480" s="2"/>
    </row>
    <row r="1481" spans="1:9" x14ac:dyDescent="0.3">
      <c r="A1481" s="2" t="str">
        <f xml:space="preserve"> IF( 'From SvanPC++'!A1472= "", "", ('From SvanPC++'!A1472))</f>
        <v/>
      </c>
      <c r="E1481" s="18"/>
      <c r="I1481" s="2"/>
    </row>
    <row r="1482" spans="1:9" x14ac:dyDescent="0.3">
      <c r="A1482" s="2" t="str">
        <f xml:space="preserve"> IF( 'From SvanPC++'!A1473= "", "", ('From SvanPC++'!A1473))</f>
        <v/>
      </c>
      <c r="E1482" s="18"/>
      <c r="I1482" s="2"/>
    </row>
    <row r="1483" spans="1:9" x14ac:dyDescent="0.3">
      <c r="A1483" s="2" t="str">
        <f xml:space="preserve"> IF( 'From SvanPC++'!A1474= "", "", ('From SvanPC++'!A1474))</f>
        <v/>
      </c>
      <c r="E1483" s="18"/>
      <c r="I1483" s="2"/>
    </row>
    <row r="1484" spans="1:9" x14ac:dyDescent="0.3">
      <c r="A1484" s="2" t="str">
        <f xml:space="preserve"> IF( 'From SvanPC++'!A1475= "", "", ('From SvanPC++'!A1475))</f>
        <v/>
      </c>
      <c r="E1484" s="18"/>
      <c r="I1484" s="2"/>
    </row>
    <row r="1485" spans="1:9" x14ac:dyDescent="0.3">
      <c r="A1485" s="2" t="str">
        <f xml:space="preserve"> IF( 'From SvanPC++'!A1476= "", "", ('From SvanPC++'!A1476))</f>
        <v/>
      </c>
      <c r="E1485" s="18"/>
      <c r="I1485" s="2"/>
    </row>
    <row r="1486" spans="1:9" x14ac:dyDescent="0.3">
      <c r="A1486" s="2" t="str">
        <f xml:space="preserve"> IF( 'From SvanPC++'!A1477= "", "", ('From SvanPC++'!A1477))</f>
        <v/>
      </c>
      <c r="E1486" s="18"/>
      <c r="I1486" s="2"/>
    </row>
    <row r="1487" spans="1:9" x14ac:dyDescent="0.3">
      <c r="A1487" s="2" t="str">
        <f xml:space="preserve"> IF( 'From SvanPC++'!A1478= "", "", ('From SvanPC++'!A1478))</f>
        <v/>
      </c>
      <c r="E1487" s="18"/>
      <c r="I1487" s="2"/>
    </row>
    <row r="1488" spans="1:9" x14ac:dyDescent="0.3">
      <c r="A1488" s="2" t="str">
        <f xml:space="preserve"> IF( 'From SvanPC++'!A1479= "", "", ('From SvanPC++'!A1479))</f>
        <v/>
      </c>
      <c r="E1488" s="18"/>
      <c r="I1488" s="2"/>
    </row>
    <row r="1489" spans="1:9" x14ac:dyDescent="0.3">
      <c r="A1489" s="2" t="str">
        <f xml:space="preserve"> IF( 'From SvanPC++'!A1480= "", "", ('From SvanPC++'!A1480))</f>
        <v/>
      </c>
      <c r="E1489" s="18"/>
      <c r="I1489" s="2"/>
    </row>
    <row r="1490" spans="1:9" x14ac:dyDescent="0.3">
      <c r="A1490" s="2" t="str">
        <f xml:space="preserve"> IF( 'From SvanPC++'!A1481= "", "", ('From SvanPC++'!A1481))</f>
        <v/>
      </c>
      <c r="E1490" s="18"/>
      <c r="I1490" s="2"/>
    </row>
    <row r="1491" spans="1:9" x14ac:dyDescent="0.3">
      <c r="A1491" s="2" t="str">
        <f xml:space="preserve"> IF( 'From SvanPC++'!A1482= "", "", ('From SvanPC++'!A1482))</f>
        <v/>
      </c>
      <c r="E1491" s="18"/>
      <c r="I1491" s="2"/>
    </row>
    <row r="1492" spans="1:9" x14ac:dyDescent="0.3">
      <c r="A1492" s="2" t="str">
        <f xml:space="preserve"> IF( 'From SvanPC++'!A1483= "", "", ('From SvanPC++'!A1483))</f>
        <v/>
      </c>
      <c r="E1492" s="18"/>
      <c r="I1492" s="2"/>
    </row>
    <row r="1493" spans="1:9" x14ac:dyDescent="0.3">
      <c r="A1493" s="2" t="str">
        <f xml:space="preserve"> IF( 'From SvanPC++'!A1484= "", "", ('From SvanPC++'!A1484))</f>
        <v/>
      </c>
      <c r="E1493" s="18"/>
      <c r="I1493" s="2"/>
    </row>
    <row r="1494" spans="1:9" x14ac:dyDescent="0.3">
      <c r="A1494" s="2" t="str">
        <f xml:space="preserve"> IF( 'From SvanPC++'!A1485= "", "", ('From SvanPC++'!A1485))</f>
        <v/>
      </c>
      <c r="E1494" s="18"/>
      <c r="I1494" s="2"/>
    </row>
    <row r="1495" spans="1:9" x14ac:dyDescent="0.3">
      <c r="A1495" s="2" t="str">
        <f xml:space="preserve"> IF( 'From SvanPC++'!A1486= "", "", ('From SvanPC++'!A1486))</f>
        <v/>
      </c>
      <c r="E1495" s="18"/>
      <c r="I1495" s="2"/>
    </row>
    <row r="1496" spans="1:9" x14ac:dyDescent="0.3">
      <c r="A1496" s="2" t="str">
        <f xml:space="preserve"> IF( 'From SvanPC++'!A1487= "", "", ('From SvanPC++'!A1487))</f>
        <v/>
      </c>
      <c r="E1496" s="18"/>
      <c r="I1496" s="2"/>
    </row>
    <row r="1497" spans="1:9" x14ac:dyDescent="0.3">
      <c r="A1497" s="2" t="str">
        <f xml:space="preserve"> IF( 'From SvanPC++'!A1488= "", "", ('From SvanPC++'!A1488))</f>
        <v/>
      </c>
      <c r="E1497" s="18"/>
      <c r="I1497" s="2"/>
    </row>
    <row r="1498" spans="1:9" x14ac:dyDescent="0.3">
      <c r="A1498" s="2" t="str">
        <f xml:space="preserve"> IF( 'From SvanPC++'!A1489= "", "", ('From SvanPC++'!A1489))</f>
        <v/>
      </c>
      <c r="E1498" s="18"/>
      <c r="I1498" s="2"/>
    </row>
    <row r="1499" spans="1:9" x14ac:dyDescent="0.3">
      <c r="A1499" s="2" t="str">
        <f xml:space="preserve"> IF( 'From SvanPC++'!A1490= "", "", ('From SvanPC++'!A1490))</f>
        <v/>
      </c>
      <c r="E1499" s="18"/>
      <c r="I1499" s="2"/>
    </row>
    <row r="1500" spans="1:9" x14ac:dyDescent="0.3">
      <c r="A1500" s="2" t="str">
        <f xml:space="preserve"> IF( 'From SvanPC++'!A1491= "", "", ('From SvanPC++'!A1491))</f>
        <v/>
      </c>
      <c r="E1500" s="18"/>
      <c r="I1500" s="2"/>
    </row>
    <row r="1501" spans="1:9" x14ac:dyDescent="0.3">
      <c r="A1501" s="2" t="str">
        <f xml:space="preserve"> IF( 'From SvanPC++'!A1492= "", "", ('From SvanPC++'!A1492))</f>
        <v/>
      </c>
      <c r="E1501" s="18"/>
      <c r="I1501" s="2"/>
    </row>
    <row r="1502" spans="1:9" x14ac:dyDescent="0.3">
      <c r="A1502" s="2" t="str">
        <f xml:space="preserve"> IF( 'From SvanPC++'!A1493= "", "", ('From SvanPC++'!A1493))</f>
        <v/>
      </c>
      <c r="E1502" s="18"/>
      <c r="I1502" s="2"/>
    </row>
    <row r="1503" spans="1:9" x14ac:dyDescent="0.3">
      <c r="A1503" s="2" t="str">
        <f xml:space="preserve"> IF( 'From SvanPC++'!A1494= "", "", ('From SvanPC++'!A1494))</f>
        <v/>
      </c>
      <c r="E1503" s="18"/>
      <c r="I1503" s="2"/>
    </row>
    <row r="1504" spans="1:9" x14ac:dyDescent="0.3">
      <c r="A1504" s="2" t="str">
        <f xml:space="preserve"> IF( 'From SvanPC++'!A1495= "", "", ('From SvanPC++'!A1495))</f>
        <v/>
      </c>
      <c r="E1504" s="18"/>
      <c r="I1504" s="2"/>
    </row>
    <row r="1505" spans="1:9" x14ac:dyDescent="0.3">
      <c r="A1505" s="2" t="str">
        <f xml:space="preserve"> IF( 'From SvanPC++'!A1496= "", "", ('From SvanPC++'!A1496))</f>
        <v/>
      </c>
      <c r="E1505" s="18"/>
      <c r="I1505" s="2"/>
    </row>
    <row r="1506" spans="1:9" x14ac:dyDescent="0.3">
      <c r="A1506" s="2" t="str">
        <f xml:space="preserve"> IF( 'From SvanPC++'!A1497= "", "", ('From SvanPC++'!A1497))</f>
        <v/>
      </c>
      <c r="E1506" s="18"/>
      <c r="I1506" s="2"/>
    </row>
    <row r="1507" spans="1:9" x14ac:dyDescent="0.3">
      <c r="A1507" s="2" t="str">
        <f xml:space="preserve"> IF( 'From SvanPC++'!A1498= "", "", ('From SvanPC++'!A1498))</f>
        <v/>
      </c>
      <c r="E1507" s="18"/>
      <c r="I1507" s="2"/>
    </row>
    <row r="1508" spans="1:9" x14ac:dyDescent="0.3">
      <c r="A1508" s="2" t="str">
        <f xml:space="preserve"> IF( 'From SvanPC++'!A1499= "", "", ('From SvanPC++'!A1499))</f>
        <v/>
      </c>
      <c r="E1508" s="18"/>
      <c r="I1508" s="2"/>
    </row>
    <row r="1509" spans="1:9" x14ac:dyDescent="0.3">
      <c r="A1509" s="2" t="str">
        <f xml:space="preserve"> IF( 'From SvanPC++'!A1500= "", "", ('From SvanPC++'!A1500))</f>
        <v/>
      </c>
      <c r="E1509" s="18"/>
      <c r="I1509" s="2"/>
    </row>
  </sheetData>
  <mergeCells count="4">
    <mergeCell ref="B1:C1"/>
    <mergeCell ref="E1:F1"/>
    <mergeCell ref="B13:C13"/>
    <mergeCell ref="E13:F13"/>
  </mergeCells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72A85-2899-4F5C-BF11-EFE0AEAC67AF}">
  <sheetPr codeName="Sheet3"/>
  <dimension ref="A1:R1500"/>
  <sheetViews>
    <sheetView tabSelected="1" zoomScaleNormal="100" workbookViewId="0">
      <pane xSplit="18" ySplit="5" topLeftCell="S6" activePane="bottomRight" state="frozen"/>
      <selection pane="topRight" activeCell="T1" sqref="T1"/>
      <selection pane="bottomLeft" activeCell="A6" sqref="A6"/>
      <selection pane="bottomRight" activeCell="H6" sqref="H6"/>
    </sheetView>
  </sheetViews>
  <sheetFormatPr defaultRowHeight="15" x14ac:dyDescent="0.3"/>
  <cols>
    <col min="1" max="2" width="9.140625" style="2"/>
    <col min="3" max="3" width="33.140625" style="6" customWidth="1"/>
    <col min="4" max="4" width="12.42578125" style="3" customWidth="1"/>
    <col min="5" max="5" width="12.42578125" style="37" customWidth="1"/>
    <col min="6" max="13" width="9.140625" style="4"/>
    <col min="14" max="14" width="9.140625" style="4" customWidth="1"/>
    <col min="15" max="17" width="9.140625" style="4"/>
    <col min="18" max="16384" width="9.140625" style="2"/>
  </cols>
  <sheetData>
    <row r="1" spans="1:18" ht="15" customHeight="1" x14ac:dyDescent="0.3">
      <c r="A1" s="9" t="s">
        <v>937</v>
      </c>
      <c r="B1" s="126"/>
      <c r="C1" s="127"/>
      <c r="D1" s="128"/>
      <c r="E1" s="128"/>
      <c r="F1" s="50"/>
      <c r="G1" s="43"/>
      <c r="H1" s="139" t="s">
        <v>939</v>
      </c>
      <c r="I1" s="140"/>
      <c r="J1" s="140"/>
      <c r="K1" s="140"/>
      <c r="L1" s="140"/>
      <c r="M1" s="50"/>
      <c r="N1" s="50"/>
      <c r="O1" s="50"/>
      <c r="P1" s="50"/>
      <c r="Q1" s="50"/>
      <c r="R1" s="10"/>
    </row>
    <row r="2" spans="1:18" s="36" customFormat="1" ht="15" customHeight="1" x14ac:dyDescent="0.3">
      <c r="A2" s="11" t="s">
        <v>938</v>
      </c>
      <c r="B2" s="44"/>
      <c r="C2" s="46"/>
      <c r="D2" s="45"/>
      <c r="E2" s="45"/>
      <c r="F2" s="43"/>
      <c r="G2" s="43"/>
      <c r="H2" s="139" t="s">
        <v>930</v>
      </c>
      <c r="I2" s="139"/>
      <c r="J2" s="139"/>
      <c r="K2" s="139"/>
      <c r="L2" s="139"/>
      <c r="M2" s="43"/>
      <c r="N2" s="43"/>
      <c r="O2" s="43"/>
      <c r="P2" s="43"/>
      <c r="Q2" s="43"/>
      <c r="R2" s="12"/>
    </row>
    <row r="3" spans="1:18" ht="15" customHeight="1" x14ac:dyDescent="0.3">
      <c r="A3" s="11"/>
      <c r="B3" s="44"/>
      <c r="C3" s="138"/>
      <c r="D3" s="45"/>
      <c r="E3" s="45"/>
      <c r="F3" s="43"/>
      <c r="G3" s="43"/>
      <c r="H3" s="139" t="s">
        <v>932</v>
      </c>
      <c r="I3" s="139"/>
      <c r="J3" s="139"/>
      <c r="K3" s="139"/>
      <c r="L3" s="139"/>
      <c r="M3" s="43"/>
      <c r="N3" s="43"/>
      <c r="O3" s="57" t="s">
        <v>929</v>
      </c>
      <c r="P3" s="50"/>
      <c r="Q3" s="66"/>
      <c r="R3" s="12"/>
    </row>
    <row r="4" spans="1:18" ht="15" customHeight="1" x14ac:dyDescent="0.3">
      <c r="A4" s="11"/>
      <c r="B4" s="44"/>
      <c r="C4" s="150" t="s">
        <v>931</v>
      </c>
      <c r="D4" s="152"/>
      <c r="E4" s="48"/>
      <c r="F4" s="43"/>
      <c r="G4" s="153" t="s">
        <v>3</v>
      </c>
      <c r="H4" s="154"/>
      <c r="I4" s="43"/>
      <c r="J4" s="153" t="s">
        <v>7</v>
      </c>
      <c r="K4" s="155"/>
      <c r="L4" s="154"/>
      <c r="M4" s="43"/>
      <c r="N4" s="42" t="s">
        <v>8</v>
      </c>
      <c r="O4" s="137" t="s">
        <v>4</v>
      </c>
      <c r="P4" s="40" t="s">
        <v>5</v>
      </c>
      <c r="Q4" s="41" t="s">
        <v>6</v>
      </c>
      <c r="R4" s="12"/>
    </row>
    <row r="5" spans="1:18" ht="15" customHeight="1" x14ac:dyDescent="0.3">
      <c r="A5" s="21"/>
      <c r="B5" s="129"/>
      <c r="C5" s="27" t="s">
        <v>1</v>
      </c>
      <c r="D5" s="125" t="s">
        <v>9</v>
      </c>
      <c r="E5" s="28" t="s">
        <v>2</v>
      </c>
      <c r="F5" s="54"/>
      <c r="G5" s="130" t="str">
        <f xml:space="preserve"> IF( C6= "", "", 1)</f>
        <v/>
      </c>
      <c r="H5" s="131"/>
      <c r="I5" s="54"/>
      <c r="J5" s="132" t="s">
        <v>4</v>
      </c>
      <c r="K5" s="133" t="s">
        <v>5</v>
      </c>
      <c r="L5" s="131" t="s">
        <v>6</v>
      </c>
      <c r="M5" s="54"/>
      <c r="N5" s="54"/>
      <c r="O5" s="134">
        <f>MIN(J6:J1500)</f>
        <v>0</v>
      </c>
      <c r="P5" s="135">
        <f>MIN(K6:K1500)</f>
        <v>0</v>
      </c>
      <c r="Q5" s="136">
        <f>MIN(L6:L1500)</f>
        <v>0</v>
      </c>
      <c r="R5" s="22"/>
    </row>
    <row r="6" spans="1:18" x14ac:dyDescent="0.3">
      <c r="A6" s="2" t="str">
        <f xml:space="preserve"> IF( 'From SvanPC++'!A6= "", "", ('From SvanPC++'!A6))</f>
        <v/>
      </c>
      <c r="C6" s="6" t="s">
        <v>10</v>
      </c>
      <c r="G6" s="4" t="str">
        <f xml:space="preserve"> IF( D6= "", "", ( IF( AND( D6 &gt;= TIMEVALUE( "07:00:01" ), D6 &lt; TIMEVALUE( "08:00:01" ) ) = TRUE, (G5+1), (G5+0) )))</f>
        <v/>
      </c>
      <c r="H6" s="141" t="str">
        <f xml:space="preserve"> IF( D6= "", "", (
IF( AND( D6 &gt;= TIMEVALUE( "07:00:01" ), D6 &lt;= TIMEVALUE( "18:00:00" ), WEEKDAY( C6,1+N("            Weekday Day Period              ")) &gt;=2, ( WEEKDAY( C6,1) &lt;=6) ) = TRUE, "Day",
IF( AND( D6 &gt;= TIMEVALUE( "18:00:01" ), D6 &lt;= TIMEVALUE( "22:00:00" ), WEEKDAY( C6,1+N("            Weekday Evening Period          ")) &gt;=2, ( WEEKDAY( C6,1) &lt;=6) ) = TRUE, "Evening",
IF( AND( D6 &gt;= TIMEVALUE( "22:00:01" ), D6 &lt;= TIMEVALUE( "23:59:59" ), WEEKDAY( C6,1+N("            Weekday Night Period            ")) &gt;=2, ( WEEKDAY( C6,1) &lt;=6) ) = TRUE, "Night",
IF( AND( D6 &gt;= TIMEVALUE( "00:00:00" ), D6 &lt;= TIMEVALUE( "07:00:00" ), WEEKDAY( C6,1+N("            Weekday Night Period            ")) &gt;=2, ( WEEKDAY( C6,1) &lt;=6) ) = TRUE, "Night",
IF( AND( D6 &gt;= TIMEVALUE( "07:00:01" ), D6 &lt;= TIMEVALUE( "18:00:00" ), WEEKDAY( C6) =(7+N("         Saturday Day Period             ")) ) = TRUE, "Day",
IF( AND( D6 &gt;= TIMEVALUE( "18:00:01" ), D6 &lt;= TIMEVALUE( "22:00:00" ), WEEKDAY( C6) =(7+N("         Saturday Evening Period         ")) ) = TRUE, "Evening",
IF( AND( D6 &gt;= TIMEVALUE( "22:00:01" ), D6 &lt;= TIMEVALUE( "23:59:59" ), WEEKDAY( C6) =(7+N("         Saturday Night Period           ")) ) = TRUE, "Night",
IF( AND( D6 &gt;= TIMEVALUE( "00:00:00" ), D6 &lt;= TIMEVALUE( "07:00:00" ), WEEKDAY( C6) =(7+N("         Saturday Night Period           ")) ) = TRUE, "Night",
IF( AND( D6 &gt;= TIMEVALUE( "07:00:01" ), D6 &lt;= TIMEVALUE( "22:00:00" ), WEEKDAY( C6) =(1+N("         Sunday Evening Period           ")) ) = TRUE, "Evening",
IF( AND( D6 &gt;= TIMEVALUE( "20:00:01" ), D6 &lt;= TIMEVALUE( "23:59:59" ), WEEKDAY( C6) =(1+N("         Sunday Night Period             ")) ) = TRUE, "Night",
IF( AND( D6 &gt;= TIMEVALUE( "00:00:00" ), D6 &lt;= TIMEVALUE( "07:00:00" ), WEEKDAY( C6) =(1+N("         Sunday Night Period             ")) ) = TRUE, "Night",
)))))))))))))</f>
        <v/>
      </c>
      <c r="J6" s="8" t="str">
        <f xml:space="preserve"> IF( ISERROR( IF( D6= "", "", ( IF( G6= 1, ( AVERAGEIFS( E6:E150, G6:G150, 1, H6:H150, "Day" )), "" )))), "",( IF( D6= "", "", ( IF( G6= 1, ( AVERAGEIFS( E6:E150, G6:G150, 1, H6:H150, "Day" )), "" )))))</f>
        <v/>
      </c>
      <c r="K6" s="8" t="str">
        <f xml:space="preserve"> IF( ISERROR( IF( D6= "", "", ( IF( G6= 1, ( AVERAGEIFS( E6:E150, G6:G150, 1, H6:H150, "Evening" )), "" )))), "",( IF( D6= "", "", ( IF( G6= 1, ( AVERAGEIFS( E6:E150, G6:G150, 1, H6:H150, "Evening" )), "" )))))</f>
        <v/>
      </c>
      <c r="L6" s="8" t="str">
        <f xml:space="preserve"> IF( ISERROR( IF( D6= "", "", ( IF( G6= 1, ( AVERAGEIFS( E6:E150, G6:G150, 1, H6:H150, "Night" )), "" )))), "",( IF( D6= "", "", ( IF( G6= 1, ( AVERAGEIFS( E6:E150, G6:G150, 1, H6:H150, "Night" )), "" )))))</f>
        <v/>
      </c>
    </row>
    <row r="7" spans="1:18" x14ac:dyDescent="0.3">
      <c r="A7" s="2" t="str">
        <f xml:space="preserve"> IF( 'From SvanPC++'!A7= "", "", ('From SvanPC++'!A7))</f>
        <v/>
      </c>
      <c r="C7" s="6" t="s">
        <v>10</v>
      </c>
      <c r="G7" s="38" t="str">
        <f t="shared" ref="G7:G70" si="0" xml:space="preserve"> IF( D7= "", "", ( IF( AND( D7 &gt;= TIMEVALUE( "07:00:01" ), D7 &lt; TIMEVALUE( "08:00:01" ) ) = TRUE, (G6+1), (G6+0) )))</f>
        <v/>
      </c>
      <c r="H7" s="141" t="str">
        <f t="shared" ref="H7:H70" si="1" xml:space="preserve"> IF( D7= "", "", (
IF( AND( D7 &gt;= TIMEVALUE( "07:00:01" ), D7 &lt;= TIMEVALUE( "18:00:00" ), WEEKDAY( C7,1+N("            Weekday Day Period              ")) &gt;=2, ( WEEKDAY( C7,1) &lt;=6) ) = TRUE, "Day",
IF( AND( D7 &gt;= TIMEVALUE( "18:00:01" ), D7 &lt;= TIMEVALUE( "22:00:00" ), WEEKDAY( C7,1+N("            Weekday Evening Period          ")) &gt;=2, ( WEEKDAY( C7,1) &lt;=6) ) = TRUE, "Evening",
IF( AND( D7 &gt;= TIMEVALUE( "22:00:01" ), D7 &lt;= TIMEVALUE( "23:59:59" ), WEEKDAY( C7,1+N("            Weekday Night Period            ")) &gt;=2, ( WEEKDAY( C7,1) &lt;=6) ) = TRUE, "Night",
IF( AND( D7 &gt;= TIMEVALUE( "00:00:00" ), D7 &lt;= TIMEVALUE( "07:00:00" ), WEEKDAY( C7,1+N("            Weekday Night Period            ")) &gt;=2, ( WEEKDAY( C7,1) &lt;=6) ) = TRUE, "Night",
IF( AND( D7 &gt;= TIMEVALUE( "07:00:01" ), D7 &lt;= TIMEVALUE( "18:00:00" ), WEEKDAY( C7) =(7+N("         Saturday Day Period             ")) ) = TRUE, "Day",
IF( AND( D7 &gt;= TIMEVALUE( "18:00:01" ), D7 &lt;= TIMEVALUE( "22:00:00" ), WEEKDAY( C7) =(7+N("         Saturday Evening Period         ")) ) = TRUE, "Evening",
IF( AND( D7 &gt;= TIMEVALUE( "22:00:01" ), D7 &lt;= TIMEVALUE( "23:59:59" ), WEEKDAY( C7) =(7+N("         Saturday Night Period           ")) ) = TRUE, "Night",
IF( AND( D7 &gt;= TIMEVALUE( "00:00:00" ), D7 &lt;= TIMEVALUE( "07:00:00" ), WEEKDAY( C7) =(7+N("         Saturday Night Period           ")) ) = TRUE, "Night",
IF( AND( D7 &gt;= TIMEVALUE( "07:00:01" ), D7 &lt;= TIMEVALUE( "22:00:00" ), WEEKDAY( C7) =(1+N("         Sunday Evening Period           ")) ) = TRUE, "Evening",
IF( AND( D7 &gt;= TIMEVALUE( "20:00:01" ), D7 &lt;= TIMEVALUE( "23:59:59" ), WEEKDAY( C7) =(1+N("         Sunday Night Period             ")) ) = TRUE, "Night",
IF( AND( D7 &gt;= TIMEVALUE( "00:00:00" ), D7 &lt;= TIMEVALUE( "07:00:00" ), WEEKDAY( C7) =(1+N("         Sunday Night Period             ")) ) = TRUE, "Night",
)))))))))))))</f>
        <v/>
      </c>
      <c r="J7" s="141" t="str">
        <f xml:space="preserve"> IF( ISERROR( IF( D7= "", "", ( IF( G7= (G6+1), ( AVERAGEIFS( E7:E151, G7:G151, G7, H7:H151, "Day" )), "" )))), "",( IF( D7= "", "", ( IF( G7= (G6+1), ( AVERAGEIFS( E7:E151, G7:G151, G7, H7:H151, "Day" )), "" )))))</f>
        <v/>
      </c>
      <c r="K7" s="141" t="str">
        <f xml:space="preserve"> IF( ISERROR( IF( D7= "", "", ( IF( G7= (G6+1), ( AVERAGEIFS( E7:E151, G7:G151, G7, H7:H151, "Evening" )), "" )))), "",( IF( D7= "", "", ( IF( G7= (G6+1), ( AVERAGEIFS( E7:E151, G7:G151, G7, H7:H151, "Evening" )), "" )))))</f>
        <v/>
      </c>
      <c r="L7" s="141" t="str">
        <f xml:space="preserve"> IF( ISERROR( IF( D7= "", "", ( IF( G7= (G6+1), ( AVERAGEIFS( E7:E151, G7:G151, G7, H7:H151, "Night" )), "" )))), "",( IF( D7= "", "", ( IF( G7= (G6+1), ( AVERAGEIFS( E7:E151, G7:G151, G7, H7:H151, "Night" )), "" )))))</f>
        <v/>
      </c>
    </row>
    <row r="8" spans="1:18" x14ac:dyDescent="0.3">
      <c r="A8" s="2" t="str">
        <f xml:space="preserve"> IF( 'From SvanPC++'!A8= "", "", ('From SvanPC++'!A8))</f>
        <v/>
      </c>
      <c r="C8" s="6" t="s">
        <v>10</v>
      </c>
      <c r="G8" s="38" t="str">
        <f t="shared" si="0"/>
        <v/>
      </c>
      <c r="H8" s="141" t="str">
        <f t="shared" si="1"/>
        <v/>
      </c>
      <c r="J8" s="141" t="str">
        <f t="shared" ref="J8:J71" si="2" xml:space="preserve"> IF( ISERROR( IF( D8= "", "", ( IF( G8= (G7+1), ( AVERAGEIFS( E8:E152, G8:G152, G8, H8:H152, "Day" )), "" )))), "",( IF( D8= "", "", ( IF( G8= (G7+1), ( AVERAGEIFS( E8:E152, G8:G152, G8, H8:H152, "Day" )), "" )))))</f>
        <v/>
      </c>
      <c r="K8" s="141" t="str">
        <f t="shared" ref="K8:K71" si="3" xml:space="preserve"> IF( ISERROR( IF( D8= "", "", ( IF( G8= (G7+1), ( AVERAGEIFS( E8:E152, G8:G152, G8, H8:H152, "Evening" )), "" )))), "",( IF( D8= "", "", ( IF( G8= (G7+1), ( AVERAGEIFS( E8:E152, G8:G152, G8, H8:H152, "Evening" )), "" )))))</f>
        <v/>
      </c>
      <c r="L8" s="141" t="str">
        <f t="shared" ref="L8:L71" si="4" xml:space="preserve"> IF( ISERROR( IF( D8= "", "", ( IF( G8= (G7+1), ( AVERAGEIFS( E8:E152, G8:G152, G8, H8:H152, "Night" )), "" )))), "",( IF( D8= "", "", ( IF( G8= (G7+1), ( AVERAGEIFS( E8:E152, G8:G152, G8, H8:H152, "Night" )), "" )))))</f>
        <v/>
      </c>
    </row>
    <row r="9" spans="1:18" x14ac:dyDescent="0.3">
      <c r="A9" s="2" t="str">
        <f xml:space="preserve"> IF( 'From SvanPC++'!A9= "", "", ('From SvanPC++'!A9))</f>
        <v/>
      </c>
      <c r="C9" s="6" t="s">
        <v>10</v>
      </c>
      <c r="G9" s="38" t="str">
        <f t="shared" si="0"/>
        <v/>
      </c>
      <c r="H9" s="141" t="str">
        <f t="shared" si="1"/>
        <v/>
      </c>
      <c r="J9" s="141" t="str">
        <f t="shared" si="2"/>
        <v/>
      </c>
      <c r="K9" s="141" t="str">
        <f t="shared" si="3"/>
        <v/>
      </c>
      <c r="L9" s="141" t="str">
        <f t="shared" si="4"/>
        <v/>
      </c>
    </row>
    <row r="10" spans="1:18" x14ac:dyDescent="0.3">
      <c r="A10" s="2" t="str">
        <f xml:space="preserve"> IF( 'From SvanPC++'!A10= "", "", ('From SvanPC++'!A10))</f>
        <v/>
      </c>
      <c r="C10" s="6" t="s">
        <v>10</v>
      </c>
      <c r="G10" s="38" t="str">
        <f t="shared" si="0"/>
        <v/>
      </c>
      <c r="H10" s="141" t="str">
        <f t="shared" si="1"/>
        <v/>
      </c>
      <c r="J10" s="141" t="str">
        <f t="shared" si="2"/>
        <v/>
      </c>
      <c r="K10" s="141" t="str">
        <f t="shared" si="3"/>
        <v/>
      </c>
      <c r="L10" s="141" t="str">
        <f t="shared" si="4"/>
        <v/>
      </c>
      <c r="N10" s="5"/>
      <c r="O10" s="5"/>
      <c r="P10" s="5"/>
    </row>
    <row r="11" spans="1:18" x14ac:dyDescent="0.3">
      <c r="A11" s="2" t="str">
        <f xml:space="preserve"> IF( 'From SvanPC++'!A11= "", "", ('From SvanPC++'!A11))</f>
        <v/>
      </c>
      <c r="C11" s="6" t="s">
        <v>10</v>
      </c>
      <c r="G11" s="38" t="str">
        <f t="shared" si="0"/>
        <v/>
      </c>
      <c r="H11" s="141" t="str">
        <f t="shared" si="1"/>
        <v/>
      </c>
      <c r="J11" s="141" t="str">
        <f t="shared" si="2"/>
        <v/>
      </c>
      <c r="K11" s="141" t="str">
        <f t="shared" si="3"/>
        <v/>
      </c>
      <c r="L11" s="141" t="str">
        <f t="shared" si="4"/>
        <v/>
      </c>
    </row>
    <row r="12" spans="1:18" x14ac:dyDescent="0.3">
      <c r="A12" s="2" t="str">
        <f xml:space="preserve"> IF( 'From SvanPC++'!A12= "", "", ('From SvanPC++'!A12))</f>
        <v/>
      </c>
      <c r="C12" s="6" t="s">
        <v>10</v>
      </c>
      <c r="G12" s="38" t="str">
        <f t="shared" si="0"/>
        <v/>
      </c>
      <c r="H12" s="141" t="str">
        <f t="shared" si="1"/>
        <v/>
      </c>
      <c r="J12" s="141" t="str">
        <f t="shared" si="2"/>
        <v/>
      </c>
      <c r="K12" s="141" t="str">
        <f t="shared" si="3"/>
        <v/>
      </c>
      <c r="L12" s="141" t="str">
        <f t="shared" si="4"/>
        <v/>
      </c>
    </row>
    <row r="13" spans="1:18" x14ac:dyDescent="0.3">
      <c r="A13" s="2" t="str">
        <f xml:space="preserve"> IF( 'From SvanPC++'!A13= "", "", ('From SvanPC++'!A13))</f>
        <v/>
      </c>
      <c r="C13" s="6" t="s">
        <v>10</v>
      </c>
      <c r="G13" s="38" t="str">
        <f t="shared" si="0"/>
        <v/>
      </c>
      <c r="H13" s="141" t="str">
        <f t="shared" si="1"/>
        <v/>
      </c>
      <c r="J13" s="141" t="str">
        <f t="shared" si="2"/>
        <v/>
      </c>
      <c r="K13" s="141" t="str">
        <f t="shared" si="3"/>
        <v/>
      </c>
      <c r="L13" s="141" t="str">
        <f t="shared" si="4"/>
        <v/>
      </c>
    </row>
    <row r="14" spans="1:18" x14ac:dyDescent="0.3">
      <c r="A14" s="2" t="str">
        <f xml:space="preserve"> IF( 'From SvanPC++'!A14= "", "", ('From SvanPC++'!A14))</f>
        <v/>
      </c>
      <c r="C14" s="6" t="s">
        <v>10</v>
      </c>
      <c r="G14" s="38" t="str">
        <f t="shared" si="0"/>
        <v/>
      </c>
      <c r="H14" s="141" t="str">
        <f t="shared" si="1"/>
        <v/>
      </c>
      <c r="J14" s="141" t="str">
        <f t="shared" si="2"/>
        <v/>
      </c>
      <c r="K14" s="141" t="str">
        <f t="shared" si="3"/>
        <v/>
      </c>
      <c r="L14" s="141" t="str">
        <f t="shared" si="4"/>
        <v/>
      </c>
    </row>
    <row r="15" spans="1:18" x14ac:dyDescent="0.3">
      <c r="A15" s="2" t="str">
        <f xml:space="preserve"> IF( 'From SvanPC++'!A15= "", "", ('From SvanPC++'!A15))</f>
        <v/>
      </c>
      <c r="C15" s="6" t="s">
        <v>10</v>
      </c>
      <c r="G15" s="38" t="str">
        <f t="shared" si="0"/>
        <v/>
      </c>
      <c r="H15" s="141" t="str">
        <f t="shared" si="1"/>
        <v/>
      </c>
      <c r="J15" s="141" t="str">
        <f t="shared" si="2"/>
        <v/>
      </c>
      <c r="K15" s="141" t="str">
        <f t="shared" si="3"/>
        <v/>
      </c>
      <c r="L15" s="141" t="str">
        <f t="shared" si="4"/>
        <v/>
      </c>
    </row>
    <row r="16" spans="1:18" x14ac:dyDescent="0.3">
      <c r="A16" s="2" t="str">
        <f xml:space="preserve"> IF( 'From SvanPC++'!A16= "", "", ('From SvanPC++'!A16))</f>
        <v/>
      </c>
      <c r="C16" s="6" t="s">
        <v>10</v>
      </c>
      <c r="G16" s="38" t="str">
        <f t="shared" si="0"/>
        <v/>
      </c>
      <c r="H16" s="141" t="str">
        <f t="shared" si="1"/>
        <v/>
      </c>
      <c r="J16" s="141" t="str">
        <f t="shared" si="2"/>
        <v/>
      </c>
      <c r="K16" s="141" t="str">
        <f t="shared" si="3"/>
        <v/>
      </c>
      <c r="L16" s="141" t="str">
        <f t="shared" si="4"/>
        <v/>
      </c>
    </row>
    <row r="17" spans="1:12" x14ac:dyDescent="0.3">
      <c r="A17" s="2" t="str">
        <f xml:space="preserve"> IF( 'From SvanPC++'!A17= "", "", ('From SvanPC++'!A17))</f>
        <v/>
      </c>
      <c r="C17" s="6" t="s">
        <v>10</v>
      </c>
      <c r="G17" s="38" t="str">
        <f t="shared" si="0"/>
        <v/>
      </c>
      <c r="H17" s="141" t="str">
        <f t="shared" si="1"/>
        <v/>
      </c>
      <c r="J17" s="141" t="str">
        <f t="shared" si="2"/>
        <v/>
      </c>
      <c r="K17" s="141" t="str">
        <f t="shared" si="3"/>
        <v/>
      </c>
      <c r="L17" s="141" t="str">
        <f t="shared" si="4"/>
        <v/>
      </c>
    </row>
    <row r="18" spans="1:12" x14ac:dyDescent="0.3">
      <c r="A18" s="2" t="str">
        <f xml:space="preserve"> IF( 'From SvanPC++'!A18= "", "", ('From SvanPC++'!A18))</f>
        <v/>
      </c>
      <c r="C18" s="6" t="s">
        <v>10</v>
      </c>
      <c r="G18" s="38" t="str">
        <f t="shared" si="0"/>
        <v/>
      </c>
      <c r="H18" s="141" t="str">
        <f t="shared" si="1"/>
        <v/>
      </c>
      <c r="J18" s="141" t="str">
        <f t="shared" si="2"/>
        <v/>
      </c>
      <c r="K18" s="141" t="str">
        <f t="shared" si="3"/>
        <v/>
      </c>
      <c r="L18" s="141" t="str">
        <f t="shared" si="4"/>
        <v/>
      </c>
    </row>
    <row r="19" spans="1:12" x14ac:dyDescent="0.3">
      <c r="A19" s="2" t="str">
        <f xml:space="preserve"> IF( 'From SvanPC++'!A19= "", "", ('From SvanPC++'!A19))</f>
        <v/>
      </c>
      <c r="C19" s="6" t="s">
        <v>10</v>
      </c>
      <c r="G19" s="38" t="str">
        <f t="shared" si="0"/>
        <v/>
      </c>
      <c r="H19" s="141" t="str">
        <f t="shared" si="1"/>
        <v/>
      </c>
      <c r="J19" s="141" t="str">
        <f t="shared" si="2"/>
        <v/>
      </c>
      <c r="K19" s="141" t="str">
        <f t="shared" si="3"/>
        <v/>
      </c>
      <c r="L19" s="141" t="str">
        <f t="shared" si="4"/>
        <v/>
      </c>
    </row>
    <row r="20" spans="1:12" x14ac:dyDescent="0.3">
      <c r="A20" s="2" t="str">
        <f xml:space="preserve"> IF( 'From SvanPC++'!A20= "", "", ('From SvanPC++'!A20))</f>
        <v/>
      </c>
      <c r="C20" s="6" t="s">
        <v>10</v>
      </c>
      <c r="G20" s="38" t="str">
        <f t="shared" si="0"/>
        <v/>
      </c>
      <c r="H20" s="141" t="str">
        <f t="shared" si="1"/>
        <v/>
      </c>
      <c r="J20" s="141" t="str">
        <f t="shared" si="2"/>
        <v/>
      </c>
      <c r="K20" s="141" t="str">
        <f t="shared" si="3"/>
        <v/>
      </c>
      <c r="L20" s="141" t="str">
        <f t="shared" si="4"/>
        <v/>
      </c>
    </row>
    <row r="21" spans="1:12" x14ac:dyDescent="0.3">
      <c r="A21" s="2" t="str">
        <f xml:space="preserve"> IF( 'From SvanPC++'!A21= "", "", ('From SvanPC++'!A21))</f>
        <v/>
      </c>
      <c r="C21" s="6" t="s">
        <v>10</v>
      </c>
      <c r="G21" s="38" t="str">
        <f t="shared" si="0"/>
        <v/>
      </c>
      <c r="H21" s="141" t="str">
        <f t="shared" si="1"/>
        <v/>
      </c>
      <c r="J21" s="141" t="str">
        <f t="shared" si="2"/>
        <v/>
      </c>
      <c r="K21" s="141" t="str">
        <f t="shared" si="3"/>
        <v/>
      </c>
      <c r="L21" s="141" t="str">
        <f t="shared" si="4"/>
        <v/>
      </c>
    </row>
    <row r="22" spans="1:12" x14ac:dyDescent="0.3">
      <c r="A22" s="2" t="str">
        <f xml:space="preserve"> IF( 'From SvanPC++'!A22= "", "", ('From SvanPC++'!A22))</f>
        <v/>
      </c>
      <c r="C22" s="6" t="s">
        <v>10</v>
      </c>
      <c r="G22" s="38" t="str">
        <f t="shared" si="0"/>
        <v/>
      </c>
      <c r="H22" s="141" t="str">
        <f t="shared" si="1"/>
        <v/>
      </c>
      <c r="J22" s="141" t="str">
        <f t="shared" si="2"/>
        <v/>
      </c>
      <c r="K22" s="141" t="str">
        <f t="shared" si="3"/>
        <v/>
      </c>
      <c r="L22" s="141" t="str">
        <f t="shared" si="4"/>
        <v/>
      </c>
    </row>
    <row r="23" spans="1:12" x14ac:dyDescent="0.3">
      <c r="A23" s="2" t="str">
        <f xml:space="preserve"> IF( 'From SvanPC++'!A23= "", "", ('From SvanPC++'!A23))</f>
        <v/>
      </c>
      <c r="C23" s="6" t="s">
        <v>10</v>
      </c>
      <c r="G23" s="38" t="str">
        <f t="shared" si="0"/>
        <v/>
      </c>
      <c r="H23" s="141" t="str">
        <f t="shared" si="1"/>
        <v/>
      </c>
      <c r="J23" s="141" t="str">
        <f t="shared" si="2"/>
        <v/>
      </c>
      <c r="K23" s="141" t="str">
        <f t="shared" si="3"/>
        <v/>
      </c>
      <c r="L23" s="141" t="str">
        <f t="shared" si="4"/>
        <v/>
      </c>
    </row>
    <row r="24" spans="1:12" x14ac:dyDescent="0.3">
      <c r="A24" s="2" t="str">
        <f xml:space="preserve"> IF( 'From SvanPC++'!A24= "", "", ('From SvanPC++'!A24))</f>
        <v/>
      </c>
      <c r="C24" s="6" t="s">
        <v>10</v>
      </c>
      <c r="G24" s="38" t="str">
        <f t="shared" si="0"/>
        <v/>
      </c>
      <c r="H24" s="141" t="str">
        <f t="shared" si="1"/>
        <v/>
      </c>
      <c r="J24" s="141" t="str">
        <f t="shared" si="2"/>
        <v/>
      </c>
      <c r="K24" s="141" t="str">
        <f t="shared" si="3"/>
        <v/>
      </c>
      <c r="L24" s="141" t="str">
        <f t="shared" si="4"/>
        <v/>
      </c>
    </row>
    <row r="25" spans="1:12" x14ac:dyDescent="0.3">
      <c r="A25" s="2" t="str">
        <f xml:space="preserve"> IF( 'From SvanPC++'!A25= "", "", ('From SvanPC++'!A25))</f>
        <v/>
      </c>
      <c r="C25" s="6" t="s">
        <v>10</v>
      </c>
      <c r="G25" s="38" t="str">
        <f t="shared" si="0"/>
        <v/>
      </c>
      <c r="H25" s="141" t="str">
        <f t="shared" si="1"/>
        <v/>
      </c>
      <c r="J25" s="141" t="str">
        <f t="shared" si="2"/>
        <v/>
      </c>
      <c r="K25" s="141" t="str">
        <f t="shared" si="3"/>
        <v/>
      </c>
      <c r="L25" s="141" t="str">
        <f t="shared" si="4"/>
        <v/>
      </c>
    </row>
    <row r="26" spans="1:12" x14ac:dyDescent="0.3">
      <c r="A26" s="2" t="str">
        <f xml:space="preserve"> IF( 'From SvanPC++'!A26= "", "", ('From SvanPC++'!A26))</f>
        <v/>
      </c>
      <c r="C26" s="6" t="s">
        <v>10</v>
      </c>
      <c r="G26" s="38" t="str">
        <f t="shared" si="0"/>
        <v/>
      </c>
      <c r="H26" s="141" t="str">
        <f t="shared" si="1"/>
        <v/>
      </c>
      <c r="J26" s="141" t="str">
        <f t="shared" si="2"/>
        <v/>
      </c>
      <c r="K26" s="141" t="str">
        <f t="shared" si="3"/>
        <v/>
      </c>
      <c r="L26" s="141" t="str">
        <f t="shared" si="4"/>
        <v/>
      </c>
    </row>
    <row r="27" spans="1:12" x14ac:dyDescent="0.3">
      <c r="A27" s="2" t="str">
        <f xml:space="preserve"> IF( 'From SvanPC++'!A27= "", "", ('From SvanPC++'!A27))</f>
        <v/>
      </c>
      <c r="C27" s="6" t="s">
        <v>10</v>
      </c>
      <c r="G27" s="38" t="str">
        <f t="shared" si="0"/>
        <v/>
      </c>
      <c r="H27" s="141" t="str">
        <f t="shared" si="1"/>
        <v/>
      </c>
      <c r="J27" s="141" t="str">
        <f t="shared" si="2"/>
        <v/>
      </c>
      <c r="K27" s="141" t="str">
        <f t="shared" si="3"/>
        <v/>
      </c>
      <c r="L27" s="141" t="str">
        <f t="shared" si="4"/>
        <v/>
      </c>
    </row>
    <row r="28" spans="1:12" x14ac:dyDescent="0.3">
      <c r="A28" s="2" t="str">
        <f xml:space="preserve"> IF( 'From SvanPC++'!A28= "", "", ('From SvanPC++'!A28))</f>
        <v/>
      </c>
      <c r="C28" s="6" t="s">
        <v>10</v>
      </c>
      <c r="G28" s="38" t="str">
        <f t="shared" si="0"/>
        <v/>
      </c>
      <c r="H28" s="141" t="str">
        <f t="shared" si="1"/>
        <v/>
      </c>
      <c r="J28" s="141" t="str">
        <f t="shared" si="2"/>
        <v/>
      </c>
      <c r="K28" s="141" t="str">
        <f t="shared" si="3"/>
        <v/>
      </c>
      <c r="L28" s="141" t="str">
        <f t="shared" si="4"/>
        <v/>
      </c>
    </row>
    <row r="29" spans="1:12" x14ac:dyDescent="0.3">
      <c r="A29" s="2" t="str">
        <f xml:space="preserve"> IF( 'From SvanPC++'!A29= "", "", ('From SvanPC++'!A29))</f>
        <v/>
      </c>
      <c r="C29" s="6" t="s">
        <v>10</v>
      </c>
      <c r="G29" s="38" t="str">
        <f t="shared" si="0"/>
        <v/>
      </c>
      <c r="H29" s="141" t="str">
        <f t="shared" si="1"/>
        <v/>
      </c>
      <c r="J29" s="141" t="str">
        <f t="shared" si="2"/>
        <v/>
      </c>
      <c r="K29" s="141" t="str">
        <f t="shared" si="3"/>
        <v/>
      </c>
      <c r="L29" s="141" t="str">
        <f t="shared" si="4"/>
        <v/>
      </c>
    </row>
    <row r="30" spans="1:12" x14ac:dyDescent="0.3">
      <c r="A30" s="2" t="str">
        <f xml:space="preserve"> IF( 'From SvanPC++'!A30= "", "", ('From SvanPC++'!A30))</f>
        <v/>
      </c>
      <c r="C30" s="6" t="s">
        <v>10</v>
      </c>
      <c r="G30" s="38" t="str">
        <f t="shared" si="0"/>
        <v/>
      </c>
      <c r="H30" s="141" t="str">
        <f t="shared" si="1"/>
        <v/>
      </c>
      <c r="J30" s="141" t="str">
        <f t="shared" si="2"/>
        <v/>
      </c>
      <c r="K30" s="141" t="str">
        <f t="shared" si="3"/>
        <v/>
      </c>
      <c r="L30" s="141" t="str">
        <f t="shared" si="4"/>
        <v/>
      </c>
    </row>
    <row r="31" spans="1:12" x14ac:dyDescent="0.3">
      <c r="A31" s="2" t="str">
        <f xml:space="preserve"> IF( 'From SvanPC++'!A31= "", "", ('From SvanPC++'!A31))</f>
        <v/>
      </c>
      <c r="C31" s="6" t="s">
        <v>10</v>
      </c>
      <c r="G31" s="38" t="str">
        <f t="shared" si="0"/>
        <v/>
      </c>
      <c r="H31" s="141" t="str">
        <f t="shared" si="1"/>
        <v/>
      </c>
      <c r="J31" s="141" t="str">
        <f t="shared" si="2"/>
        <v/>
      </c>
      <c r="K31" s="141" t="str">
        <f t="shared" si="3"/>
        <v/>
      </c>
      <c r="L31" s="141" t="str">
        <f t="shared" si="4"/>
        <v/>
      </c>
    </row>
    <row r="32" spans="1:12" x14ac:dyDescent="0.3">
      <c r="A32" s="2" t="str">
        <f xml:space="preserve"> IF( 'From SvanPC++'!A32= "", "", ('From SvanPC++'!A32))</f>
        <v/>
      </c>
      <c r="C32" s="6" t="s">
        <v>10</v>
      </c>
      <c r="G32" s="38" t="str">
        <f t="shared" si="0"/>
        <v/>
      </c>
      <c r="H32" s="141" t="str">
        <f t="shared" si="1"/>
        <v/>
      </c>
      <c r="J32" s="141" t="str">
        <f t="shared" si="2"/>
        <v/>
      </c>
      <c r="K32" s="141" t="str">
        <f t="shared" si="3"/>
        <v/>
      </c>
      <c r="L32" s="141" t="str">
        <f t="shared" si="4"/>
        <v/>
      </c>
    </row>
    <row r="33" spans="1:12" x14ac:dyDescent="0.3">
      <c r="A33" s="2" t="str">
        <f xml:space="preserve"> IF( 'From SvanPC++'!A33= "", "", ('From SvanPC++'!A33))</f>
        <v/>
      </c>
      <c r="C33" s="6" t="s">
        <v>10</v>
      </c>
      <c r="G33" s="38" t="str">
        <f t="shared" si="0"/>
        <v/>
      </c>
      <c r="H33" s="141" t="str">
        <f t="shared" si="1"/>
        <v/>
      </c>
      <c r="J33" s="141" t="str">
        <f t="shared" si="2"/>
        <v/>
      </c>
      <c r="K33" s="141" t="str">
        <f t="shared" si="3"/>
        <v/>
      </c>
      <c r="L33" s="141" t="str">
        <f t="shared" si="4"/>
        <v/>
      </c>
    </row>
    <row r="34" spans="1:12" x14ac:dyDescent="0.3">
      <c r="A34" s="2" t="str">
        <f xml:space="preserve"> IF( 'From SvanPC++'!A34= "", "", ('From SvanPC++'!A34))</f>
        <v/>
      </c>
      <c r="C34" s="6" t="s">
        <v>10</v>
      </c>
      <c r="G34" s="38" t="str">
        <f t="shared" si="0"/>
        <v/>
      </c>
      <c r="H34" s="141" t="str">
        <f t="shared" si="1"/>
        <v/>
      </c>
      <c r="J34" s="141" t="str">
        <f t="shared" si="2"/>
        <v/>
      </c>
      <c r="K34" s="141" t="str">
        <f t="shared" si="3"/>
        <v/>
      </c>
      <c r="L34" s="141" t="str">
        <f t="shared" si="4"/>
        <v/>
      </c>
    </row>
    <row r="35" spans="1:12" x14ac:dyDescent="0.3">
      <c r="A35" s="2" t="str">
        <f xml:space="preserve"> IF( 'From SvanPC++'!A35= "", "", ('From SvanPC++'!A35))</f>
        <v/>
      </c>
      <c r="C35" s="6" t="s">
        <v>10</v>
      </c>
      <c r="G35" s="38" t="str">
        <f t="shared" si="0"/>
        <v/>
      </c>
      <c r="H35" s="141" t="str">
        <f t="shared" si="1"/>
        <v/>
      </c>
      <c r="J35" s="141" t="str">
        <f t="shared" si="2"/>
        <v/>
      </c>
      <c r="K35" s="141" t="str">
        <f t="shared" si="3"/>
        <v/>
      </c>
      <c r="L35" s="141" t="str">
        <f t="shared" si="4"/>
        <v/>
      </c>
    </row>
    <row r="36" spans="1:12" x14ac:dyDescent="0.3">
      <c r="A36" s="2" t="str">
        <f xml:space="preserve"> IF( 'From SvanPC++'!A36= "", "", ('From SvanPC++'!A36))</f>
        <v/>
      </c>
      <c r="C36" s="6" t="s">
        <v>10</v>
      </c>
      <c r="G36" s="38" t="str">
        <f t="shared" si="0"/>
        <v/>
      </c>
      <c r="H36" s="141" t="str">
        <f t="shared" si="1"/>
        <v/>
      </c>
      <c r="J36" s="141" t="str">
        <f t="shared" si="2"/>
        <v/>
      </c>
      <c r="K36" s="141" t="str">
        <f t="shared" si="3"/>
        <v/>
      </c>
      <c r="L36" s="141" t="str">
        <f t="shared" si="4"/>
        <v/>
      </c>
    </row>
    <row r="37" spans="1:12" x14ac:dyDescent="0.3">
      <c r="A37" s="2" t="str">
        <f xml:space="preserve"> IF( 'From SvanPC++'!A37= "", "", ('From SvanPC++'!A37))</f>
        <v/>
      </c>
      <c r="C37" s="6" t="s">
        <v>10</v>
      </c>
      <c r="G37" s="38" t="str">
        <f t="shared" si="0"/>
        <v/>
      </c>
      <c r="H37" s="141" t="str">
        <f t="shared" si="1"/>
        <v/>
      </c>
      <c r="J37" s="141" t="str">
        <f t="shared" si="2"/>
        <v/>
      </c>
      <c r="K37" s="141" t="str">
        <f t="shared" si="3"/>
        <v/>
      </c>
      <c r="L37" s="141" t="str">
        <f t="shared" si="4"/>
        <v/>
      </c>
    </row>
    <row r="38" spans="1:12" x14ac:dyDescent="0.3">
      <c r="A38" s="2" t="str">
        <f xml:space="preserve"> IF( 'From SvanPC++'!A38= "", "", ('From SvanPC++'!A38))</f>
        <v/>
      </c>
      <c r="C38" s="6" t="s">
        <v>10</v>
      </c>
      <c r="G38" s="38" t="str">
        <f t="shared" si="0"/>
        <v/>
      </c>
      <c r="H38" s="141" t="str">
        <f t="shared" si="1"/>
        <v/>
      </c>
      <c r="J38" s="141" t="str">
        <f t="shared" si="2"/>
        <v/>
      </c>
      <c r="K38" s="141" t="str">
        <f t="shared" si="3"/>
        <v/>
      </c>
      <c r="L38" s="141" t="str">
        <f t="shared" si="4"/>
        <v/>
      </c>
    </row>
    <row r="39" spans="1:12" x14ac:dyDescent="0.3">
      <c r="A39" s="2" t="str">
        <f xml:space="preserve"> IF( 'From SvanPC++'!A39= "", "", ('From SvanPC++'!A39))</f>
        <v/>
      </c>
      <c r="C39" s="6" t="s">
        <v>10</v>
      </c>
      <c r="G39" s="38" t="str">
        <f t="shared" si="0"/>
        <v/>
      </c>
      <c r="H39" s="141" t="str">
        <f t="shared" si="1"/>
        <v/>
      </c>
      <c r="J39" s="141" t="str">
        <f t="shared" si="2"/>
        <v/>
      </c>
      <c r="K39" s="141" t="str">
        <f t="shared" si="3"/>
        <v/>
      </c>
      <c r="L39" s="141" t="str">
        <f t="shared" si="4"/>
        <v/>
      </c>
    </row>
    <row r="40" spans="1:12" x14ac:dyDescent="0.3">
      <c r="A40" s="2" t="str">
        <f xml:space="preserve"> IF( 'From SvanPC++'!A40= "", "", ('From SvanPC++'!A40))</f>
        <v/>
      </c>
      <c r="C40" s="6" t="s">
        <v>10</v>
      </c>
      <c r="G40" s="38" t="str">
        <f t="shared" si="0"/>
        <v/>
      </c>
      <c r="H40" s="141" t="str">
        <f t="shared" si="1"/>
        <v/>
      </c>
      <c r="J40" s="141" t="str">
        <f t="shared" si="2"/>
        <v/>
      </c>
      <c r="K40" s="141" t="str">
        <f t="shared" si="3"/>
        <v/>
      </c>
      <c r="L40" s="141" t="str">
        <f t="shared" si="4"/>
        <v/>
      </c>
    </row>
    <row r="41" spans="1:12" x14ac:dyDescent="0.3">
      <c r="A41" s="2" t="str">
        <f xml:space="preserve"> IF( 'From SvanPC++'!A41= "", "", ('From SvanPC++'!A41))</f>
        <v/>
      </c>
      <c r="C41" s="6" t="s">
        <v>10</v>
      </c>
      <c r="G41" s="38" t="str">
        <f t="shared" si="0"/>
        <v/>
      </c>
      <c r="H41" s="141" t="str">
        <f t="shared" si="1"/>
        <v/>
      </c>
      <c r="J41" s="141" t="str">
        <f t="shared" si="2"/>
        <v/>
      </c>
      <c r="K41" s="141" t="str">
        <f t="shared" si="3"/>
        <v/>
      </c>
      <c r="L41" s="141" t="str">
        <f t="shared" si="4"/>
        <v/>
      </c>
    </row>
    <row r="42" spans="1:12" x14ac:dyDescent="0.3">
      <c r="A42" s="2" t="str">
        <f xml:space="preserve"> IF( 'From SvanPC++'!A42= "", "", ('From SvanPC++'!A42))</f>
        <v/>
      </c>
      <c r="C42" s="6" t="s">
        <v>10</v>
      </c>
      <c r="G42" s="38" t="str">
        <f t="shared" si="0"/>
        <v/>
      </c>
      <c r="H42" s="141" t="str">
        <f t="shared" si="1"/>
        <v/>
      </c>
      <c r="J42" s="141" t="str">
        <f t="shared" si="2"/>
        <v/>
      </c>
      <c r="K42" s="141" t="str">
        <f t="shared" si="3"/>
        <v/>
      </c>
      <c r="L42" s="141" t="str">
        <f t="shared" si="4"/>
        <v/>
      </c>
    </row>
    <row r="43" spans="1:12" x14ac:dyDescent="0.3">
      <c r="A43" s="2" t="str">
        <f xml:space="preserve"> IF( 'From SvanPC++'!A43= "", "", ('From SvanPC++'!A43))</f>
        <v/>
      </c>
      <c r="C43" s="6" t="s">
        <v>10</v>
      </c>
      <c r="G43" s="38" t="str">
        <f t="shared" si="0"/>
        <v/>
      </c>
      <c r="H43" s="141" t="str">
        <f t="shared" si="1"/>
        <v/>
      </c>
      <c r="J43" s="141" t="str">
        <f t="shared" si="2"/>
        <v/>
      </c>
      <c r="K43" s="141" t="str">
        <f t="shared" si="3"/>
        <v/>
      </c>
      <c r="L43" s="141" t="str">
        <f t="shared" si="4"/>
        <v/>
      </c>
    </row>
    <row r="44" spans="1:12" x14ac:dyDescent="0.3">
      <c r="A44" s="2" t="str">
        <f xml:space="preserve"> IF( 'From SvanPC++'!A44= "", "", ('From SvanPC++'!A44))</f>
        <v/>
      </c>
      <c r="C44" s="6" t="s">
        <v>10</v>
      </c>
      <c r="G44" s="38" t="str">
        <f t="shared" si="0"/>
        <v/>
      </c>
      <c r="H44" s="141" t="str">
        <f t="shared" si="1"/>
        <v/>
      </c>
      <c r="J44" s="141" t="str">
        <f t="shared" si="2"/>
        <v/>
      </c>
      <c r="K44" s="141" t="str">
        <f t="shared" si="3"/>
        <v/>
      </c>
      <c r="L44" s="141" t="str">
        <f t="shared" si="4"/>
        <v/>
      </c>
    </row>
    <row r="45" spans="1:12" x14ac:dyDescent="0.3">
      <c r="A45" s="2" t="str">
        <f xml:space="preserve"> IF( 'From SvanPC++'!A45= "", "", ('From SvanPC++'!A45))</f>
        <v/>
      </c>
      <c r="C45" s="6" t="s">
        <v>10</v>
      </c>
      <c r="G45" s="38" t="str">
        <f t="shared" si="0"/>
        <v/>
      </c>
      <c r="H45" s="141" t="str">
        <f t="shared" si="1"/>
        <v/>
      </c>
      <c r="J45" s="141" t="str">
        <f t="shared" si="2"/>
        <v/>
      </c>
      <c r="K45" s="141" t="str">
        <f t="shared" si="3"/>
        <v/>
      </c>
      <c r="L45" s="141" t="str">
        <f t="shared" si="4"/>
        <v/>
      </c>
    </row>
    <row r="46" spans="1:12" x14ac:dyDescent="0.3">
      <c r="A46" s="2" t="str">
        <f xml:space="preserve"> IF( 'From SvanPC++'!A46= "", "", ('From SvanPC++'!A46))</f>
        <v/>
      </c>
      <c r="C46" s="6" t="s">
        <v>10</v>
      </c>
      <c r="G46" s="38" t="str">
        <f t="shared" si="0"/>
        <v/>
      </c>
      <c r="H46" s="141" t="str">
        <f t="shared" si="1"/>
        <v/>
      </c>
      <c r="J46" s="141" t="str">
        <f t="shared" si="2"/>
        <v/>
      </c>
      <c r="K46" s="141" t="str">
        <f t="shared" si="3"/>
        <v/>
      </c>
      <c r="L46" s="141" t="str">
        <f t="shared" si="4"/>
        <v/>
      </c>
    </row>
    <row r="47" spans="1:12" x14ac:dyDescent="0.3">
      <c r="A47" s="2" t="str">
        <f xml:space="preserve"> IF( 'From SvanPC++'!A47= "", "", ('From SvanPC++'!A47))</f>
        <v/>
      </c>
      <c r="C47" s="6" t="s">
        <v>10</v>
      </c>
      <c r="G47" s="38" t="str">
        <f t="shared" si="0"/>
        <v/>
      </c>
      <c r="H47" s="141" t="str">
        <f t="shared" si="1"/>
        <v/>
      </c>
      <c r="J47" s="141" t="str">
        <f t="shared" si="2"/>
        <v/>
      </c>
      <c r="K47" s="141" t="str">
        <f t="shared" si="3"/>
        <v/>
      </c>
      <c r="L47" s="141" t="str">
        <f t="shared" si="4"/>
        <v/>
      </c>
    </row>
    <row r="48" spans="1:12" x14ac:dyDescent="0.3">
      <c r="A48" s="2" t="str">
        <f xml:space="preserve"> IF( 'From SvanPC++'!A48= "", "", ('From SvanPC++'!A48))</f>
        <v/>
      </c>
      <c r="C48" s="6" t="s">
        <v>10</v>
      </c>
      <c r="G48" s="38" t="str">
        <f t="shared" si="0"/>
        <v/>
      </c>
      <c r="H48" s="141" t="str">
        <f t="shared" si="1"/>
        <v/>
      </c>
      <c r="J48" s="141" t="str">
        <f t="shared" si="2"/>
        <v/>
      </c>
      <c r="K48" s="141" t="str">
        <f t="shared" si="3"/>
        <v/>
      </c>
      <c r="L48" s="141" t="str">
        <f t="shared" si="4"/>
        <v/>
      </c>
    </row>
    <row r="49" spans="1:12" x14ac:dyDescent="0.3">
      <c r="A49" s="2" t="str">
        <f xml:space="preserve"> IF( 'From SvanPC++'!A49= "", "", ('From SvanPC++'!A49))</f>
        <v/>
      </c>
      <c r="C49" s="6" t="s">
        <v>10</v>
      </c>
      <c r="G49" s="38" t="str">
        <f t="shared" si="0"/>
        <v/>
      </c>
      <c r="H49" s="141" t="str">
        <f t="shared" si="1"/>
        <v/>
      </c>
      <c r="J49" s="141" t="str">
        <f t="shared" si="2"/>
        <v/>
      </c>
      <c r="K49" s="141" t="str">
        <f t="shared" si="3"/>
        <v/>
      </c>
      <c r="L49" s="141" t="str">
        <f t="shared" si="4"/>
        <v/>
      </c>
    </row>
    <row r="50" spans="1:12" x14ac:dyDescent="0.3">
      <c r="A50" s="2" t="str">
        <f xml:space="preserve"> IF( 'From SvanPC++'!A50= "", "", ('From SvanPC++'!A50))</f>
        <v/>
      </c>
      <c r="C50" s="6" t="s">
        <v>10</v>
      </c>
      <c r="G50" s="38" t="str">
        <f t="shared" si="0"/>
        <v/>
      </c>
      <c r="H50" s="141" t="str">
        <f t="shared" si="1"/>
        <v/>
      </c>
      <c r="J50" s="141" t="str">
        <f t="shared" si="2"/>
        <v/>
      </c>
      <c r="K50" s="141" t="str">
        <f t="shared" si="3"/>
        <v/>
      </c>
      <c r="L50" s="141" t="str">
        <f t="shared" si="4"/>
        <v/>
      </c>
    </row>
    <row r="51" spans="1:12" x14ac:dyDescent="0.3">
      <c r="A51" s="2" t="str">
        <f xml:space="preserve"> IF( 'From SvanPC++'!A51= "", "", ('From SvanPC++'!A51))</f>
        <v/>
      </c>
      <c r="C51" s="6" t="s">
        <v>10</v>
      </c>
      <c r="G51" s="38" t="str">
        <f t="shared" si="0"/>
        <v/>
      </c>
      <c r="H51" s="141" t="str">
        <f t="shared" si="1"/>
        <v/>
      </c>
      <c r="J51" s="141" t="str">
        <f t="shared" si="2"/>
        <v/>
      </c>
      <c r="K51" s="141" t="str">
        <f t="shared" si="3"/>
        <v/>
      </c>
      <c r="L51" s="141" t="str">
        <f t="shared" si="4"/>
        <v/>
      </c>
    </row>
    <row r="52" spans="1:12" x14ac:dyDescent="0.3">
      <c r="A52" s="2" t="str">
        <f xml:space="preserve"> IF( 'From SvanPC++'!A52= "", "", ('From SvanPC++'!A52))</f>
        <v/>
      </c>
      <c r="C52" s="6" t="s">
        <v>10</v>
      </c>
      <c r="G52" s="38" t="str">
        <f t="shared" si="0"/>
        <v/>
      </c>
      <c r="H52" s="141" t="str">
        <f t="shared" si="1"/>
        <v/>
      </c>
      <c r="J52" s="141" t="str">
        <f t="shared" si="2"/>
        <v/>
      </c>
      <c r="K52" s="141" t="str">
        <f t="shared" si="3"/>
        <v/>
      </c>
      <c r="L52" s="141" t="str">
        <f t="shared" si="4"/>
        <v/>
      </c>
    </row>
    <row r="53" spans="1:12" x14ac:dyDescent="0.3">
      <c r="A53" s="2" t="str">
        <f xml:space="preserve"> IF( 'From SvanPC++'!A53= "", "", ('From SvanPC++'!A53))</f>
        <v/>
      </c>
      <c r="C53" s="6" t="s">
        <v>10</v>
      </c>
      <c r="G53" s="38" t="str">
        <f t="shared" si="0"/>
        <v/>
      </c>
      <c r="H53" s="141" t="str">
        <f t="shared" si="1"/>
        <v/>
      </c>
      <c r="J53" s="141" t="str">
        <f t="shared" si="2"/>
        <v/>
      </c>
      <c r="K53" s="141" t="str">
        <f t="shared" si="3"/>
        <v/>
      </c>
      <c r="L53" s="141" t="str">
        <f t="shared" si="4"/>
        <v/>
      </c>
    </row>
    <row r="54" spans="1:12" x14ac:dyDescent="0.3">
      <c r="A54" s="2" t="str">
        <f xml:space="preserve"> IF( 'From SvanPC++'!A54= "", "", ('From SvanPC++'!A54))</f>
        <v/>
      </c>
      <c r="C54" s="6" t="s">
        <v>10</v>
      </c>
      <c r="G54" s="38" t="str">
        <f t="shared" si="0"/>
        <v/>
      </c>
      <c r="H54" s="141" t="str">
        <f t="shared" si="1"/>
        <v/>
      </c>
      <c r="J54" s="141" t="str">
        <f t="shared" si="2"/>
        <v/>
      </c>
      <c r="K54" s="141" t="str">
        <f t="shared" si="3"/>
        <v/>
      </c>
      <c r="L54" s="141" t="str">
        <f t="shared" si="4"/>
        <v/>
      </c>
    </row>
    <row r="55" spans="1:12" x14ac:dyDescent="0.3">
      <c r="A55" s="2" t="str">
        <f xml:space="preserve"> IF( 'From SvanPC++'!A55= "", "", ('From SvanPC++'!A55))</f>
        <v/>
      </c>
      <c r="C55" s="6" t="s">
        <v>10</v>
      </c>
      <c r="G55" s="38" t="str">
        <f t="shared" si="0"/>
        <v/>
      </c>
      <c r="H55" s="141" t="str">
        <f t="shared" si="1"/>
        <v/>
      </c>
      <c r="J55" s="141" t="str">
        <f t="shared" si="2"/>
        <v/>
      </c>
      <c r="K55" s="141" t="str">
        <f t="shared" si="3"/>
        <v/>
      </c>
      <c r="L55" s="141" t="str">
        <f t="shared" si="4"/>
        <v/>
      </c>
    </row>
    <row r="56" spans="1:12" x14ac:dyDescent="0.3">
      <c r="A56" s="2" t="str">
        <f xml:space="preserve"> IF( 'From SvanPC++'!A56= "", "", ('From SvanPC++'!A56))</f>
        <v/>
      </c>
      <c r="C56" s="6" t="s">
        <v>10</v>
      </c>
      <c r="G56" s="38" t="str">
        <f t="shared" si="0"/>
        <v/>
      </c>
      <c r="H56" s="141" t="str">
        <f t="shared" si="1"/>
        <v/>
      </c>
      <c r="J56" s="141" t="str">
        <f t="shared" si="2"/>
        <v/>
      </c>
      <c r="K56" s="141" t="str">
        <f t="shared" si="3"/>
        <v/>
      </c>
      <c r="L56" s="141" t="str">
        <f t="shared" si="4"/>
        <v/>
      </c>
    </row>
    <row r="57" spans="1:12" x14ac:dyDescent="0.3">
      <c r="A57" s="2" t="str">
        <f xml:space="preserve"> IF( 'From SvanPC++'!A57= "", "", ('From SvanPC++'!A57))</f>
        <v/>
      </c>
      <c r="C57" s="6" t="s">
        <v>10</v>
      </c>
      <c r="G57" s="38" t="str">
        <f t="shared" si="0"/>
        <v/>
      </c>
      <c r="H57" s="141" t="str">
        <f t="shared" si="1"/>
        <v/>
      </c>
      <c r="J57" s="141" t="str">
        <f t="shared" si="2"/>
        <v/>
      </c>
      <c r="K57" s="141" t="str">
        <f t="shared" si="3"/>
        <v/>
      </c>
      <c r="L57" s="141" t="str">
        <f t="shared" si="4"/>
        <v/>
      </c>
    </row>
    <row r="58" spans="1:12" x14ac:dyDescent="0.3">
      <c r="A58" s="2" t="str">
        <f xml:space="preserve"> IF( 'From SvanPC++'!A58= "", "", ('From SvanPC++'!A58))</f>
        <v/>
      </c>
      <c r="C58" s="6" t="s">
        <v>10</v>
      </c>
      <c r="G58" s="38" t="str">
        <f t="shared" si="0"/>
        <v/>
      </c>
      <c r="H58" s="141" t="str">
        <f t="shared" si="1"/>
        <v/>
      </c>
      <c r="J58" s="141" t="str">
        <f t="shared" si="2"/>
        <v/>
      </c>
      <c r="K58" s="141" t="str">
        <f t="shared" si="3"/>
        <v/>
      </c>
      <c r="L58" s="141" t="str">
        <f t="shared" si="4"/>
        <v/>
      </c>
    </row>
    <row r="59" spans="1:12" x14ac:dyDescent="0.3">
      <c r="A59" s="2" t="str">
        <f xml:space="preserve"> IF( 'From SvanPC++'!A59= "", "", ('From SvanPC++'!A59))</f>
        <v/>
      </c>
      <c r="C59" s="6" t="s">
        <v>10</v>
      </c>
      <c r="G59" s="38" t="str">
        <f t="shared" si="0"/>
        <v/>
      </c>
      <c r="H59" s="141" t="str">
        <f t="shared" si="1"/>
        <v/>
      </c>
      <c r="J59" s="141" t="str">
        <f t="shared" si="2"/>
        <v/>
      </c>
      <c r="K59" s="141" t="str">
        <f t="shared" si="3"/>
        <v/>
      </c>
      <c r="L59" s="141" t="str">
        <f t="shared" si="4"/>
        <v/>
      </c>
    </row>
    <row r="60" spans="1:12" x14ac:dyDescent="0.3">
      <c r="A60" s="2" t="str">
        <f xml:space="preserve"> IF( 'From SvanPC++'!A60= "", "", ('From SvanPC++'!A60))</f>
        <v/>
      </c>
      <c r="C60" s="6" t="s">
        <v>10</v>
      </c>
      <c r="G60" s="38" t="str">
        <f t="shared" si="0"/>
        <v/>
      </c>
      <c r="H60" s="141" t="str">
        <f t="shared" si="1"/>
        <v/>
      </c>
      <c r="J60" s="141" t="str">
        <f t="shared" si="2"/>
        <v/>
      </c>
      <c r="K60" s="141" t="str">
        <f t="shared" si="3"/>
        <v/>
      </c>
      <c r="L60" s="141" t="str">
        <f t="shared" si="4"/>
        <v/>
      </c>
    </row>
    <row r="61" spans="1:12" x14ac:dyDescent="0.3">
      <c r="A61" s="2" t="str">
        <f xml:space="preserve"> IF( 'From SvanPC++'!A61= "", "", ('From SvanPC++'!A61))</f>
        <v/>
      </c>
      <c r="C61" s="6" t="s">
        <v>10</v>
      </c>
      <c r="G61" s="38" t="str">
        <f t="shared" si="0"/>
        <v/>
      </c>
      <c r="H61" s="141" t="str">
        <f t="shared" si="1"/>
        <v/>
      </c>
      <c r="J61" s="141" t="str">
        <f t="shared" si="2"/>
        <v/>
      </c>
      <c r="K61" s="141" t="str">
        <f t="shared" si="3"/>
        <v/>
      </c>
      <c r="L61" s="141" t="str">
        <f t="shared" si="4"/>
        <v/>
      </c>
    </row>
    <row r="62" spans="1:12" x14ac:dyDescent="0.3">
      <c r="A62" s="2" t="str">
        <f xml:space="preserve"> IF( 'From SvanPC++'!A62= "", "", ('From SvanPC++'!A62))</f>
        <v/>
      </c>
      <c r="C62" s="6" t="s">
        <v>10</v>
      </c>
      <c r="G62" s="38" t="str">
        <f t="shared" si="0"/>
        <v/>
      </c>
      <c r="H62" s="141" t="str">
        <f t="shared" si="1"/>
        <v/>
      </c>
      <c r="J62" s="141" t="str">
        <f t="shared" si="2"/>
        <v/>
      </c>
      <c r="K62" s="141" t="str">
        <f t="shared" si="3"/>
        <v/>
      </c>
      <c r="L62" s="141" t="str">
        <f t="shared" si="4"/>
        <v/>
      </c>
    </row>
    <row r="63" spans="1:12" x14ac:dyDescent="0.3">
      <c r="A63" s="2" t="str">
        <f xml:space="preserve"> IF( 'From SvanPC++'!A63= "", "", ('From SvanPC++'!A63))</f>
        <v/>
      </c>
      <c r="C63" s="6" t="s">
        <v>10</v>
      </c>
      <c r="G63" s="38" t="str">
        <f t="shared" si="0"/>
        <v/>
      </c>
      <c r="H63" s="141" t="str">
        <f t="shared" si="1"/>
        <v/>
      </c>
      <c r="J63" s="141" t="str">
        <f t="shared" si="2"/>
        <v/>
      </c>
      <c r="K63" s="141" t="str">
        <f t="shared" si="3"/>
        <v/>
      </c>
      <c r="L63" s="141" t="str">
        <f t="shared" si="4"/>
        <v/>
      </c>
    </row>
    <row r="64" spans="1:12" x14ac:dyDescent="0.3">
      <c r="A64" s="2" t="str">
        <f xml:space="preserve"> IF( 'From SvanPC++'!A64= "", "", ('From SvanPC++'!A64))</f>
        <v/>
      </c>
      <c r="C64" s="6" t="s">
        <v>10</v>
      </c>
      <c r="G64" s="38" t="str">
        <f t="shared" si="0"/>
        <v/>
      </c>
      <c r="H64" s="141" t="str">
        <f t="shared" si="1"/>
        <v/>
      </c>
      <c r="J64" s="141" t="str">
        <f t="shared" si="2"/>
        <v/>
      </c>
      <c r="K64" s="141" t="str">
        <f t="shared" si="3"/>
        <v/>
      </c>
      <c r="L64" s="141" t="str">
        <f t="shared" si="4"/>
        <v/>
      </c>
    </row>
    <row r="65" spans="1:12" x14ac:dyDescent="0.3">
      <c r="A65" s="2" t="str">
        <f xml:space="preserve"> IF( 'From SvanPC++'!A65= "", "", ('From SvanPC++'!A65))</f>
        <v/>
      </c>
      <c r="C65" s="6" t="s">
        <v>10</v>
      </c>
      <c r="G65" s="38" t="str">
        <f t="shared" si="0"/>
        <v/>
      </c>
      <c r="H65" s="141" t="str">
        <f t="shared" si="1"/>
        <v/>
      </c>
      <c r="J65" s="141" t="str">
        <f t="shared" si="2"/>
        <v/>
      </c>
      <c r="K65" s="141" t="str">
        <f t="shared" si="3"/>
        <v/>
      </c>
      <c r="L65" s="141" t="str">
        <f t="shared" si="4"/>
        <v/>
      </c>
    </row>
    <row r="66" spans="1:12" x14ac:dyDescent="0.3">
      <c r="A66" s="2" t="str">
        <f xml:space="preserve"> IF( 'From SvanPC++'!A66= "", "", ('From SvanPC++'!A66))</f>
        <v/>
      </c>
      <c r="C66" s="6" t="s">
        <v>10</v>
      </c>
      <c r="G66" s="38" t="str">
        <f t="shared" si="0"/>
        <v/>
      </c>
      <c r="H66" s="141" t="str">
        <f t="shared" si="1"/>
        <v/>
      </c>
      <c r="J66" s="141" t="str">
        <f t="shared" si="2"/>
        <v/>
      </c>
      <c r="K66" s="141" t="str">
        <f t="shared" si="3"/>
        <v/>
      </c>
      <c r="L66" s="141" t="str">
        <f t="shared" si="4"/>
        <v/>
      </c>
    </row>
    <row r="67" spans="1:12" x14ac:dyDescent="0.3">
      <c r="A67" s="2" t="str">
        <f xml:space="preserve"> IF( 'From SvanPC++'!A67= "", "", ('From SvanPC++'!A67))</f>
        <v/>
      </c>
      <c r="C67" s="6" t="s">
        <v>10</v>
      </c>
      <c r="G67" s="38" t="str">
        <f t="shared" si="0"/>
        <v/>
      </c>
      <c r="H67" s="141" t="str">
        <f t="shared" si="1"/>
        <v/>
      </c>
      <c r="J67" s="141" t="str">
        <f t="shared" si="2"/>
        <v/>
      </c>
      <c r="K67" s="141" t="str">
        <f t="shared" si="3"/>
        <v/>
      </c>
      <c r="L67" s="141" t="str">
        <f t="shared" si="4"/>
        <v/>
      </c>
    </row>
    <row r="68" spans="1:12" x14ac:dyDescent="0.3">
      <c r="A68" s="2" t="str">
        <f xml:space="preserve"> IF( 'From SvanPC++'!A68= "", "", ('From SvanPC++'!A68))</f>
        <v/>
      </c>
      <c r="C68" s="6" t="s">
        <v>10</v>
      </c>
      <c r="G68" s="38" t="str">
        <f t="shared" si="0"/>
        <v/>
      </c>
      <c r="H68" s="141" t="str">
        <f t="shared" si="1"/>
        <v/>
      </c>
      <c r="J68" s="141" t="str">
        <f t="shared" si="2"/>
        <v/>
      </c>
      <c r="K68" s="141" t="str">
        <f t="shared" si="3"/>
        <v/>
      </c>
      <c r="L68" s="141" t="str">
        <f t="shared" si="4"/>
        <v/>
      </c>
    </row>
    <row r="69" spans="1:12" x14ac:dyDescent="0.3">
      <c r="A69" s="2" t="str">
        <f xml:space="preserve"> IF( 'From SvanPC++'!A69= "", "", ('From SvanPC++'!A69))</f>
        <v/>
      </c>
      <c r="C69" s="6" t="s">
        <v>10</v>
      </c>
      <c r="G69" s="38" t="str">
        <f t="shared" si="0"/>
        <v/>
      </c>
      <c r="H69" s="141" t="str">
        <f t="shared" si="1"/>
        <v/>
      </c>
      <c r="J69" s="141" t="str">
        <f t="shared" si="2"/>
        <v/>
      </c>
      <c r="K69" s="141" t="str">
        <f t="shared" si="3"/>
        <v/>
      </c>
      <c r="L69" s="141" t="str">
        <f t="shared" si="4"/>
        <v/>
      </c>
    </row>
    <row r="70" spans="1:12" x14ac:dyDescent="0.3">
      <c r="A70" s="2" t="str">
        <f xml:space="preserve"> IF( 'From SvanPC++'!A70= "", "", ('From SvanPC++'!A70))</f>
        <v/>
      </c>
      <c r="C70" s="6" t="s">
        <v>10</v>
      </c>
      <c r="G70" s="38" t="str">
        <f t="shared" si="0"/>
        <v/>
      </c>
      <c r="H70" s="141" t="str">
        <f t="shared" si="1"/>
        <v/>
      </c>
      <c r="J70" s="141" t="str">
        <f t="shared" si="2"/>
        <v/>
      </c>
      <c r="K70" s="141" t="str">
        <f t="shared" si="3"/>
        <v/>
      </c>
      <c r="L70" s="141" t="str">
        <f t="shared" si="4"/>
        <v/>
      </c>
    </row>
    <row r="71" spans="1:12" x14ac:dyDescent="0.3">
      <c r="A71" s="2" t="str">
        <f xml:space="preserve"> IF( 'From SvanPC++'!A71= "", "", ('From SvanPC++'!A71))</f>
        <v/>
      </c>
      <c r="C71" s="6" t="s">
        <v>10</v>
      </c>
      <c r="G71" s="38" t="str">
        <f t="shared" ref="G71:G134" si="5" xml:space="preserve"> IF( D71= "", "", ( IF( AND( D71 &gt;= TIMEVALUE( "07:00:01" ), D71 &lt; TIMEVALUE( "08:00:01" ) ) = TRUE, (G70+1), (G70+0) )))</f>
        <v/>
      </c>
      <c r="H71" s="141" t="str">
        <f t="shared" ref="H71:H134" si="6" xml:space="preserve"> IF( D71= "", "", (
IF( AND( D71 &gt;= TIMEVALUE( "07:00:01" ), D71 &lt;= TIMEVALUE( "18:00:00" ), WEEKDAY( C71,1+N("            Weekday Day Period              ")) &gt;=2, ( WEEKDAY( C71,1) &lt;=6) ) = TRUE, "Day",
IF( AND( D71 &gt;= TIMEVALUE( "18:00:01" ), D71 &lt;= TIMEVALUE( "22:00:00" ), WEEKDAY( C71,1+N("            Weekday Evening Period          ")) &gt;=2, ( WEEKDAY( C71,1) &lt;=6) ) = TRUE, "Evening",
IF( AND( D71 &gt;= TIMEVALUE( "22:00:01" ), D71 &lt;= TIMEVALUE( "23:59:59" ), WEEKDAY( C71,1+N("            Weekday Night Period            ")) &gt;=2, ( WEEKDAY( C71,1) &lt;=6) ) = TRUE, "Night",
IF( AND( D71 &gt;= TIMEVALUE( "00:00:00" ), D71 &lt;= TIMEVALUE( "07:00:00" ), WEEKDAY( C71,1+N("            Weekday Night Period            ")) &gt;=2, ( WEEKDAY( C71,1) &lt;=6) ) = TRUE, "Night",
IF( AND( D71 &gt;= TIMEVALUE( "07:00:01" ), D71 &lt;= TIMEVALUE( "18:00:00" ), WEEKDAY( C71) =(7+N("         Saturday Day Period             ")) ) = TRUE, "Day",
IF( AND( D71 &gt;= TIMEVALUE( "18:00:01" ), D71 &lt;= TIMEVALUE( "22:00:00" ), WEEKDAY( C71) =(7+N("         Saturday Evening Period         ")) ) = TRUE, "Evening",
IF( AND( D71 &gt;= TIMEVALUE( "22:00:01" ), D71 &lt;= TIMEVALUE( "23:59:59" ), WEEKDAY( C71) =(7+N("         Saturday Night Period           ")) ) = TRUE, "Night",
IF( AND( D71 &gt;= TIMEVALUE( "00:00:00" ), D71 &lt;= TIMEVALUE( "07:00:00" ), WEEKDAY( C71) =(7+N("         Saturday Night Period           ")) ) = TRUE, "Night",
IF( AND( D71 &gt;= TIMEVALUE( "07:00:01" ), D71 &lt;= TIMEVALUE( "22:00:00" ), WEEKDAY( C71) =(1+N("         Sunday Evening Period           ")) ) = TRUE, "Evening",
IF( AND( D71 &gt;= TIMEVALUE( "20:00:01" ), D71 &lt;= TIMEVALUE( "23:59:59" ), WEEKDAY( C71) =(1+N("         Sunday Night Period             ")) ) = TRUE, "Night",
IF( AND( D71 &gt;= TIMEVALUE( "00:00:00" ), D71 &lt;= TIMEVALUE( "07:00:00" ), WEEKDAY( C71) =(1+N("         Sunday Night Period             ")) ) = TRUE, "Night",
)))))))))))))</f>
        <v/>
      </c>
      <c r="J71" s="141" t="str">
        <f t="shared" si="2"/>
        <v/>
      </c>
      <c r="K71" s="141" t="str">
        <f t="shared" si="3"/>
        <v/>
      </c>
      <c r="L71" s="141" t="str">
        <f t="shared" si="4"/>
        <v/>
      </c>
    </row>
    <row r="72" spans="1:12" x14ac:dyDescent="0.3">
      <c r="A72" s="2" t="str">
        <f xml:space="preserve"> IF( 'From SvanPC++'!A72= "", "", ('From SvanPC++'!A72))</f>
        <v/>
      </c>
      <c r="C72" s="6" t="s">
        <v>10</v>
      </c>
      <c r="G72" s="38" t="str">
        <f t="shared" si="5"/>
        <v/>
      </c>
      <c r="H72" s="141" t="str">
        <f t="shared" si="6"/>
        <v/>
      </c>
      <c r="J72" s="141" t="str">
        <f t="shared" ref="J72:J135" si="7" xml:space="preserve"> IF( ISERROR( IF( D72= "", "", ( IF( G72= (G71+1), ( AVERAGEIFS( E72:E216, G72:G216, G72, H72:H216, "Day" )), "" )))), "",( IF( D72= "", "", ( IF( G72= (G71+1), ( AVERAGEIFS( E72:E216, G72:G216, G72, H72:H216, "Day" )), "" )))))</f>
        <v/>
      </c>
      <c r="K72" s="141" t="str">
        <f t="shared" ref="K72:K135" si="8" xml:space="preserve"> IF( ISERROR( IF( D72= "", "", ( IF( G72= (G71+1), ( AVERAGEIFS( E72:E216, G72:G216, G72, H72:H216, "Evening" )), "" )))), "",( IF( D72= "", "", ( IF( G72= (G71+1), ( AVERAGEIFS( E72:E216, G72:G216, G72, H72:H216, "Evening" )), "" )))))</f>
        <v/>
      </c>
      <c r="L72" s="141" t="str">
        <f t="shared" ref="L72:L135" si="9" xml:space="preserve"> IF( ISERROR( IF( D72= "", "", ( IF( G72= (G71+1), ( AVERAGEIFS( E72:E216, G72:G216, G72, H72:H216, "Night" )), "" )))), "",( IF( D72= "", "", ( IF( G72= (G71+1), ( AVERAGEIFS( E72:E216, G72:G216, G72, H72:H216, "Night" )), "" )))))</f>
        <v/>
      </c>
    </row>
    <row r="73" spans="1:12" x14ac:dyDescent="0.3">
      <c r="A73" s="2" t="str">
        <f xml:space="preserve"> IF( 'From SvanPC++'!A73= "", "", ('From SvanPC++'!A73))</f>
        <v/>
      </c>
      <c r="C73" s="6" t="s">
        <v>10</v>
      </c>
      <c r="G73" s="38" t="str">
        <f t="shared" si="5"/>
        <v/>
      </c>
      <c r="H73" s="141" t="str">
        <f t="shared" si="6"/>
        <v/>
      </c>
      <c r="J73" s="141" t="str">
        <f t="shared" si="7"/>
        <v/>
      </c>
      <c r="K73" s="141" t="str">
        <f t="shared" si="8"/>
        <v/>
      </c>
      <c r="L73" s="141" t="str">
        <f t="shared" si="9"/>
        <v/>
      </c>
    </row>
    <row r="74" spans="1:12" x14ac:dyDescent="0.3">
      <c r="A74" s="2" t="str">
        <f xml:space="preserve"> IF( 'From SvanPC++'!A74= "", "", ('From SvanPC++'!A74))</f>
        <v/>
      </c>
      <c r="C74" s="6" t="s">
        <v>10</v>
      </c>
      <c r="G74" s="38" t="str">
        <f t="shared" si="5"/>
        <v/>
      </c>
      <c r="H74" s="141" t="str">
        <f t="shared" si="6"/>
        <v/>
      </c>
      <c r="J74" s="141" t="str">
        <f t="shared" si="7"/>
        <v/>
      </c>
      <c r="K74" s="141" t="str">
        <f t="shared" si="8"/>
        <v/>
      </c>
      <c r="L74" s="141" t="str">
        <f t="shared" si="9"/>
        <v/>
      </c>
    </row>
    <row r="75" spans="1:12" x14ac:dyDescent="0.3">
      <c r="A75" s="2" t="str">
        <f xml:space="preserve"> IF( 'From SvanPC++'!A75= "", "", ('From SvanPC++'!A75))</f>
        <v/>
      </c>
      <c r="C75" s="6" t="s">
        <v>10</v>
      </c>
      <c r="G75" s="38" t="str">
        <f t="shared" si="5"/>
        <v/>
      </c>
      <c r="H75" s="141" t="str">
        <f t="shared" si="6"/>
        <v/>
      </c>
      <c r="J75" s="141" t="str">
        <f t="shared" si="7"/>
        <v/>
      </c>
      <c r="K75" s="141" t="str">
        <f t="shared" si="8"/>
        <v/>
      </c>
      <c r="L75" s="141" t="str">
        <f t="shared" si="9"/>
        <v/>
      </c>
    </row>
    <row r="76" spans="1:12" x14ac:dyDescent="0.3">
      <c r="A76" s="2" t="str">
        <f xml:space="preserve"> IF( 'From SvanPC++'!A76= "", "", ('From SvanPC++'!A76))</f>
        <v/>
      </c>
      <c r="C76" s="6" t="s">
        <v>10</v>
      </c>
      <c r="G76" s="38" t="str">
        <f t="shared" si="5"/>
        <v/>
      </c>
      <c r="H76" s="141" t="str">
        <f t="shared" si="6"/>
        <v/>
      </c>
      <c r="J76" s="141" t="str">
        <f t="shared" si="7"/>
        <v/>
      </c>
      <c r="K76" s="141" t="str">
        <f t="shared" si="8"/>
        <v/>
      </c>
      <c r="L76" s="141" t="str">
        <f t="shared" si="9"/>
        <v/>
      </c>
    </row>
    <row r="77" spans="1:12" x14ac:dyDescent="0.3">
      <c r="A77" s="2" t="str">
        <f xml:space="preserve"> IF( 'From SvanPC++'!A77= "", "", ('From SvanPC++'!A77))</f>
        <v/>
      </c>
      <c r="C77" s="6" t="s">
        <v>10</v>
      </c>
      <c r="G77" s="38" t="str">
        <f t="shared" si="5"/>
        <v/>
      </c>
      <c r="H77" s="141" t="str">
        <f t="shared" si="6"/>
        <v/>
      </c>
      <c r="J77" s="141" t="str">
        <f t="shared" si="7"/>
        <v/>
      </c>
      <c r="K77" s="141" t="str">
        <f t="shared" si="8"/>
        <v/>
      </c>
      <c r="L77" s="141" t="str">
        <f t="shared" si="9"/>
        <v/>
      </c>
    </row>
    <row r="78" spans="1:12" x14ac:dyDescent="0.3">
      <c r="A78" s="2" t="str">
        <f xml:space="preserve"> IF( 'From SvanPC++'!A78= "", "", ('From SvanPC++'!A78))</f>
        <v/>
      </c>
      <c r="C78" s="6" t="s">
        <v>10</v>
      </c>
      <c r="G78" s="38" t="str">
        <f t="shared" si="5"/>
        <v/>
      </c>
      <c r="H78" s="141" t="str">
        <f t="shared" si="6"/>
        <v/>
      </c>
      <c r="J78" s="141" t="str">
        <f t="shared" si="7"/>
        <v/>
      </c>
      <c r="K78" s="141" t="str">
        <f t="shared" si="8"/>
        <v/>
      </c>
      <c r="L78" s="141" t="str">
        <f t="shared" si="9"/>
        <v/>
      </c>
    </row>
    <row r="79" spans="1:12" x14ac:dyDescent="0.3">
      <c r="A79" s="2" t="str">
        <f xml:space="preserve"> IF( 'From SvanPC++'!A79= "", "", ('From SvanPC++'!A79))</f>
        <v/>
      </c>
      <c r="C79" s="6" t="s">
        <v>10</v>
      </c>
      <c r="G79" s="38" t="str">
        <f t="shared" si="5"/>
        <v/>
      </c>
      <c r="H79" s="141" t="str">
        <f t="shared" si="6"/>
        <v/>
      </c>
      <c r="J79" s="141" t="str">
        <f t="shared" si="7"/>
        <v/>
      </c>
      <c r="K79" s="141" t="str">
        <f t="shared" si="8"/>
        <v/>
      </c>
      <c r="L79" s="141" t="str">
        <f t="shared" si="9"/>
        <v/>
      </c>
    </row>
    <row r="80" spans="1:12" x14ac:dyDescent="0.3">
      <c r="A80" s="2" t="str">
        <f xml:space="preserve"> IF( 'From SvanPC++'!A80= "", "", ('From SvanPC++'!A80))</f>
        <v/>
      </c>
      <c r="C80" s="6" t="s">
        <v>10</v>
      </c>
      <c r="G80" s="38" t="str">
        <f t="shared" si="5"/>
        <v/>
      </c>
      <c r="H80" s="141" t="str">
        <f t="shared" si="6"/>
        <v/>
      </c>
      <c r="J80" s="141" t="str">
        <f t="shared" si="7"/>
        <v/>
      </c>
      <c r="K80" s="141" t="str">
        <f t="shared" si="8"/>
        <v/>
      </c>
      <c r="L80" s="141" t="str">
        <f t="shared" si="9"/>
        <v/>
      </c>
    </row>
    <row r="81" spans="1:12" x14ac:dyDescent="0.3">
      <c r="A81" s="2" t="str">
        <f xml:space="preserve"> IF( 'From SvanPC++'!A81= "", "", ('From SvanPC++'!A81))</f>
        <v/>
      </c>
      <c r="C81" s="6" t="s">
        <v>10</v>
      </c>
      <c r="G81" s="38" t="str">
        <f t="shared" si="5"/>
        <v/>
      </c>
      <c r="H81" s="141" t="str">
        <f t="shared" si="6"/>
        <v/>
      </c>
      <c r="J81" s="141" t="str">
        <f t="shared" si="7"/>
        <v/>
      </c>
      <c r="K81" s="141" t="str">
        <f t="shared" si="8"/>
        <v/>
      </c>
      <c r="L81" s="141" t="str">
        <f t="shared" si="9"/>
        <v/>
      </c>
    </row>
    <row r="82" spans="1:12" x14ac:dyDescent="0.3">
      <c r="A82" s="2" t="str">
        <f xml:space="preserve"> IF( 'From SvanPC++'!A82= "", "", ('From SvanPC++'!A82))</f>
        <v/>
      </c>
      <c r="C82" s="6" t="s">
        <v>10</v>
      </c>
      <c r="G82" s="38" t="str">
        <f t="shared" si="5"/>
        <v/>
      </c>
      <c r="H82" s="141" t="str">
        <f t="shared" si="6"/>
        <v/>
      </c>
      <c r="J82" s="141" t="str">
        <f t="shared" si="7"/>
        <v/>
      </c>
      <c r="K82" s="141" t="str">
        <f t="shared" si="8"/>
        <v/>
      </c>
      <c r="L82" s="141" t="str">
        <f t="shared" si="9"/>
        <v/>
      </c>
    </row>
    <row r="83" spans="1:12" x14ac:dyDescent="0.3">
      <c r="A83" s="2" t="str">
        <f xml:space="preserve"> IF( 'From SvanPC++'!A83= "", "", ('From SvanPC++'!A83))</f>
        <v/>
      </c>
      <c r="C83" s="6" t="s">
        <v>10</v>
      </c>
      <c r="G83" s="38" t="str">
        <f t="shared" si="5"/>
        <v/>
      </c>
      <c r="H83" s="141" t="str">
        <f t="shared" si="6"/>
        <v/>
      </c>
      <c r="J83" s="141" t="str">
        <f t="shared" si="7"/>
        <v/>
      </c>
      <c r="K83" s="141" t="str">
        <f t="shared" si="8"/>
        <v/>
      </c>
      <c r="L83" s="141" t="str">
        <f t="shared" si="9"/>
        <v/>
      </c>
    </row>
    <row r="84" spans="1:12" x14ac:dyDescent="0.3">
      <c r="A84" s="2" t="str">
        <f xml:space="preserve"> IF( 'From SvanPC++'!A84= "", "", ('From SvanPC++'!A84))</f>
        <v/>
      </c>
      <c r="C84" s="6" t="s">
        <v>10</v>
      </c>
      <c r="G84" s="38" t="str">
        <f t="shared" si="5"/>
        <v/>
      </c>
      <c r="H84" s="141" t="str">
        <f t="shared" si="6"/>
        <v/>
      </c>
      <c r="J84" s="141" t="str">
        <f t="shared" si="7"/>
        <v/>
      </c>
      <c r="K84" s="141" t="str">
        <f t="shared" si="8"/>
        <v/>
      </c>
      <c r="L84" s="141" t="str">
        <f t="shared" si="9"/>
        <v/>
      </c>
    </row>
    <row r="85" spans="1:12" x14ac:dyDescent="0.3">
      <c r="A85" s="2" t="str">
        <f xml:space="preserve"> IF( 'From SvanPC++'!A85= "", "", ('From SvanPC++'!A85))</f>
        <v/>
      </c>
      <c r="C85" s="6" t="s">
        <v>10</v>
      </c>
      <c r="G85" s="38" t="str">
        <f t="shared" si="5"/>
        <v/>
      </c>
      <c r="H85" s="141" t="str">
        <f t="shared" si="6"/>
        <v/>
      </c>
      <c r="J85" s="141" t="str">
        <f t="shared" si="7"/>
        <v/>
      </c>
      <c r="K85" s="141" t="str">
        <f t="shared" si="8"/>
        <v/>
      </c>
      <c r="L85" s="141" t="str">
        <f t="shared" si="9"/>
        <v/>
      </c>
    </row>
    <row r="86" spans="1:12" x14ac:dyDescent="0.3">
      <c r="A86" s="2" t="str">
        <f xml:space="preserve"> IF( 'From SvanPC++'!A86= "", "", ('From SvanPC++'!A86))</f>
        <v/>
      </c>
      <c r="C86" s="6" t="s">
        <v>10</v>
      </c>
      <c r="G86" s="38" t="str">
        <f t="shared" si="5"/>
        <v/>
      </c>
      <c r="H86" s="141" t="str">
        <f t="shared" si="6"/>
        <v/>
      </c>
      <c r="J86" s="141" t="str">
        <f t="shared" si="7"/>
        <v/>
      </c>
      <c r="K86" s="141" t="str">
        <f t="shared" si="8"/>
        <v/>
      </c>
      <c r="L86" s="141" t="str">
        <f t="shared" si="9"/>
        <v/>
      </c>
    </row>
    <row r="87" spans="1:12" x14ac:dyDescent="0.3">
      <c r="A87" s="2" t="str">
        <f xml:space="preserve"> IF( 'From SvanPC++'!A87= "", "", ('From SvanPC++'!A87))</f>
        <v/>
      </c>
      <c r="C87" s="6" t="s">
        <v>10</v>
      </c>
      <c r="G87" s="38" t="str">
        <f t="shared" si="5"/>
        <v/>
      </c>
      <c r="H87" s="141" t="str">
        <f t="shared" si="6"/>
        <v/>
      </c>
      <c r="J87" s="141" t="str">
        <f t="shared" si="7"/>
        <v/>
      </c>
      <c r="K87" s="141" t="str">
        <f t="shared" si="8"/>
        <v/>
      </c>
      <c r="L87" s="141" t="str">
        <f t="shared" si="9"/>
        <v/>
      </c>
    </row>
    <row r="88" spans="1:12" x14ac:dyDescent="0.3">
      <c r="A88" s="2" t="str">
        <f xml:space="preserve"> IF( 'From SvanPC++'!A88= "", "", ('From SvanPC++'!A88))</f>
        <v/>
      </c>
      <c r="C88" s="6" t="s">
        <v>10</v>
      </c>
      <c r="G88" s="38" t="str">
        <f t="shared" si="5"/>
        <v/>
      </c>
      <c r="H88" s="141" t="str">
        <f t="shared" si="6"/>
        <v/>
      </c>
      <c r="J88" s="141" t="str">
        <f t="shared" si="7"/>
        <v/>
      </c>
      <c r="K88" s="141" t="str">
        <f t="shared" si="8"/>
        <v/>
      </c>
      <c r="L88" s="141" t="str">
        <f t="shared" si="9"/>
        <v/>
      </c>
    </row>
    <row r="89" spans="1:12" x14ac:dyDescent="0.3">
      <c r="A89" s="2" t="str">
        <f xml:space="preserve"> IF( 'From SvanPC++'!A89= "", "", ('From SvanPC++'!A89))</f>
        <v/>
      </c>
      <c r="C89" s="6" t="s">
        <v>10</v>
      </c>
      <c r="G89" s="38" t="str">
        <f t="shared" si="5"/>
        <v/>
      </c>
      <c r="H89" s="141" t="str">
        <f t="shared" si="6"/>
        <v/>
      </c>
      <c r="J89" s="141" t="str">
        <f t="shared" si="7"/>
        <v/>
      </c>
      <c r="K89" s="141" t="str">
        <f t="shared" si="8"/>
        <v/>
      </c>
      <c r="L89" s="141" t="str">
        <f t="shared" si="9"/>
        <v/>
      </c>
    </row>
    <row r="90" spans="1:12" x14ac:dyDescent="0.3">
      <c r="A90" s="2" t="str">
        <f xml:space="preserve"> IF( 'From SvanPC++'!A90= "", "", ('From SvanPC++'!A90))</f>
        <v/>
      </c>
      <c r="C90" s="6" t="s">
        <v>10</v>
      </c>
      <c r="G90" s="38" t="str">
        <f t="shared" si="5"/>
        <v/>
      </c>
      <c r="H90" s="141" t="str">
        <f t="shared" si="6"/>
        <v/>
      </c>
      <c r="J90" s="141" t="str">
        <f t="shared" si="7"/>
        <v/>
      </c>
      <c r="K90" s="141" t="str">
        <f t="shared" si="8"/>
        <v/>
      </c>
      <c r="L90" s="141" t="str">
        <f t="shared" si="9"/>
        <v/>
      </c>
    </row>
    <row r="91" spans="1:12" x14ac:dyDescent="0.3">
      <c r="A91" s="2" t="str">
        <f xml:space="preserve"> IF( 'From SvanPC++'!A91= "", "", ('From SvanPC++'!A91))</f>
        <v/>
      </c>
      <c r="C91" s="6" t="s">
        <v>10</v>
      </c>
      <c r="G91" s="38" t="str">
        <f t="shared" si="5"/>
        <v/>
      </c>
      <c r="H91" s="141" t="str">
        <f t="shared" si="6"/>
        <v/>
      </c>
      <c r="J91" s="141" t="str">
        <f t="shared" si="7"/>
        <v/>
      </c>
      <c r="K91" s="141" t="str">
        <f t="shared" si="8"/>
        <v/>
      </c>
      <c r="L91" s="141" t="str">
        <f t="shared" si="9"/>
        <v/>
      </c>
    </row>
    <row r="92" spans="1:12" x14ac:dyDescent="0.3">
      <c r="A92" s="2" t="str">
        <f xml:space="preserve"> IF( 'From SvanPC++'!A92= "", "", ('From SvanPC++'!A92))</f>
        <v/>
      </c>
      <c r="C92" s="6" t="s">
        <v>10</v>
      </c>
      <c r="G92" s="38" t="str">
        <f t="shared" si="5"/>
        <v/>
      </c>
      <c r="H92" s="141" t="str">
        <f t="shared" si="6"/>
        <v/>
      </c>
      <c r="J92" s="141" t="str">
        <f t="shared" si="7"/>
        <v/>
      </c>
      <c r="K92" s="141" t="str">
        <f t="shared" si="8"/>
        <v/>
      </c>
      <c r="L92" s="141" t="str">
        <f t="shared" si="9"/>
        <v/>
      </c>
    </row>
    <row r="93" spans="1:12" x14ac:dyDescent="0.3">
      <c r="A93" s="2" t="str">
        <f xml:space="preserve"> IF( 'From SvanPC++'!A93= "", "", ('From SvanPC++'!A93))</f>
        <v/>
      </c>
      <c r="C93" s="6" t="s">
        <v>10</v>
      </c>
      <c r="G93" s="38" t="str">
        <f t="shared" si="5"/>
        <v/>
      </c>
      <c r="H93" s="141" t="str">
        <f t="shared" si="6"/>
        <v/>
      </c>
      <c r="J93" s="141" t="str">
        <f t="shared" si="7"/>
        <v/>
      </c>
      <c r="K93" s="141" t="str">
        <f t="shared" si="8"/>
        <v/>
      </c>
      <c r="L93" s="141" t="str">
        <f t="shared" si="9"/>
        <v/>
      </c>
    </row>
    <row r="94" spans="1:12" x14ac:dyDescent="0.3">
      <c r="A94" s="2" t="str">
        <f xml:space="preserve"> IF( 'From SvanPC++'!A94= "", "", ('From SvanPC++'!A94))</f>
        <v/>
      </c>
      <c r="C94" s="6" t="s">
        <v>10</v>
      </c>
      <c r="G94" s="38" t="str">
        <f t="shared" si="5"/>
        <v/>
      </c>
      <c r="H94" s="141" t="str">
        <f t="shared" si="6"/>
        <v/>
      </c>
      <c r="J94" s="141" t="str">
        <f t="shared" si="7"/>
        <v/>
      </c>
      <c r="K94" s="141" t="str">
        <f t="shared" si="8"/>
        <v/>
      </c>
      <c r="L94" s="141" t="str">
        <f t="shared" si="9"/>
        <v/>
      </c>
    </row>
    <row r="95" spans="1:12" x14ac:dyDescent="0.3">
      <c r="A95" s="2" t="str">
        <f xml:space="preserve"> IF( 'From SvanPC++'!A95= "", "", ('From SvanPC++'!A95))</f>
        <v/>
      </c>
      <c r="C95" s="6" t="s">
        <v>10</v>
      </c>
      <c r="G95" s="38" t="str">
        <f t="shared" si="5"/>
        <v/>
      </c>
      <c r="H95" s="141" t="str">
        <f t="shared" si="6"/>
        <v/>
      </c>
      <c r="J95" s="141" t="str">
        <f t="shared" si="7"/>
        <v/>
      </c>
      <c r="K95" s="141" t="str">
        <f t="shared" si="8"/>
        <v/>
      </c>
      <c r="L95" s="141" t="str">
        <f t="shared" si="9"/>
        <v/>
      </c>
    </row>
    <row r="96" spans="1:12" x14ac:dyDescent="0.3">
      <c r="A96" s="2" t="str">
        <f xml:space="preserve"> IF( 'From SvanPC++'!A96= "", "", ('From SvanPC++'!A96))</f>
        <v/>
      </c>
      <c r="C96" s="6" t="s">
        <v>10</v>
      </c>
      <c r="G96" s="38" t="str">
        <f t="shared" si="5"/>
        <v/>
      </c>
      <c r="H96" s="141" t="str">
        <f t="shared" si="6"/>
        <v/>
      </c>
      <c r="J96" s="141" t="str">
        <f t="shared" si="7"/>
        <v/>
      </c>
      <c r="K96" s="141" t="str">
        <f t="shared" si="8"/>
        <v/>
      </c>
      <c r="L96" s="141" t="str">
        <f t="shared" si="9"/>
        <v/>
      </c>
    </row>
    <row r="97" spans="1:12" x14ac:dyDescent="0.3">
      <c r="A97" s="2" t="str">
        <f xml:space="preserve"> IF( 'From SvanPC++'!A97= "", "", ('From SvanPC++'!A97))</f>
        <v/>
      </c>
      <c r="C97" s="6" t="s">
        <v>10</v>
      </c>
      <c r="G97" s="38" t="str">
        <f t="shared" si="5"/>
        <v/>
      </c>
      <c r="H97" s="141" t="str">
        <f t="shared" si="6"/>
        <v/>
      </c>
      <c r="J97" s="141" t="str">
        <f t="shared" si="7"/>
        <v/>
      </c>
      <c r="K97" s="141" t="str">
        <f t="shared" si="8"/>
        <v/>
      </c>
      <c r="L97" s="141" t="str">
        <f t="shared" si="9"/>
        <v/>
      </c>
    </row>
    <row r="98" spans="1:12" x14ac:dyDescent="0.3">
      <c r="A98" s="2" t="str">
        <f xml:space="preserve"> IF( 'From SvanPC++'!A98= "", "", ('From SvanPC++'!A98))</f>
        <v/>
      </c>
      <c r="C98" s="6" t="s">
        <v>10</v>
      </c>
      <c r="G98" s="38" t="str">
        <f t="shared" si="5"/>
        <v/>
      </c>
      <c r="H98" s="141" t="str">
        <f t="shared" si="6"/>
        <v/>
      </c>
      <c r="J98" s="141" t="str">
        <f t="shared" si="7"/>
        <v/>
      </c>
      <c r="K98" s="141" t="str">
        <f t="shared" si="8"/>
        <v/>
      </c>
      <c r="L98" s="141" t="str">
        <f t="shared" si="9"/>
        <v/>
      </c>
    </row>
    <row r="99" spans="1:12" x14ac:dyDescent="0.3">
      <c r="A99" s="2" t="str">
        <f xml:space="preserve"> IF( 'From SvanPC++'!A99= "", "", ('From SvanPC++'!A99))</f>
        <v/>
      </c>
      <c r="C99" s="6" t="s">
        <v>10</v>
      </c>
      <c r="G99" s="38" t="str">
        <f t="shared" si="5"/>
        <v/>
      </c>
      <c r="H99" s="141" t="str">
        <f t="shared" si="6"/>
        <v/>
      </c>
      <c r="J99" s="141" t="str">
        <f t="shared" si="7"/>
        <v/>
      </c>
      <c r="K99" s="141" t="str">
        <f t="shared" si="8"/>
        <v/>
      </c>
      <c r="L99" s="141" t="str">
        <f t="shared" si="9"/>
        <v/>
      </c>
    </row>
    <row r="100" spans="1:12" x14ac:dyDescent="0.3">
      <c r="A100" s="2" t="str">
        <f xml:space="preserve"> IF( 'From SvanPC++'!A100= "", "", ('From SvanPC++'!A100))</f>
        <v/>
      </c>
      <c r="C100" s="6" t="s">
        <v>10</v>
      </c>
      <c r="G100" s="38" t="str">
        <f t="shared" si="5"/>
        <v/>
      </c>
      <c r="H100" s="141" t="str">
        <f t="shared" si="6"/>
        <v/>
      </c>
      <c r="J100" s="141" t="str">
        <f t="shared" si="7"/>
        <v/>
      </c>
      <c r="K100" s="141" t="str">
        <f t="shared" si="8"/>
        <v/>
      </c>
      <c r="L100" s="141" t="str">
        <f t="shared" si="9"/>
        <v/>
      </c>
    </row>
    <row r="101" spans="1:12" x14ac:dyDescent="0.3">
      <c r="A101" s="2" t="str">
        <f xml:space="preserve"> IF( 'From SvanPC++'!A101= "", "", ('From SvanPC++'!A101))</f>
        <v/>
      </c>
      <c r="C101" s="6" t="s">
        <v>10</v>
      </c>
      <c r="G101" s="38" t="str">
        <f t="shared" si="5"/>
        <v/>
      </c>
      <c r="H101" s="141" t="str">
        <f t="shared" si="6"/>
        <v/>
      </c>
      <c r="J101" s="141" t="str">
        <f t="shared" si="7"/>
        <v/>
      </c>
      <c r="K101" s="141" t="str">
        <f t="shared" si="8"/>
        <v/>
      </c>
      <c r="L101" s="141" t="str">
        <f t="shared" si="9"/>
        <v/>
      </c>
    </row>
    <row r="102" spans="1:12" x14ac:dyDescent="0.3">
      <c r="A102" s="2" t="str">
        <f xml:space="preserve"> IF( 'From SvanPC++'!A102= "", "", ('From SvanPC++'!A102))</f>
        <v/>
      </c>
      <c r="C102" s="6" t="s">
        <v>10</v>
      </c>
      <c r="G102" s="38" t="str">
        <f t="shared" si="5"/>
        <v/>
      </c>
      <c r="H102" s="141" t="str">
        <f t="shared" si="6"/>
        <v/>
      </c>
      <c r="J102" s="141" t="str">
        <f t="shared" si="7"/>
        <v/>
      </c>
      <c r="K102" s="141" t="str">
        <f t="shared" si="8"/>
        <v/>
      </c>
      <c r="L102" s="141" t="str">
        <f t="shared" si="9"/>
        <v/>
      </c>
    </row>
    <row r="103" spans="1:12" x14ac:dyDescent="0.3">
      <c r="A103" s="2" t="str">
        <f xml:space="preserve"> IF( 'From SvanPC++'!A103= "", "", ('From SvanPC++'!A103))</f>
        <v/>
      </c>
      <c r="C103" s="6" t="s">
        <v>10</v>
      </c>
      <c r="G103" s="38" t="str">
        <f t="shared" si="5"/>
        <v/>
      </c>
      <c r="H103" s="141" t="str">
        <f t="shared" si="6"/>
        <v/>
      </c>
      <c r="J103" s="141" t="str">
        <f t="shared" si="7"/>
        <v/>
      </c>
      <c r="K103" s="141" t="str">
        <f t="shared" si="8"/>
        <v/>
      </c>
      <c r="L103" s="141" t="str">
        <f t="shared" si="9"/>
        <v/>
      </c>
    </row>
    <row r="104" spans="1:12" x14ac:dyDescent="0.3">
      <c r="A104" s="2" t="str">
        <f xml:space="preserve"> IF( 'From SvanPC++'!A104= "", "", ('From SvanPC++'!A104))</f>
        <v/>
      </c>
      <c r="C104" s="6" t="s">
        <v>10</v>
      </c>
      <c r="G104" s="38" t="str">
        <f t="shared" si="5"/>
        <v/>
      </c>
      <c r="H104" s="141" t="str">
        <f t="shared" si="6"/>
        <v/>
      </c>
      <c r="J104" s="141" t="str">
        <f t="shared" si="7"/>
        <v/>
      </c>
      <c r="K104" s="141" t="str">
        <f t="shared" si="8"/>
        <v/>
      </c>
      <c r="L104" s="141" t="str">
        <f t="shared" si="9"/>
        <v/>
      </c>
    </row>
    <row r="105" spans="1:12" x14ac:dyDescent="0.3">
      <c r="A105" s="2" t="str">
        <f xml:space="preserve"> IF( 'From SvanPC++'!A105= "", "", ('From SvanPC++'!A105))</f>
        <v/>
      </c>
      <c r="C105" s="6" t="s">
        <v>10</v>
      </c>
      <c r="G105" s="38" t="str">
        <f t="shared" si="5"/>
        <v/>
      </c>
      <c r="H105" s="141" t="str">
        <f t="shared" si="6"/>
        <v/>
      </c>
      <c r="J105" s="141" t="str">
        <f t="shared" si="7"/>
        <v/>
      </c>
      <c r="K105" s="141" t="str">
        <f t="shared" si="8"/>
        <v/>
      </c>
      <c r="L105" s="141" t="str">
        <f t="shared" si="9"/>
        <v/>
      </c>
    </row>
    <row r="106" spans="1:12" x14ac:dyDescent="0.3">
      <c r="A106" s="2" t="str">
        <f xml:space="preserve"> IF( 'From SvanPC++'!A106= "", "", ('From SvanPC++'!A106))</f>
        <v/>
      </c>
      <c r="C106" s="6" t="s">
        <v>10</v>
      </c>
      <c r="G106" s="38" t="str">
        <f t="shared" si="5"/>
        <v/>
      </c>
      <c r="H106" s="141" t="str">
        <f t="shared" si="6"/>
        <v/>
      </c>
      <c r="J106" s="141" t="str">
        <f t="shared" si="7"/>
        <v/>
      </c>
      <c r="K106" s="141" t="str">
        <f t="shared" si="8"/>
        <v/>
      </c>
      <c r="L106" s="141" t="str">
        <f t="shared" si="9"/>
        <v/>
      </c>
    </row>
    <row r="107" spans="1:12" x14ac:dyDescent="0.3">
      <c r="A107" s="2" t="str">
        <f xml:space="preserve"> IF( 'From SvanPC++'!A107= "", "", ('From SvanPC++'!A107))</f>
        <v/>
      </c>
      <c r="C107" s="6" t="s">
        <v>10</v>
      </c>
      <c r="G107" s="38" t="str">
        <f t="shared" si="5"/>
        <v/>
      </c>
      <c r="H107" s="141" t="str">
        <f t="shared" si="6"/>
        <v/>
      </c>
      <c r="J107" s="141" t="str">
        <f t="shared" si="7"/>
        <v/>
      </c>
      <c r="K107" s="141" t="str">
        <f t="shared" si="8"/>
        <v/>
      </c>
      <c r="L107" s="141" t="str">
        <f t="shared" si="9"/>
        <v/>
      </c>
    </row>
    <row r="108" spans="1:12" x14ac:dyDescent="0.3">
      <c r="A108" s="2" t="str">
        <f xml:space="preserve"> IF( 'From SvanPC++'!A108= "", "", ('From SvanPC++'!A108))</f>
        <v/>
      </c>
      <c r="C108" s="6" t="s">
        <v>10</v>
      </c>
      <c r="G108" s="38" t="str">
        <f t="shared" si="5"/>
        <v/>
      </c>
      <c r="H108" s="141" t="str">
        <f t="shared" si="6"/>
        <v/>
      </c>
      <c r="J108" s="141" t="str">
        <f t="shared" si="7"/>
        <v/>
      </c>
      <c r="K108" s="141" t="str">
        <f t="shared" si="8"/>
        <v/>
      </c>
      <c r="L108" s="141" t="str">
        <f t="shared" si="9"/>
        <v/>
      </c>
    </row>
    <row r="109" spans="1:12" x14ac:dyDescent="0.3">
      <c r="A109" s="2" t="str">
        <f xml:space="preserve"> IF( 'From SvanPC++'!A109= "", "", ('From SvanPC++'!A109))</f>
        <v/>
      </c>
      <c r="C109" s="6" t="s">
        <v>10</v>
      </c>
      <c r="G109" s="38" t="str">
        <f t="shared" si="5"/>
        <v/>
      </c>
      <c r="H109" s="141" t="str">
        <f t="shared" si="6"/>
        <v/>
      </c>
      <c r="J109" s="141" t="str">
        <f t="shared" si="7"/>
        <v/>
      </c>
      <c r="K109" s="141" t="str">
        <f t="shared" si="8"/>
        <v/>
      </c>
      <c r="L109" s="141" t="str">
        <f t="shared" si="9"/>
        <v/>
      </c>
    </row>
    <row r="110" spans="1:12" x14ac:dyDescent="0.3">
      <c r="A110" s="2" t="str">
        <f xml:space="preserve"> IF( 'From SvanPC++'!A110= "", "", ('From SvanPC++'!A110))</f>
        <v/>
      </c>
      <c r="C110" s="6" t="s">
        <v>10</v>
      </c>
      <c r="G110" s="38" t="str">
        <f t="shared" si="5"/>
        <v/>
      </c>
      <c r="H110" s="141" t="str">
        <f t="shared" si="6"/>
        <v/>
      </c>
      <c r="J110" s="141" t="str">
        <f t="shared" si="7"/>
        <v/>
      </c>
      <c r="K110" s="141" t="str">
        <f t="shared" si="8"/>
        <v/>
      </c>
      <c r="L110" s="141" t="str">
        <f t="shared" si="9"/>
        <v/>
      </c>
    </row>
    <row r="111" spans="1:12" x14ac:dyDescent="0.3">
      <c r="A111" s="2" t="str">
        <f xml:space="preserve"> IF( 'From SvanPC++'!A111= "", "", ('From SvanPC++'!A111))</f>
        <v/>
      </c>
      <c r="C111" s="6" t="s">
        <v>10</v>
      </c>
      <c r="G111" s="38" t="str">
        <f t="shared" si="5"/>
        <v/>
      </c>
      <c r="H111" s="141" t="str">
        <f t="shared" si="6"/>
        <v/>
      </c>
      <c r="J111" s="141" t="str">
        <f t="shared" si="7"/>
        <v/>
      </c>
      <c r="K111" s="141" t="str">
        <f t="shared" si="8"/>
        <v/>
      </c>
      <c r="L111" s="141" t="str">
        <f t="shared" si="9"/>
        <v/>
      </c>
    </row>
    <row r="112" spans="1:12" x14ac:dyDescent="0.3">
      <c r="A112" s="2" t="str">
        <f xml:space="preserve"> IF( 'From SvanPC++'!A112= "", "", ('From SvanPC++'!A112))</f>
        <v/>
      </c>
      <c r="C112" s="6" t="s">
        <v>10</v>
      </c>
      <c r="G112" s="38" t="str">
        <f t="shared" si="5"/>
        <v/>
      </c>
      <c r="H112" s="141" t="str">
        <f t="shared" si="6"/>
        <v/>
      </c>
      <c r="J112" s="141" t="str">
        <f t="shared" si="7"/>
        <v/>
      </c>
      <c r="K112" s="141" t="str">
        <f t="shared" si="8"/>
        <v/>
      </c>
      <c r="L112" s="141" t="str">
        <f t="shared" si="9"/>
        <v/>
      </c>
    </row>
    <row r="113" spans="1:12" x14ac:dyDescent="0.3">
      <c r="A113" s="2" t="str">
        <f xml:space="preserve"> IF( 'From SvanPC++'!A113= "", "", ('From SvanPC++'!A113))</f>
        <v/>
      </c>
      <c r="C113" s="6" t="s">
        <v>10</v>
      </c>
      <c r="G113" s="38" t="str">
        <f t="shared" si="5"/>
        <v/>
      </c>
      <c r="H113" s="141" t="str">
        <f t="shared" si="6"/>
        <v/>
      </c>
      <c r="J113" s="141" t="str">
        <f t="shared" si="7"/>
        <v/>
      </c>
      <c r="K113" s="141" t="str">
        <f t="shared" si="8"/>
        <v/>
      </c>
      <c r="L113" s="141" t="str">
        <f t="shared" si="9"/>
        <v/>
      </c>
    </row>
    <row r="114" spans="1:12" x14ac:dyDescent="0.3">
      <c r="A114" s="2" t="str">
        <f xml:space="preserve"> IF( 'From SvanPC++'!A114= "", "", ('From SvanPC++'!A114))</f>
        <v/>
      </c>
      <c r="C114" s="6" t="s">
        <v>10</v>
      </c>
      <c r="G114" s="38" t="str">
        <f t="shared" si="5"/>
        <v/>
      </c>
      <c r="H114" s="141" t="str">
        <f t="shared" si="6"/>
        <v/>
      </c>
      <c r="J114" s="141" t="str">
        <f t="shared" si="7"/>
        <v/>
      </c>
      <c r="K114" s="141" t="str">
        <f t="shared" si="8"/>
        <v/>
      </c>
      <c r="L114" s="141" t="str">
        <f t="shared" si="9"/>
        <v/>
      </c>
    </row>
    <row r="115" spans="1:12" x14ac:dyDescent="0.3">
      <c r="A115" s="2" t="str">
        <f xml:space="preserve"> IF( 'From SvanPC++'!A115= "", "", ('From SvanPC++'!A115))</f>
        <v/>
      </c>
      <c r="C115" s="6" t="s">
        <v>10</v>
      </c>
      <c r="G115" s="38" t="str">
        <f t="shared" si="5"/>
        <v/>
      </c>
      <c r="H115" s="141" t="str">
        <f t="shared" si="6"/>
        <v/>
      </c>
      <c r="J115" s="141" t="str">
        <f t="shared" si="7"/>
        <v/>
      </c>
      <c r="K115" s="141" t="str">
        <f t="shared" si="8"/>
        <v/>
      </c>
      <c r="L115" s="141" t="str">
        <f t="shared" si="9"/>
        <v/>
      </c>
    </row>
    <row r="116" spans="1:12" x14ac:dyDescent="0.3">
      <c r="A116" s="2" t="str">
        <f xml:space="preserve"> IF( 'From SvanPC++'!A116= "", "", ('From SvanPC++'!A116))</f>
        <v/>
      </c>
      <c r="C116" s="6" t="s">
        <v>10</v>
      </c>
      <c r="G116" s="38" t="str">
        <f t="shared" si="5"/>
        <v/>
      </c>
      <c r="H116" s="141" t="str">
        <f t="shared" si="6"/>
        <v/>
      </c>
      <c r="J116" s="141" t="str">
        <f t="shared" si="7"/>
        <v/>
      </c>
      <c r="K116" s="141" t="str">
        <f t="shared" si="8"/>
        <v/>
      </c>
      <c r="L116" s="141" t="str">
        <f t="shared" si="9"/>
        <v/>
      </c>
    </row>
    <row r="117" spans="1:12" x14ac:dyDescent="0.3">
      <c r="A117" s="2" t="str">
        <f xml:space="preserve"> IF( 'From SvanPC++'!A117= "", "", ('From SvanPC++'!A117))</f>
        <v/>
      </c>
      <c r="C117" s="6" t="s">
        <v>10</v>
      </c>
      <c r="G117" s="38" t="str">
        <f t="shared" si="5"/>
        <v/>
      </c>
      <c r="H117" s="141" t="str">
        <f t="shared" si="6"/>
        <v/>
      </c>
      <c r="J117" s="141" t="str">
        <f t="shared" si="7"/>
        <v/>
      </c>
      <c r="K117" s="141" t="str">
        <f t="shared" si="8"/>
        <v/>
      </c>
      <c r="L117" s="141" t="str">
        <f t="shared" si="9"/>
        <v/>
      </c>
    </row>
    <row r="118" spans="1:12" x14ac:dyDescent="0.3">
      <c r="A118" s="2" t="str">
        <f xml:space="preserve"> IF( 'From SvanPC++'!A118= "", "", ('From SvanPC++'!A118))</f>
        <v/>
      </c>
      <c r="C118" s="6" t="s">
        <v>10</v>
      </c>
      <c r="G118" s="38" t="str">
        <f t="shared" si="5"/>
        <v/>
      </c>
      <c r="H118" s="141" t="str">
        <f t="shared" si="6"/>
        <v/>
      </c>
      <c r="J118" s="141" t="str">
        <f t="shared" si="7"/>
        <v/>
      </c>
      <c r="K118" s="141" t="str">
        <f t="shared" si="8"/>
        <v/>
      </c>
      <c r="L118" s="141" t="str">
        <f t="shared" si="9"/>
        <v/>
      </c>
    </row>
    <row r="119" spans="1:12" x14ac:dyDescent="0.3">
      <c r="A119" s="2" t="str">
        <f xml:space="preserve"> IF( 'From SvanPC++'!A119= "", "", ('From SvanPC++'!A119))</f>
        <v/>
      </c>
      <c r="C119" s="6" t="s">
        <v>10</v>
      </c>
      <c r="G119" s="38" t="str">
        <f t="shared" si="5"/>
        <v/>
      </c>
      <c r="H119" s="141" t="str">
        <f t="shared" si="6"/>
        <v/>
      </c>
      <c r="J119" s="141" t="str">
        <f t="shared" si="7"/>
        <v/>
      </c>
      <c r="K119" s="141" t="str">
        <f t="shared" si="8"/>
        <v/>
      </c>
      <c r="L119" s="141" t="str">
        <f t="shared" si="9"/>
        <v/>
      </c>
    </row>
    <row r="120" spans="1:12" x14ac:dyDescent="0.3">
      <c r="A120" s="2" t="str">
        <f xml:space="preserve"> IF( 'From SvanPC++'!A120= "", "", ('From SvanPC++'!A120))</f>
        <v/>
      </c>
      <c r="C120" s="6" t="s">
        <v>10</v>
      </c>
      <c r="G120" s="38" t="str">
        <f t="shared" si="5"/>
        <v/>
      </c>
      <c r="H120" s="141" t="str">
        <f t="shared" si="6"/>
        <v/>
      </c>
      <c r="J120" s="141" t="str">
        <f t="shared" si="7"/>
        <v/>
      </c>
      <c r="K120" s="141" t="str">
        <f t="shared" si="8"/>
        <v/>
      </c>
      <c r="L120" s="141" t="str">
        <f t="shared" si="9"/>
        <v/>
      </c>
    </row>
    <row r="121" spans="1:12" x14ac:dyDescent="0.3">
      <c r="A121" s="2" t="str">
        <f xml:space="preserve"> IF( 'From SvanPC++'!A121= "", "", ('From SvanPC++'!A121))</f>
        <v/>
      </c>
      <c r="C121" s="6" t="s">
        <v>10</v>
      </c>
      <c r="G121" s="38" t="str">
        <f t="shared" si="5"/>
        <v/>
      </c>
      <c r="H121" s="141" t="str">
        <f t="shared" si="6"/>
        <v/>
      </c>
      <c r="J121" s="141" t="str">
        <f t="shared" si="7"/>
        <v/>
      </c>
      <c r="K121" s="141" t="str">
        <f t="shared" si="8"/>
        <v/>
      </c>
      <c r="L121" s="141" t="str">
        <f t="shared" si="9"/>
        <v/>
      </c>
    </row>
    <row r="122" spans="1:12" x14ac:dyDescent="0.3">
      <c r="A122" s="2" t="str">
        <f xml:space="preserve"> IF( 'From SvanPC++'!A122= "", "", ('From SvanPC++'!A122))</f>
        <v/>
      </c>
      <c r="C122" s="6" t="s">
        <v>10</v>
      </c>
      <c r="G122" s="38" t="str">
        <f t="shared" si="5"/>
        <v/>
      </c>
      <c r="H122" s="141" t="str">
        <f t="shared" si="6"/>
        <v/>
      </c>
      <c r="J122" s="141" t="str">
        <f t="shared" si="7"/>
        <v/>
      </c>
      <c r="K122" s="141" t="str">
        <f t="shared" si="8"/>
        <v/>
      </c>
      <c r="L122" s="141" t="str">
        <f t="shared" si="9"/>
        <v/>
      </c>
    </row>
    <row r="123" spans="1:12" x14ac:dyDescent="0.3">
      <c r="A123" s="2" t="str">
        <f xml:space="preserve"> IF( 'From SvanPC++'!A123= "", "", ('From SvanPC++'!A123))</f>
        <v/>
      </c>
      <c r="C123" s="6" t="s">
        <v>10</v>
      </c>
      <c r="G123" s="38" t="str">
        <f t="shared" si="5"/>
        <v/>
      </c>
      <c r="H123" s="141" t="str">
        <f t="shared" si="6"/>
        <v/>
      </c>
      <c r="J123" s="141" t="str">
        <f t="shared" si="7"/>
        <v/>
      </c>
      <c r="K123" s="141" t="str">
        <f t="shared" si="8"/>
        <v/>
      </c>
      <c r="L123" s="141" t="str">
        <f t="shared" si="9"/>
        <v/>
      </c>
    </row>
    <row r="124" spans="1:12" x14ac:dyDescent="0.3">
      <c r="A124" s="2" t="str">
        <f xml:space="preserve"> IF( 'From SvanPC++'!A124= "", "", ('From SvanPC++'!A124))</f>
        <v/>
      </c>
      <c r="C124" s="6" t="s">
        <v>10</v>
      </c>
      <c r="G124" s="38" t="str">
        <f t="shared" si="5"/>
        <v/>
      </c>
      <c r="H124" s="141" t="str">
        <f t="shared" si="6"/>
        <v/>
      </c>
      <c r="J124" s="141" t="str">
        <f t="shared" si="7"/>
        <v/>
      </c>
      <c r="K124" s="141" t="str">
        <f t="shared" si="8"/>
        <v/>
      </c>
      <c r="L124" s="141" t="str">
        <f t="shared" si="9"/>
        <v/>
      </c>
    </row>
    <row r="125" spans="1:12" x14ac:dyDescent="0.3">
      <c r="A125" s="2" t="str">
        <f xml:space="preserve"> IF( 'From SvanPC++'!A125= "", "", ('From SvanPC++'!A125))</f>
        <v/>
      </c>
      <c r="C125" s="6" t="s">
        <v>10</v>
      </c>
      <c r="G125" s="38" t="str">
        <f t="shared" si="5"/>
        <v/>
      </c>
      <c r="H125" s="141" t="str">
        <f t="shared" si="6"/>
        <v/>
      </c>
      <c r="J125" s="141" t="str">
        <f t="shared" si="7"/>
        <v/>
      </c>
      <c r="K125" s="141" t="str">
        <f t="shared" si="8"/>
        <v/>
      </c>
      <c r="L125" s="141" t="str">
        <f t="shared" si="9"/>
        <v/>
      </c>
    </row>
    <row r="126" spans="1:12" x14ac:dyDescent="0.3">
      <c r="A126" s="2" t="str">
        <f xml:space="preserve"> IF( 'From SvanPC++'!A126= "", "", ('From SvanPC++'!A126))</f>
        <v/>
      </c>
      <c r="C126" s="6" t="s">
        <v>10</v>
      </c>
      <c r="G126" s="38" t="str">
        <f t="shared" si="5"/>
        <v/>
      </c>
      <c r="H126" s="141" t="str">
        <f t="shared" si="6"/>
        <v/>
      </c>
      <c r="J126" s="141" t="str">
        <f t="shared" si="7"/>
        <v/>
      </c>
      <c r="K126" s="141" t="str">
        <f t="shared" si="8"/>
        <v/>
      </c>
      <c r="L126" s="141" t="str">
        <f t="shared" si="9"/>
        <v/>
      </c>
    </row>
    <row r="127" spans="1:12" x14ac:dyDescent="0.3">
      <c r="A127" s="2" t="str">
        <f xml:space="preserve"> IF( 'From SvanPC++'!A127= "", "", ('From SvanPC++'!A127))</f>
        <v/>
      </c>
      <c r="C127" s="6" t="s">
        <v>10</v>
      </c>
      <c r="G127" s="38" t="str">
        <f t="shared" si="5"/>
        <v/>
      </c>
      <c r="H127" s="141" t="str">
        <f t="shared" si="6"/>
        <v/>
      </c>
      <c r="J127" s="141" t="str">
        <f t="shared" si="7"/>
        <v/>
      </c>
      <c r="K127" s="141" t="str">
        <f t="shared" si="8"/>
        <v/>
      </c>
      <c r="L127" s="141" t="str">
        <f t="shared" si="9"/>
        <v/>
      </c>
    </row>
    <row r="128" spans="1:12" x14ac:dyDescent="0.3">
      <c r="A128" s="2" t="str">
        <f xml:space="preserve"> IF( 'From SvanPC++'!A128= "", "", ('From SvanPC++'!A128))</f>
        <v/>
      </c>
      <c r="C128" s="6" t="s">
        <v>10</v>
      </c>
      <c r="G128" s="38" t="str">
        <f t="shared" si="5"/>
        <v/>
      </c>
      <c r="H128" s="141" t="str">
        <f t="shared" si="6"/>
        <v/>
      </c>
      <c r="J128" s="141" t="str">
        <f t="shared" si="7"/>
        <v/>
      </c>
      <c r="K128" s="141" t="str">
        <f t="shared" si="8"/>
        <v/>
      </c>
      <c r="L128" s="141" t="str">
        <f t="shared" si="9"/>
        <v/>
      </c>
    </row>
    <row r="129" spans="1:12" x14ac:dyDescent="0.3">
      <c r="A129" s="2" t="str">
        <f xml:space="preserve"> IF( 'From SvanPC++'!A129= "", "", ('From SvanPC++'!A129))</f>
        <v/>
      </c>
      <c r="C129" s="6" t="s">
        <v>10</v>
      </c>
      <c r="G129" s="38" t="str">
        <f t="shared" si="5"/>
        <v/>
      </c>
      <c r="H129" s="141" t="str">
        <f t="shared" si="6"/>
        <v/>
      </c>
      <c r="J129" s="141" t="str">
        <f t="shared" si="7"/>
        <v/>
      </c>
      <c r="K129" s="141" t="str">
        <f t="shared" si="8"/>
        <v/>
      </c>
      <c r="L129" s="141" t="str">
        <f t="shared" si="9"/>
        <v/>
      </c>
    </row>
    <row r="130" spans="1:12" x14ac:dyDescent="0.3">
      <c r="A130" s="2" t="str">
        <f xml:space="preserve"> IF( 'From SvanPC++'!A130= "", "", ('From SvanPC++'!A130))</f>
        <v/>
      </c>
      <c r="C130" s="6" t="s">
        <v>10</v>
      </c>
      <c r="G130" s="38" t="str">
        <f t="shared" si="5"/>
        <v/>
      </c>
      <c r="H130" s="141" t="str">
        <f t="shared" si="6"/>
        <v/>
      </c>
      <c r="J130" s="141" t="str">
        <f t="shared" si="7"/>
        <v/>
      </c>
      <c r="K130" s="141" t="str">
        <f t="shared" si="8"/>
        <v/>
      </c>
      <c r="L130" s="141" t="str">
        <f t="shared" si="9"/>
        <v/>
      </c>
    </row>
    <row r="131" spans="1:12" x14ac:dyDescent="0.3">
      <c r="A131" s="2" t="str">
        <f xml:space="preserve"> IF( 'From SvanPC++'!A131= "", "", ('From SvanPC++'!A131))</f>
        <v/>
      </c>
      <c r="C131" s="6" t="s">
        <v>10</v>
      </c>
      <c r="G131" s="38" t="str">
        <f t="shared" si="5"/>
        <v/>
      </c>
      <c r="H131" s="141" t="str">
        <f t="shared" si="6"/>
        <v/>
      </c>
      <c r="J131" s="141" t="str">
        <f t="shared" si="7"/>
        <v/>
      </c>
      <c r="K131" s="141" t="str">
        <f t="shared" si="8"/>
        <v/>
      </c>
      <c r="L131" s="141" t="str">
        <f t="shared" si="9"/>
        <v/>
      </c>
    </row>
    <row r="132" spans="1:12" x14ac:dyDescent="0.3">
      <c r="A132" s="2" t="str">
        <f xml:space="preserve"> IF( 'From SvanPC++'!A132= "", "", ('From SvanPC++'!A132))</f>
        <v/>
      </c>
      <c r="C132" s="6" t="s">
        <v>10</v>
      </c>
      <c r="G132" s="38" t="str">
        <f t="shared" si="5"/>
        <v/>
      </c>
      <c r="H132" s="141" t="str">
        <f t="shared" si="6"/>
        <v/>
      </c>
      <c r="J132" s="141" t="str">
        <f t="shared" si="7"/>
        <v/>
      </c>
      <c r="K132" s="141" t="str">
        <f t="shared" si="8"/>
        <v/>
      </c>
      <c r="L132" s="141" t="str">
        <f t="shared" si="9"/>
        <v/>
      </c>
    </row>
    <row r="133" spans="1:12" x14ac:dyDescent="0.3">
      <c r="A133" s="2" t="str">
        <f xml:space="preserve"> IF( 'From SvanPC++'!A133= "", "", ('From SvanPC++'!A133))</f>
        <v/>
      </c>
      <c r="C133" s="6" t="s">
        <v>10</v>
      </c>
      <c r="G133" s="38" t="str">
        <f t="shared" si="5"/>
        <v/>
      </c>
      <c r="H133" s="141" t="str">
        <f t="shared" si="6"/>
        <v/>
      </c>
      <c r="J133" s="141" t="str">
        <f t="shared" si="7"/>
        <v/>
      </c>
      <c r="K133" s="141" t="str">
        <f t="shared" si="8"/>
        <v/>
      </c>
      <c r="L133" s="141" t="str">
        <f t="shared" si="9"/>
        <v/>
      </c>
    </row>
    <row r="134" spans="1:12" x14ac:dyDescent="0.3">
      <c r="A134" s="2" t="str">
        <f xml:space="preserve"> IF( 'From SvanPC++'!A134= "", "", ('From SvanPC++'!A134))</f>
        <v/>
      </c>
      <c r="C134" s="6" t="s">
        <v>10</v>
      </c>
      <c r="G134" s="38" t="str">
        <f t="shared" si="5"/>
        <v/>
      </c>
      <c r="H134" s="141" t="str">
        <f t="shared" si="6"/>
        <v/>
      </c>
      <c r="J134" s="141" t="str">
        <f t="shared" si="7"/>
        <v/>
      </c>
      <c r="K134" s="141" t="str">
        <f t="shared" si="8"/>
        <v/>
      </c>
      <c r="L134" s="141" t="str">
        <f t="shared" si="9"/>
        <v/>
      </c>
    </row>
    <row r="135" spans="1:12" x14ac:dyDescent="0.3">
      <c r="A135" s="2" t="str">
        <f xml:space="preserve"> IF( 'From SvanPC++'!A135= "", "", ('From SvanPC++'!A135))</f>
        <v/>
      </c>
      <c r="C135" s="6" t="s">
        <v>10</v>
      </c>
      <c r="G135" s="38" t="str">
        <f t="shared" ref="G135:G198" si="10" xml:space="preserve"> IF( D135= "", "", ( IF( AND( D135 &gt;= TIMEVALUE( "07:00:01" ), D135 &lt; TIMEVALUE( "08:00:01" ) ) = TRUE, (G134+1), (G134+0) )))</f>
        <v/>
      </c>
      <c r="H135" s="141" t="str">
        <f t="shared" ref="H135:H198" si="11" xml:space="preserve"> IF( D135= "", "", (
IF( AND( D135 &gt;= TIMEVALUE( "07:00:01" ), D135 &lt;= TIMEVALUE( "18:00:00" ), WEEKDAY( C135,1+N("            Weekday Day Period              ")) &gt;=2, ( WEEKDAY( C135,1) &lt;=6) ) = TRUE, "Day",
IF( AND( D135 &gt;= TIMEVALUE( "18:00:01" ), D135 &lt;= TIMEVALUE( "22:00:00" ), WEEKDAY( C135,1+N("            Weekday Evening Period          ")) &gt;=2, ( WEEKDAY( C135,1) &lt;=6) ) = TRUE, "Evening",
IF( AND( D135 &gt;= TIMEVALUE( "22:00:01" ), D135 &lt;= TIMEVALUE( "23:59:59" ), WEEKDAY( C135,1+N("            Weekday Night Period            ")) &gt;=2, ( WEEKDAY( C135,1) &lt;=6) ) = TRUE, "Night",
IF( AND( D135 &gt;= TIMEVALUE( "00:00:00" ), D135 &lt;= TIMEVALUE( "07:00:00" ), WEEKDAY( C135,1+N("            Weekday Night Period            ")) &gt;=2, ( WEEKDAY( C135,1) &lt;=6) ) = TRUE, "Night",
IF( AND( D135 &gt;= TIMEVALUE( "07:00:01" ), D135 &lt;= TIMEVALUE( "18:00:00" ), WEEKDAY( C135) =(7+N("         Saturday Day Period             ")) ) = TRUE, "Day",
IF( AND( D135 &gt;= TIMEVALUE( "18:00:01" ), D135 &lt;= TIMEVALUE( "22:00:00" ), WEEKDAY( C135) =(7+N("         Saturday Evening Period         ")) ) = TRUE, "Evening",
IF( AND( D135 &gt;= TIMEVALUE( "22:00:01" ), D135 &lt;= TIMEVALUE( "23:59:59" ), WEEKDAY( C135) =(7+N("         Saturday Night Period           ")) ) = TRUE, "Night",
IF( AND( D135 &gt;= TIMEVALUE( "00:00:00" ), D135 &lt;= TIMEVALUE( "07:00:00" ), WEEKDAY( C135) =(7+N("         Saturday Night Period           ")) ) = TRUE, "Night",
IF( AND( D135 &gt;= TIMEVALUE( "07:00:01" ), D135 &lt;= TIMEVALUE( "22:00:00" ), WEEKDAY( C135) =(1+N("         Sunday Evening Period           ")) ) = TRUE, "Evening",
IF( AND( D135 &gt;= TIMEVALUE( "20:00:01" ), D135 &lt;= TIMEVALUE( "23:59:59" ), WEEKDAY( C135) =(1+N("         Sunday Night Period             ")) ) = TRUE, "Night",
IF( AND( D135 &gt;= TIMEVALUE( "00:00:00" ), D135 &lt;= TIMEVALUE( "07:00:00" ), WEEKDAY( C135) =(1+N("         Sunday Night Period             ")) ) = TRUE, "Night",
)))))))))))))</f>
        <v/>
      </c>
      <c r="J135" s="141" t="str">
        <f t="shared" si="7"/>
        <v/>
      </c>
      <c r="K135" s="141" t="str">
        <f t="shared" si="8"/>
        <v/>
      </c>
      <c r="L135" s="141" t="str">
        <f t="shared" si="9"/>
        <v/>
      </c>
    </row>
    <row r="136" spans="1:12" x14ac:dyDescent="0.3">
      <c r="A136" s="2" t="str">
        <f xml:space="preserve"> IF( 'From SvanPC++'!A136= "", "", ('From SvanPC++'!A136))</f>
        <v/>
      </c>
      <c r="C136" s="6" t="s">
        <v>10</v>
      </c>
      <c r="G136" s="38" t="str">
        <f t="shared" si="10"/>
        <v/>
      </c>
      <c r="H136" s="141" t="str">
        <f t="shared" si="11"/>
        <v/>
      </c>
      <c r="J136" s="141" t="str">
        <f t="shared" ref="J136:J199" si="12" xml:space="preserve"> IF( ISERROR( IF( D136= "", "", ( IF( G136= (G135+1), ( AVERAGEIFS( E136:E280, G136:G280, G136, H136:H280, "Day" )), "" )))), "",( IF( D136= "", "", ( IF( G136= (G135+1), ( AVERAGEIFS( E136:E280, G136:G280, G136, H136:H280, "Day" )), "" )))))</f>
        <v/>
      </c>
      <c r="K136" s="141" t="str">
        <f t="shared" ref="K136:K199" si="13" xml:space="preserve"> IF( ISERROR( IF( D136= "", "", ( IF( G136= (G135+1), ( AVERAGEIFS( E136:E280, G136:G280, G136, H136:H280, "Evening" )), "" )))), "",( IF( D136= "", "", ( IF( G136= (G135+1), ( AVERAGEIFS( E136:E280, G136:G280, G136, H136:H280, "Evening" )), "" )))))</f>
        <v/>
      </c>
      <c r="L136" s="141" t="str">
        <f t="shared" ref="L136:L199" si="14" xml:space="preserve"> IF( ISERROR( IF( D136= "", "", ( IF( G136= (G135+1), ( AVERAGEIFS( E136:E280, G136:G280, G136, H136:H280, "Night" )), "" )))), "",( IF( D136= "", "", ( IF( G136= (G135+1), ( AVERAGEIFS( E136:E280, G136:G280, G136, H136:H280, "Night" )), "" )))))</f>
        <v/>
      </c>
    </row>
    <row r="137" spans="1:12" x14ac:dyDescent="0.3">
      <c r="A137" s="2" t="str">
        <f xml:space="preserve"> IF( 'From SvanPC++'!A137= "", "", ('From SvanPC++'!A137))</f>
        <v/>
      </c>
      <c r="C137" s="6" t="s">
        <v>10</v>
      </c>
      <c r="G137" s="38" t="str">
        <f t="shared" si="10"/>
        <v/>
      </c>
      <c r="H137" s="141" t="str">
        <f t="shared" si="11"/>
        <v/>
      </c>
      <c r="J137" s="141" t="str">
        <f t="shared" si="12"/>
        <v/>
      </c>
      <c r="K137" s="141" t="str">
        <f t="shared" si="13"/>
        <v/>
      </c>
      <c r="L137" s="141" t="str">
        <f t="shared" si="14"/>
        <v/>
      </c>
    </row>
    <row r="138" spans="1:12" x14ac:dyDescent="0.3">
      <c r="A138" s="2" t="str">
        <f xml:space="preserve"> IF( 'From SvanPC++'!A138= "", "", ('From SvanPC++'!A138))</f>
        <v/>
      </c>
      <c r="C138" s="6" t="s">
        <v>10</v>
      </c>
      <c r="G138" s="38" t="str">
        <f t="shared" si="10"/>
        <v/>
      </c>
      <c r="H138" s="141" t="str">
        <f t="shared" si="11"/>
        <v/>
      </c>
      <c r="J138" s="141" t="str">
        <f t="shared" si="12"/>
        <v/>
      </c>
      <c r="K138" s="141" t="str">
        <f t="shared" si="13"/>
        <v/>
      </c>
      <c r="L138" s="141" t="str">
        <f t="shared" si="14"/>
        <v/>
      </c>
    </row>
    <row r="139" spans="1:12" x14ac:dyDescent="0.3">
      <c r="A139" s="2" t="str">
        <f xml:space="preserve"> IF( 'From SvanPC++'!A139= "", "", ('From SvanPC++'!A139))</f>
        <v/>
      </c>
      <c r="C139" s="6" t="s">
        <v>10</v>
      </c>
      <c r="G139" s="38" t="str">
        <f t="shared" si="10"/>
        <v/>
      </c>
      <c r="H139" s="141" t="str">
        <f t="shared" si="11"/>
        <v/>
      </c>
      <c r="J139" s="141" t="str">
        <f t="shared" si="12"/>
        <v/>
      </c>
      <c r="K139" s="141" t="str">
        <f t="shared" si="13"/>
        <v/>
      </c>
      <c r="L139" s="141" t="str">
        <f t="shared" si="14"/>
        <v/>
      </c>
    </row>
    <row r="140" spans="1:12" x14ac:dyDescent="0.3">
      <c r="A140" s="2" t="str">
        <f xml:space="preserve"> IF( 'From SvanPC++'!A140= "", "", ('From SvanPC++'!A140))</f>
        <v/>
      </c>
      <c r="C140" s="6" t="s">
        <v>10</v>
      </c>
      <c r="G140" s="38" t="str">
        <f t="shared" si="10"/>
        <v/>
      </c>
      <c r="H140" s="141" t="str">
        <f t="shared" si="11"/>
        <v/>
      </c>
      <c r="J140" s="141" t="str">
        <f t="shared" si="12"/>
        <v/>
      </c>
      <c r="K140" s="141" t="str">
        <f t="shared" si="13"/>
        <v/>
      </c>
      <c r="L140" s="141" t="str">
        <f t="shared" si="14"/>
        <v/>
      </c>
    </row>
    <row r="141" spans="1:12" x14ac:dyDescent="0.3">
      <c r="A141" s="2" t="str">
        <f xml:space="preserve"> IF( 'From SvanPC++'!A141= "", "", ('From SvanPC++'!A141))</f>
        <v/>
      </c>
      <c r="C141" s="6" t="s">
        <v>10</v>
      </c>
      <c r="G141" s="38" t="str">
        <f t="shared" si="10"/>
        <v/>
      </c>
      <c r="H141" s="141" t="str">
        <f t="shared" si="11"/>
        <v/>
      </c>
      <c r="J141" s="141" t="str">
        <f t="shared" si="12"/>
        <v/>
      </c>
      <c r="K141" s="141" t="str">
        <f t="shared" si="13"/>
        <v/>
      </c>
      <c r="L141" s="141" t="str">
        <f t="shared" si="14"/>
        <v/>
      </c>
    </row>
    <row r="142" spans="1:12" x14ac:dyDescent="0.3">
      <c r="A142" s="2" t="str">
        <f xml:space="preserve"> IF( 'From SvanPC++'!A142= "", "", ('From SvanPC++'!A142))</f>
        <v/>
      </c>
      <c r="C142" s="6" t="s">
        <v>10</v>
      </c>
      <c r="G142" s="38" t="str">
        <f t="shared" si="10"/>
        <v/>
      </c>
      <c r="H142" s="141" t="str">
        <f t="shared" si="11"/>
        <v/>
      </c>
      <c r="J142" s="141" t="str">
        <f t="shared" si="12"/>
        <v/>
      </c>
      <c r="K142" s="141" t="str">
        <f t="shared" si="13"/>
        <v/>
      </c>
      <c r="L142" s="141" t="str">
        <f t="shared" si="14"/>
        <v/>
      </c>
    </row>
    <row r="143" spans="1:12" x14ac:dyDescent="0.3">
      <c r="A143" s="2" t="str">
        <f xml:space="preserve"> IF( 'From SvanPC++'!A143= "", "", ('From SvanPC++'!A143))</f>
        <v/>
      </c>
      <c r="C143" s="6" t="s">
        <v>10</v>
      </c>
      <c r="G143" s="38" t="str">
        <f t="shared" si="10"/>
        <v/>
      </c>
      <c r="H143" s="141" t="str">
        <f t="shared" si="11"/>
        <v/>
      </c>
      <c r="J143" s="141" t="str">
        <f t="shared" si="12"/>
        <v/>
      </c>
      <c r="K143" s="141" t="str">
        <f t="shared" si="13"/>
        <v/>
      </c>
      <c r="L143" s="141" t="str">
        <f t="shared" si="14"/>
        <v/>
      </c>
    </row>
    <row r="144" spans="1:12" x14ac:dyDescent="0.3">
      <c r="A144" s="2" t="str">
        <f xml:space="preserve"> IF( 'From SvanPC++'!A144= "", "", ('From SvanPC++'!A144))</f>
        <v/>
      </c>
      <c r="C144" s="6" t="s">
        <v>10</v>
      </c>
      <c r="G144" s="38" t="str">
        <f t="shared" si="10"/>
        <v/>
      </c>
      <c r="H144" s="141" t="str">
        <f t="shared" si="11"/>
        <v/>
      </c>
      <c r="J144" s="141" t="str">
        <f t="shared" si="12"/>
        <v/>
      </c>
      <c r="K144" s="141" t="str">
        <f t="shared" si="13"/>
        <v/>
      </c>
      <c r="L144" s="141" t="str">
        <f t="shared" si="14"/>
        <v/>
      </c>
    </row>
    <row r="145" spans="1:12" x14ac:dyDescent="0.3">
      <c r="A145" s="2" t="str">
        <f xml:space="preserve"> IF( 'From SvanPC++'!A145= "", "", ('From SvanPC++'!A145))</f>
        <v/>
      </c>
      <c r="C145" s="6" t="s">
        <v>10</v>
      </c>
      <c r="G145" s="38" t="str">
        <f t="shared" si="10"/>
        <v/>
      </c>
      <c r="H145" s="141" t="str">
        <f t="shared" si="11"/>
        <v/>
      </c>
      <c r="J145" s="141" t="str">
        <f t="shared" si="12"/>
        <v/>
      </c>
      <c r="K145" s="141" t="str">
        <f t="shared" si="13"/>
        <v/>
      </c>
      <c r="L145" s="141" t="str">
        <f t="shared" si="14"/>
        <v/>
      </c>
    </row>
    <row r="146" spans="1:12" x14ac:dyDescent="0.3">
      <c r="A146" s="2" t="str">
        <f xml:space="preserve"> IF( 'From SvanPC++'!A146= "", "", ('From SvanPC++'!A146))</f>
        <v/>
      </c>
      <c r="C146" s="6" t="s">
        <v>10</v>
      </c>
      <c r="G146" s="38" t="str">
        <f t="shared" si="10"/>
        <v/>
      </c>
      <c r="H146" s="141" t="str">
        <f t="shared" si="11"/>
        <v/>
      </c>
      <c r="J146" s="141" t="str">
        <f t="shared" si="12"/>
        <v/>
      </c>
      <c r="K146" s="141" t="str">
        <f t="shared" si="13"/>
        <v/>
      </c>
      <c r="L146" s="141" t="str">
        <f t="shared" si="14"/>
        <v/>
      </c>
    </row>
    <row r="147" spans="1:12" x14ac:dyDescent="0.3">
      <c r="A147" s="2" t="str">
        <f xml:space="preserve"> IF( 'From SvanPC++'!A147= "", "", ('From SvanPC++'!A147))</f>
        <v/>
      </c>
      <c r="C147" s="6" t="s">
        <v>10</v>
      </c>
      <c r="G147" s="38" t="str">
        <f t="shared" si="10"/>
        <v/>
      </c>
      <c r="H147" s="141" t="str">
        <f t="shared" si="11"/>
        <v/>
      </c>
      <c r="J147" s="141" t="str">
        <f t="shared" si="12"/>
        <v/>
      </c>
      <c r="K147" s="141" t="str">
        <f t="shared" si="13"/>
        <v/>
      </c>
      <c r="L147" s="141" t="str">
        <f t="shared" si="14"/>
        <v/>
      </c>
    </row>
    <row r="148" spans="1:12" x14ac:dyDescent="0.3">
      <c r="A148" s="2" t="str">
        <f xml:space="preserve"> IF( 'From SvanPC++'!A148= "", "", ('From SvanPC++'!A148))</f>
        <v/>
      </c>
      <c r="C148" s="6" t="s">
        <v>10</v>
      </c>
      <c r="G148" s="38" t="str">
        <f t="shared" si="10"/>
        <v/>
      </c>
      <c r="H148" s="141" t="str">
        <f t="shared" si="11"/>
        <v/>
      </c>
      <c r="J148" s="141" t="str">
        <f t="shared" si="12"/>
        <v/>
      </c>
      <c r="K148" s="141" t="str">
        <f t="shared" si="13"/>
        <v/>
      </c>
      <c r="L148" s="141" t="str">
        <f t="shared" si="14"/>
        <v/>
      </c>
    </row>
    <row r="149" spans="1:12" x14ac:dyDescent="0.3">
      <c r="A149" s="2" t="str">
        <f xml:space="preserve"> IF( 'From SvanPC++'!A149= "", "", ('From SvanPC++'!A149))</f>
        <v/>
      </c>
      <c r="C149" s="6" t="s">
        <v>10</v>
      </c>
      <c r="G149" s="38" t="str">
        <f t="shared" si="10"/>
        <v/>
      </c>
      <c r="H149" s="141" t="str">
        <f t="shared" si="11"/>
        <v/>
      </c>
      <c r="J149" s="141" t="str">
        <f t="shared" si="12"/>
        <v/>
      </c>
      <c r="K149" s="141" t="str">
        <f t="shared" si="13"/>
        <v/>
      </c>
      <c r="L149" s="141" t="str">
        <f t="shared" si="14"/>
        <v/>
      </c>
    </row>
    <row r="150" spans="1:12" x14ac:dyDescent="0.3">
      <c r="A150" s="2" t="str">
        <f xml:space="preserve"> IF( 'From SvanPC++'!A150= "", "", ('From SvanPC++'!A150))</f>
        <v/>
      </c>
      <c r="C150" s="6" t="s">
        <v>10</v>
      </c>
      <c r="G150" s="38" t="str">
        <f t="shared" si="10"/>
        <v/>
      </c>
      <c r="H150" s="141" t="str">
        <f t="shared" si="11"/>
        <v/>
      </c>
      <c r="J150" s="141" t="str">
        <f t="shared" si="12"/>
        <v/>
      </c>
      <c r="K150" s="141" t="str">
        <f t="shared" si="13"/>
        <v/>
      </c>
      <c r="L150" s="141" t="str">
        <f t="shared" si="14"/>
        <v/>
      </c>
    </row>
    <row r="151" spans="1:12" x14ac:dyDescent="0.3">
      <c r="A151" s="2" t="str">
        <f xml:space="preserve"> IF( 'From SvanPC++'!A151= "", "", ('From SvanPC++'!A151))</f>
        <v/>
      </c>
      <c r="C151" s="6" t="s">
        <v>10</v>
      </c>
      <c r="G151" s="38" t="str">
        <f t="shared" si="10"/>
        <v/>
      </c>
      <c r="H151" s="141" t="str">
        <f t="shared" si="11"/>
        <v/>
      </c>
      <c r="J151" s="141" t="str">
        <f t="shared" si="12"/>
        <v/>
      </c>
      <c r="K151" s="141" t="str">
        <f t="shared" si="13"/>
        <v/>
      </c>
      <c r="L151" s="141" t="str">
        <f t="shared" si="14"/>
        <v/>
      </c>
    </row>
    <row r="152" spans="1:12" x14ac:dyDescent="0.3">
      <c r="A152" s="2" t="str">
        <f xml:space="preserve"> IF( 'From SvanPC++'!A152= "", "", ('From SvanPC++'!A152))</f>
        <v/>
      </c>
      <c r="C152" s="6" t="s">
        <v>10</v>
      </c>
      <c r="G152" s="38" t="str">
        <f t="shared" si="10"/>
        <v/>
      </c>
      <c r="H152" s="141" t="str">
        <f t="shared" si="11"/>
        <v/>
      </c>
      <c r="J152" s="141" t="str">
        <f t="shared" si="12"/>
        <v/>
      </c>
      <c r="K152" s="141" t="str">
        <f t="shared" si="13"/>
        <v/>
      </c>
      <c r="L152" s="141" t="str">
        <f t="shared" si="14"/>
        <v/>
      </c>
    </row>
    <row r="153" spans="1:12" x14ac:dyDescent="0.3">
      <c r="A153" s="2" t="str">
        <f xml:space="preserve"> IF( 'From SvanPC++'!A153= "", "", ('From SvanPC++'!A153))</f>
        <v/>
      </c>
      <c r="C153" s="6" t="s">
        <v>10</v>
      </c>
      <c r="G153" s="38" t="str">
        <f t="shared" si="10"/>
        <v/>
      </c>
      <c r="H153" s="141" t="str">
        <f t="shared" si="11"/>
        <v/>
      </c>
      <c r="J153" s="141" t="str">
        <f t="shared" si="12"/>
        <v/>
      </c>
      <c r="K153" s="141" t="str">
        <f t="shared" si="13"/>
        <v/>
      </c>
      <c r="L153" s="141" t="str">
        <f t="shared" si="14"/>
        <v/>
      </c>
    </row>
    <row r="154" spans="1:12" x14ac:dyDescent="0.3">
      <c r="A154" s="2" t="str">
        <f xml:space="preserve"> IF( 'From SvanPC++'!A154= "", "", ('From SvanPC++'!A154))</f>
        <v/>
      </c>
      <c r="C154" s="6" t="s">
        <v>10</v>
      </c>
      <c r="G154" s="38" t="str">
        <f t="shared" si="10"/>
        <v/>
      </c>
      <c r="H154" s="141" t="str">
        <f t="shared" si="11"/>
        <v/>
      </c>
      <c r="J154" s="141" t="str">
        <f t="shared" si="12"/>
        <v/>
      </c>
      <c r="K154" s="141" t="str">
        <f t="shared" si="13"/>
        <v/>
      </c>
      <c r="L154" s="141" t="str">
        <f t="shared" si="14"/>
        <v/>
      </c>
    </row>
    <row r="155" spans="1:12" x14ac:dyDescent="0.3">
      <c r="A155" s="2" t="str">
        <f xml:space="preserve"> IF( 'From SvanPC++'!A155= "", "", ('From SvanPC++'!A155))</f>
        <v/>
      </c>
      <c r="C155" s="6" t="s">
        <v>10</v>
      </c>
      <c r="G155" s="38" t="str">
        <f t="shared" si="10"/>
        <v/>
      </c>
      <c r="H155" s="141" t="str">
        <f t="shared" si="11"/>
        <v/>
      </c>
      <c r="J155" s="141" t="str">
        <f t="shared" si="12"/>
        <v/>
      </c>
      <c r="K155" s="141" t="str">
        <f t="shared" si="13"/>
        <v/>
      </c>
      <c r="L155" s="141" t="str">
        <f t="shared" si="14"/>
        <v/>
      </c>
    </row>
    <row r="156" spans="1:12" x14ac:dyDescent="0.3">
      <c r="A156" s="2" t="str">
        <f xml:space="preserve"> IF( 'From SvanPC++'!A156= "", "", ('From SvanPC++'!A156))</f>
        <v/>
      </c>
      <c r="C156" s="6" t="s">
        <v>10</v>
      </c>
      <c r="G156" s="38" t="str">
        <f t="shared" si="10"/>
        <v/>
      </c>
      <c r="H156" s="141" t="str">
        <f t="shared" si="11"/>
        <v/>
      </c>
      <c r="J156" s="141" t="str">
        <f t="shared" si="12"/>
        <v/>
      </c>
      <c r="K156" s="141" t="str">
        <f t="shared" si="13"/>
        <v/>
      </c>
      <c r="L156" s="141" t="str">
        <f t="shared" si="14"/>
        <v/>
      </c>
    </row>
    <row r="157" spans="1:12" x14ac:dyDescent="0.3">
      <c r="A157" s="2" t="str">
        <f xml:space="preserve"> IF( 'From SvanPC++'!A157= "", "", ('From SvanPC++'!A157))</f>
        <v/>
      </c>
      <c r="C157" s="6" t="s">
        <v>10</v>
      </c>
      <c r="G157" s="38" t="str">
        <f t="shared" si="10"/>
        <v/>
      </c>
      <c r="H157" s="141" t="str">
        <f t="shared" si="11"/>
        <v/>
      </c>
      <c r="J157" s="141" t="str">
        <f t="shared" si="12"/>
        <v/>
      </c>
      <c r="K157" s="141" t="str">
        <f t="shared" si="13"/>
        <v/>
      </c>
      <c r="L157" s="141" t="str">
        <f t="shared" si="14"/>
        <v/>
      </c>
    </row>
    <row r="158" spans="1:12" x14ac:dyDescent="0.3">
      <c r="A158" s="2" t="str">
        <f xml:space="preserve"> IF( 'From SvanPC++'!A158= "", "", ('From SvanPC++'!A158))</f>
        <v/>
      </c>
      <c r="C158" s="6" t="s">
        <v>10</v>
      </c>
      <c r="G158" s="38" t="str">
        <f t="shared" si="10"/>
        <v/>
      </c>
      <c r="H158" s="141" t="str">
        <f t="shared" si="11"/>
        <v/>
      </c>
      <c r="J158" s="141" t="str">
        <f t="shared" si="12"/>
        <v/>
      </c>
      <c r="K158" s="141" t="str">
        <f t="shared" si="13"/>
        <v/>
      </c>
      <c r="L158" s="141" t="str">
        <f t="shared" si="14"/>
        <v/>
      </c>
    </row>
    <row r="159" spans="1:12" x14ac:dyDescent="0.3">
      <c r="A159" s="2" t="str">
        <f xml:space="preserve"> IF( 'From SvanPC++'!A159= "", "", ('From SvanPC++'!A159))</f>
        <v/>
      </c>
      <c r="C159" s="6" t="s">
        <v>10</v>
      </c>
      <c r="G159" s="38" t="str">
        <f t="shared" si="10"/>
        <v/>
      </c>
      <c r="H159" s="141" t="str">
        <f t="shared" si="11"/>
        <v/>
      </c>
      <c r="J159" s="141" t="str">
        <f t="shared" si="12"/>
        <v/>
      </c>
      <c r="K159" s="141" t="str">
        <f t="shared" si="13"/>
        <v/>
      </c>
      <c r="L159" s="141" t="str">
        <f t="shared" si="14"/>
        <v/>
      </c>
    </row>
    <row r="160" spans="1:12" x14ac:dyDescent="0.3">
      <c r="A160" s="2" t="str">
        <f xml:space="preserve"> IF( 'From SvanPC++'!A160= "", "", ('From SvanPC++'!A160))</f>
        <v/>
      </c>
      <c r="C160" s="6" t="s">
        <v>10</v>
      </c>
      <c r="G160" s="38" t="str">
        <f t="shared" si="10"/>
        <v/>
      </c>
      <c r="H160" s="141" t="str">
        <f t="shared" si="11"/>
        <v/>
      </c>
      <c r="J160" s="141" t="str">
        <f t="shared" si="12"/>
        <v/>
      </c>
      <c r="K160" s="141" t="str">
        <f t="shared" si="13"/>
        <v/>
      </c>
      <c r="L160" s="141" t="str">
        <f t="shared" si="14"/>
        <v/>
      </c>
    </row>
    <row r="161" spans="1:12" x14ac:dyDescent="0.3">
      <c r="A161" s="2" t="str">
        <f xml:space="preserve"> IF( 'From SvanPC++'!A161= "", "", ('From SvanPC++'!A161))</f>
        <v/>
      </c>
      <c r="C161" s="6" t="s">
        <v>10</v>
      </c>
      <c r="G161" s="38" t="str">
        <f t="shared" si="10"/>
        <v/>
      </c>
      <c r="H161" s="141" t="str">
        <f t="shared" si="11"/>
        <v/>
      </c>
      <c r="J161" s="141" t="str">
        <f t="shared" si="12"/>
        <v/>
      </c>
      <c r="K161" s="141" t="str">
        <f t="shared" si="13"/>
        <v/>
      </c>
      <c r="L161" s="141" t="str">
        <f t="shared" si="14"/>
        <v/>
      </c>
    </row>
    <row r="162" spans="1:12" x14ac:dyDescent="0.3">
      <c r="A162" s="2" t="str">
        <f xml:space="preserve"> IF( 'From SvanPC++'!A162= "", "", ('From SvanPC++'!A162))</f>
        <v/>
      </c>
      <c r="C162" s="6" t="s">
        <v>10</v>
      </c>
      <c r="G162" s="38" t="str">
        <f t="shared" si="10"/>
        <v/>
      </c>
      <c r="H162" s="141" t="str">
        <f t="shared" si="11"/>
        <v/>
      </c>
      <c r="J162" s="141" t="str">
        <f t="shared" si="12"/>
        <v/>
      </c>
      <c r="K162" s="141" t="str">
        <f t="shared" si="13"/>
        <v/>
      </c>
      <c r="L162" s="141" t="str">
        <f t="shared" si="14"/>
        <v/>
      </c>
    </row>
    <row r="163" spans="1:12" x14ac:dyDescent="0.3">
      <c r="A163" s="2" t="str">
        <f xml:space="preserve"> IF( 'From SvanPC++'!A163= "", "", ('From SvanPC++'!A163))</f>
        <v/>
      </c>
      <c r="C163" s="6" t="s">
        <v>10</v>
      </c>
      <c r="G163" s="38" t="str">
        <f t="shared" si="10"/>
        <v/>
      </c>
      <c r="H163" s="141" t="str">
        <f t="shared" si="11"/>
        <v/>
      </c>
      <c r="J163" s="141" t="str">
        <f t="shared" si="12"/>
        <v/>
      </c>
      <c r="K163" s="141" t="str">
        <f t="shared" si="13"/>
        <v/>
      </c>
      <c r="L163" s="141" t="str">
        <f t="shared" si="14"/>
        <v/>
      </c>
    </row>
    <row r="164" spans="1:12" x14ac:dyDescent="0.3">
      <c r="A164" s="2" t="str">
        <f xml:space="preserve"> IF( 'From SvanPC++'!A164= "", "", ('From SvanPC++'!A164))</f>
        <v/>
      </c>
      <c r="C164" s="6" t="s">
        <v>10</v>
      </c>
      <c r="G164" s="38" t="str">
        <f t="shared" si="10"/>
        <v/>
      </c>
      <c r="H164" s="141" t="str">
        <f t="shared" si="11"/>
        <v/>
      </c>
      <c r="J164" s="141" t="str">
        <f t="shared" si="12"/>
        <v/>
      </c>
      <c r="K164" s="141" t="str">
        <f t="shared" si="13"/>
        <v/>
      </c>
      <c r="L164" s="141" t="str">
        <f t="shared" si="14"/>
        <v/>
      </c>
    </row>
    <row r="165" spans="1:12" x14ac:dyDescent="0.3">
      <c r="A165" s="2" t="str">
        <f xml:space="preserve"> IF( 'From SvanPC++'!A165= "", "", ('From SvanPC++'!A165))</f>
        <v/>
      </c>
      <c r="C165" s="6" t="s">
        <v>10</v>
      </c>
      <c r="G165" s="38" t="str">
        <f t="shared" si="10"/>
        <v/>
      </c>
      <c r="H165" s="141" t="str">
        <f t="shared" si="11"/>
        <v/>
      </c>
      <c r="J165" s="141" t="str">
        <f t="shared" si="12"/>
        <v/>
      </c>
      <c r="K165" s="141" t="str">
        <f t="shared" si="13"/>
        <v/>
      </c>
      <c r="L165" s="141" t="str">
        <f t="shared" si="14"/>
        <v/>
      </c>
    </row>
    <row r="166" spans="1:12" x14ac:dyDescent="0.3">
      <c r="A166" s="2" t="str">
        <f xml:space="preserve"> IF( 'From SvanPC++'!A166= "", "", ('From SvanPC++'!A166))</f>
        <v/>
      </c>
      <c r="C166" s="6" t="s">
        <v>10</v>
      </c>
      <c r="G166" s="38" t="str">
        <f t="shared" si="10"/>
        <v/>
      </c>
      <c r="H166" s="141" t="str">
        <f t="shared" si="11"/>
        <v/>
      </c>
      <c r="J166" s="141" t="str">
        <f t="shared" si="12"/>
        <v/>
      </c>
      <c r="K166" s="141" t="str">
        <f t="shared" si="13"/>
        <v/>
      </c>
      <c r="L166" s="141" t="str">
        <f t="shared" si="14"/>
        <v/>
      </c>
    </row>
    <row r="167" spans="1:12" x14ac:dyDescent="0.3">
      <c r="A167" s="2" t="str">
        <f xml:space="preserve"> IF( 'From SvanPC++'!A167= "", "", ('From SvanPC++'!A167))</f>
        <v/>
      </c>
      <c r="C167" s="6" t="s">
        <v>10</v>
      </c>
      <c r="G167" s="38" t="str">
        <f t="shared" si="10"/>
        <v/>
      </c>
      <c r="H167" s="141" t="str">
        <f t="shared" si="11"/>
        <v/>
      </c>
      <c r="J167" s="141" t="str">
        <f t="shared" si="12"/>
        <v/>
      </c>
      <c r="K167" s="141" t="str">
        <f t="shared" si="13"/>
        <v/>
      </c>
      <c r="L167" s="141" t="str">
        <f t="shared" si="14"/>
        <v/>
      </c>
    </row>
    <row r="168" spans="1:12" x14ac:dyDescent="0.3">
      <c r="A168" s="2" t="str">
        <f xml:space="preserve"> IF( 'From SvanPC++'!A168= "", "", ('From SvanPC++'!A168))</f>
        <v/>
      </c>
      <c r="C168" s="6" t="s">
        <v>10</v>
      </c>
      <c r="G168" s="38" t="str">
        <f t="shared" si="10"/>
        <v/>
      </c>
      <c r="H168" s="141" t="str">
        <f t="shared" si="11"/>
        <v/>
      </c>
      <c r="J168" s="141" t="str">
        <f t="shared" si="12"/>
        <v/>
      </c>
      <c r="K168" s="141" t="str">
        <f t="shared" si="13"/>
        <v/>
      </c>
      <c r="L168" s="141" t="str">
        <f t="shared" si="14"/>
        <v/>
      </c>
    </row>
    <row r="169" spans="1:12" x14ac:dyDescent="0.3">
      <c r="A169" s="2" t="str">
        <f xml:space="preserve"> IF( 'From SvanPC++'!A169= "", "", ('From SvanPC++'!A169))</f>
        <v/>
      </c>
      <c r="C169" s="6" t="s">
        <v>10</v>
      </c>
      <c r="G169" s="38" t="str">
        <f t="shared" si="10"/>
        <v/>
      </c>
      <c r="H169" s="141" t="str">
        <f t="shared" si="11"/>
        <v/>
      </c>
      <c r="J169" s="141" t="str">
        <f t="shared" si="12"/>
        <v/>
      </c>
      <c r="K169" s="141" t="str">
        <f t="shared" si="13"/>
        <v/>
      </c>
      <c r="L169" s="141" t="str">
        <f t="shared" si="14"/>
        <v/>
      </c>
    </row>
    <row r="170" spans="1:12" x14ac:dyDescent="0.3">
      <c r="A170" s="2" t="str">
        <f xml:space="preserve"> IF( 'From SvanPC++'!A170= "", "", ('From SvanPC++'!A170))</f>
        <v/>
      </c>
      <c r="C170" s="6" t="s">
        <v>10</v>
      </c>
      <c r="G170" s="38" t="str">
        <f t="shared" si="10"/>
        <v/>
      </c>
      <c r="H170" s="141" t="str">
        <f t="shared" si="11"/>
        <v/>
      </c>
      <c r="J170" s="141" t="str">
        <f t="shared" si="12"/>
        <v/>
      </c>
      <c r="K170" s="141" t="str">
        <f t="shared" si="13"/>
        <v/>
      </c>
      <c r="L170" s="141" t="str">
        <f t="shared" si="14"/>
        <v/>
      </c>
    </row>
    <row r="171" spans="1:12" x14ac:dyDescent="0.3">
      <c r="A171" s="2" t="str">
        <f xml:space="preserve"> IF( 'From SvanPC++'!A171= "", "", ('From SvanPC++'!A171))</f>
        <v/>
      </c>
      <c r="C171" s="6" t="s">
        <v>10</v>
      </c>
      <c r="G171" s="38" t="str">
        <f t="shared" si="10"/>
        <v/>
      </c>
      <c r="H171" s="141" t="str">
        <f t="shared" si="11"/>
        <v/>
      </c>
      <c r="J171" s="141" t="str">
        <f t="shared" si="12"/>
        <v/>
      </c>
      <c r="K171" s="141" t="str">
        <f t="shared" si="13"/>
        <v/>
      </c>
      <c r="L171" s="141" t="str">
        <f t="shared" si="14"/>
        <v/>
      </c>
    </row>
    <row r="172" spans="1:12" x14ac:dyDescent="0.3">
      <c r="A172" s="2" t="str">
        <f xml:space="preserve"> IF( 'From SvanPC++'!A172= "", "", ('From SvanPC++'!A172))</f>
        <v/>
      </c>
      <c r="C172" s="6" t="s">
        <v>10</v>
      </c>
      <c r="G172" s="38" t="str">
        <f t="shared" si="10"/>
        <v/>
      </c>
      <c r="H172" s="141" t="str">
        <f t="shared" si="11"/>
        <v/>
      </c>
      <c r="J172" s="141" t="str">
        <f t="shared" si="12"/>
        <v/>
      </c>
      <c r="K172" s="141" t="str">
        <f t="shared" si="13"/>
        <v/>
      </c>
      <c r="L172" s="141" t="str">
        <f t="shared" si="14"/>
        <v/>
      </c>
    </row>
    <row r="173" spans="1:12" x14ac:dyDescent="0.3">
      <c r="A173" s="2" t="str">
        <f xml:space="preserve"> IF( 'From SvanPC++'!A173= "", "", ('From SvanPC++'!A173))</f>
        <v/>
      </c>
      <c r="C173" s="6" t="s">
        <v>10</v>
      </c>
      <c r="G173" s="38" t="str">
        <f t="shared" si="10"/>
        <v/>
      </c>
      <c r="H173" s="141" t="str">
        <f t="shared" si="11"/>
        <v/>
      </c>
      <c r="J173" s="141" t="str">
        <f t="shared" si="12"/>
        <v/>
      </c>
      <c r="K173" s="141" t="str">
        <f t="shared" si="13"/>
        <v/>
      </c>
      <c r="L173" s="141" t="str">
        <f t="shared" si="14"/>
        <v/>
      </c>
    </row>
    <row r="174" spans="1:12" x14ac:dyDescent="0.3">
      <c r="A174" s="2" t="str">
        <f xml:space="preserve"> IF( 'From SvanPC++'!A174= "", "", ('From SvanPC++'!A174))</f>
        <v/>
      </c>
      <c r="C174" s="6" t="s">
        <v>10</v>
      </c>
      <c r="G174" s="38" t="str">
        <f t="shared" si="10"/>
        <v/>
      </c>
      <c r="H174" s="141" t="str">
        <f t="shared" si="11"/>
        <v/>
      </c>
      <c r="J174" s="141" t="str">
        <f t="shared" si="12"/>
        <v/>
      </c>
      <c r="K174" s="141" t="str">
        <f t="shared" si="13"/>
        <v/>
      </c>
      <c r="L174" s="141" t="str">
        <f t="shared" si="14"/>
        <v/>
      </c>
    </row>
    <row r="175" spans="1:12" x14ac:dyDescent="0.3">
      <c r="A175" s="2" t="str">
        <f xml:space="preserve"> IF( 'From SvanPC++'!A175= "", "", ('From SvanPC++'!A175))</f>
        <v/>
      </c>
      <c r="C175" s="6" t="s">
        <v>10</v>
      </c>
      <c r="G175" s="38" t="str">
        <f t="shared" si="10"/>
        <v/>
      </c>
      <c r="H175" s="141" t="str">
        <f t="shared" si="11"/>
        <v/>
      </c>
      <c r="J175" s="141" t="str">
        <f t="shared" si="12"/>
        <v/>
      </c>
      <c r="K175" s="141" t="str">
        <f t="shared" si="13"/>
        <v/>
      </c>
      <c r="L175" s="141" t="str">
        <f t="shared" si="14"/>
        <v/>
      </c>
    </row>
    <row r="176" spans="1:12" x14ac:dyDescent="0.3">
      <c r="A176" s="2" t="str">
        <f xml:space="preserve"> IF( 'From SvanPC++'!A176= "", "", ('From SvanPC++'!A176))</f>
        <v/>
      </c>
      <c r="C176" s="6" t="s">
        <v>10</v>
      </c>
      <c r="G176" s="38" t="str">
        <f t="shared" si="10"/>
        <v/>
      </c>
      <c r="H176" s="141" t="str">
        <f t="shared" si="11"/>
        <v/>
      </c>
      <c r="J176" s="141" t="str">
        <f t="shared" si="12"/>
        <v/>
      </c>
      <c r="K176" s="141" t="str">
        <f t="shared" si="13"/>
        <v/>
      </c>
      <c r="L176" s="141" t="str">
        <f t="shared" si="14"/>
        <v/>
      </c>
    </row>
    <row r="177" spans="1:12" x14ac:dyDescent="0.3">
      <c r="A177" s="2" t="str">
        <f xml:space="preserve"> IF( 'From SvanPC++'!A177= "", "", ('From SvanPC++'!A177))</f>
        <v/>
      </c>
      <c r="C177" s="6" t="s">
        <v>10</v>
      </c>
      <c r="G177" s="38" t="str">
        <f t="shared" si="10"/>
        <v/>
      </c>
      <c r="H177" s="141" t="str">
        <f t="shared" si="11"/>
        <v/>
      </c>
      <c r="J177" s="141" t="str">
        <f t="shared" si="12"/>
        <v/>
      </c>
      <c r="K177" s="141" t="str">
        <f t="shared" si="13"/>
        <v/>
      </c>
      <c r="L177" s="141" t="str">
        <f t="shared" si="14"/>
        <v/>
      </c>
    </row>
    <row r="178" spans="1:12" x14ac:dyDescent="0.3">
      <c r="A178" s="2" t="str">
        <f xml:space="preserve"> IF( 'From SvanPC++'!A178= "", "", ('From SvanPC++'!A178))</f>
        <v/>
      </c>
      <c r="C178" s="6" t="s">
        <v>10</v>
      </c>
      <c r="G178" s="38" t="str">
        <f t="shared" si="10"/>
        <v/>
      </c>
      <c r="H178" s="141" t="str">
        <f t="shared" si="11"/>
        <v/>
      </c>
      <c r="J178" s="141" t="str">
        <f t="shared" si="12"/>
        <v/>
      </c>
      <c r="K178" s="141" t="str">
        <f t="shared" si="13"/>
        <v/>
      </c>
      <c r="L178" s="141" t="str">
        <f t="shared" si="14"/>
        <v/>
      </c>
    </row>
    <row r="179" spans="1:12" x14ac:dyDescent="0.3">
      <c r="A179" s="2" t="str">
        <f xml:space="preserve"> IF( 'From SvanPC++'!A179= "", "", ('From SvanPC++'!A179))</f>
        <v/>
      </c>
      <c r="C179" s="6" t="s">
        <v>10</v>
      </c>
      <c r="G179" s="38" t="str">
        <f t="shared" si="10"/>
        <v/>
      </c>
      <c r="H179" s="141" t="str">
        <f t="shared" si="11"/>
        <v/>
      </c>
      <c r="J179" s="141" t="str">
        <f t="shared" si="12"/>
        <v/>
      </c>
      <c r="K179" s="141" t="str">
        <f t="shared" si="13"/>
        <v/>
      </c>
      <c r="L179" s="141" t="str">
        <f t="shared" si="14"/>
        <v/>
      </c>
    </row>
    <row r="180" spans="1:12" x14ac:dyDescent="0.3">
      <c r="A180" s="2" t="str">
        <f xml:space="preserve"> IF( 'From SvanPC++'!A180= "", "", ('From SvanPC++'!A180))</f>
        <v/>
      </c>
      <c r="C180" s="6" t="s">
        <v>10</v>
      </c>
      <c r="G180" s="38" t="str">
        <f t="shared" si="10"/>
        <v/>
      </c>
      <c r="H180" s="141" t="str">
        <f t="shared" si="11"/>
        <v/>
      </c>
      <c r="J180" s="141" t="str">
        <f t="shared" si="12"/>
        <v/>
      </c>
      <c r="K180" s="141" t="str">
        <f t="shared" si="13"/>
        <v/>
      </c>
      <c r="L180" s="141" t="str">
        <f t="shared" si="14"/>
        <v/>
      </c>
    </row>
    <row r="181" spans="1:12" x14ac:dyDescent="0.3">
      <c r="A181" s="2" t="str">
        <f xml:space="preserve"> IF( 'From SvanPC++'!A181= "", "", ('From SvanPC++'!A181))</f>
        <v/>
      </c>
      <c r="C181" s="6" t="s">
        <v>10</v>
      </c>
      <c r="G181" s="38" t="str">
        <f t="shared" si="10"/>
        <v/>
      </c>
      <c r="H181" s="141" t="str">
        <f t="shared" si="11"/>
        <v/>
      </c>
      <c r="J181" s="141" t="str">
        <f t="shared" si="12"/>
        <v/>
      </c>
      <c r="K181" s="141" t="str">
        <f t="shared" si="13"/>
        <v/>
      </c>
      <c r="L181" s="141" t="str">
        <f t="shared" si="14"/>
        <v/>
      </c>
    </row>
    <row r="182" spans="1:12" x14ac:dyDescent="0.3">
      <c r="A182" s="2" t="str">
        <f xml:space="preserve"> IF( 'From SvanPC++'!A182= "", "", ('From SvanPC++'!A182))</f>
        <v/>
      </c>
      <c r="C182" s="6" t="s">
        <v>10</v>
      </c>
      <c r="G182" s="38" t="str">
        <f t="shared" si="10"/>
        <v/>
      </c>
      <c r="H182" s="141" t="str">
        <f t="shared" si="11"/>
        <v/>
      </c>
      <c r="J182" s="141" t="str">
        <f t="shared" si="12"/>
        <v/>
      </c>
      <c r="K182" s="141" t="str">
        <f t="shared" si="13"/>
        <v/>
      </c>
      <c r="L182" s="141" t="str">
        <f t="shared" si="14"/>
        <v/>
      </c>
    </row>
    <row r="183" spans="1:12" x14ac:dyDescent="0.3">
      <c r="A183" s="2" t="str">
        <f xml:space="preserve"> IF( 'From SvanPC++'!A183= "", "", ('From SvanPC++'!A183))</f>
        <v/>
      </c>
      <c r="C183" s="6" t="s">
        <v>10</v>
      </c>
      <c r="G183" s="38" t="str">
        <f t="shared" si="10"/>
        <v/>
      </c>
      <c r="H183" s="141" t="str">
        <f t="shared" si="11"/>
        <v/>
      </c>
      <c r="J183" s="141" t="str">
        <f t="shared" si="12"/>
        <v/>
      </c>
      <c r="K183" s="141" t="str">
        <f t="shared" si="13"/>
        <v/>
      </c>
      <c r="L183" s="141" t="str">
        <f t="shared" si="14"/>
        <v/>
      </c>
    </row>
    <row r="184" spans="1:12" x14ac:dyDescent="0.3">
      <c r="A184" s="2" t="str">
        <f xml:space="preserve"> IF( 'From SvanPC++'!A184= "", "", ('From SvanPC++'!A184))</f>
        <v/>
      </c>
      <c r="C184" s="6" t="s">
        <v>10</v>
      </c>
      <c r="G184" s="38" t="str">
        <f t="shared" si="10"/>
        <v/>
      </c>
      <c r="H184" s="141" t="str">
        <f t="shared" si="11"/>
        <v/>
      </c>
      <c r="J184" s="141" t="str">
        <f t="shared" si="12"/>
        <v/>
      </c>
      <c r="K184" s="141" t="str">
        <f t="shared" si="13"/>
        <v/>
      </c>
      <c r="L184" s="141" t="str">
        <f t="shared" si="14"/>
        <v/>
      </c>
    </row>
    <row r="185" spans="1:12" x14ac:dyDescent="0.3">
      <c r="A185" s="2" t="str">
        <f xml:space="preserve"> IF( 'From SvanPC++'!A185= "", "", ('From SvanPC++'!A185))</f>
        <v/>
      </c>
      <c r="C185" s="6" t="s">
        <v>10</v>
      </c>
      <c r="G185" s="38" t="str">
        <f t="shared" si="10"/>
        <v/>
      </c>
      <c r="H185" s="141" t="str">
        <f t="shared" si="11"/>
        <v/>
      </c>
      <c r="J185" s="141" t="str">
        <f t="shared" si="12"/>
        <v/>
      </c>
      <c r="K185" s="141" t="str">
        <f t="shared" si="13"/>
        <v/>
      </c>
      <c r="L185" s="141" t="str">
        <f t="shared" si="14"/>
        <v/>
      </c>
    </row>
    <row r="186" spans="1:12" x14ac:dyDescent="0.3">
      <c r="A186" s="2" t="str">
        <f xml:space="preserve"> IF( 'From SvanPC++'!A186= "", "", ('From SvanPC++'!A186))</f>
        <v/>
      </c>
      <c r="C186" s="6" t="s">
        <v>10</v>
      </c>
      <c r="G186" s="38" t="str">
        <f t="shared" si="10"/>
        <v/>
      </c>
      <c r="H186" s="141" t="str">
        <f t="shared" si="11"/>
        <v/>
      </c>
      <c r="J186" s="141" t="str">
        <f t="shared" si="12"/>
        <v/>
      </c>
      <c r="K186" s="141" t="str">
        <f t="shared" si="13"/>
        <v/>
      </c>
      <c r="L186" s="141" t="str">
        <f t="shared" si="14"/>
        <v/>
      </c>
    </row>
    <row r="187" spans="1:12" x14ac:dyDescent="0.3">
      <c r="A187" s="2" t="str">
        <f xml:space="preserve"> IF( 'From SvanPC++'!A187= "", "", ('From SvanPC++'!A187))</f>
        <v/>
      </c>
      <c r="C187" s="6" t="s">
        <v>10</v>
      </c>
      <c r="G187" s="38" t="str">
        <f t="shared" si="10"/>
        <v/>
      </c>
      <c r="H187" s="141" t="str">
        <f t="shared" si="11"/>
        <v/>
      </c>
      <c r="J187" s="141" t="str">
        <f t="shared" si="12"/>
        <v/>
      </c>
      <c r="K187" s="141" t="str">
        <f t="shared" si="13"/>
        <v/>
      </c>
      <c r="L187" s="141" t="str">
        <f t="shared" si="14"/>
        <v/>
      </c>
    </row>
    <row r="188" spans="1:12" x14ac:dyDescent="0.3">
      <c r="A188" s="2" t="str">
        <f xml:space="preserve"> IF( 'From SvanPC++'!A188= "", "", ('From SvanPC++'!A188))</f>
        <v/>
      </c>
      <c r="C188" s="6" t="s">
        <v>10</v>
      </c>
      <c r="G188" s="38" t="str">
        <f t="shared" si="10"/>
        <v/>
      </c>
      <c r="H188" s="141" t="str">
        <f t="shared" si="11"/>
        <v/>
      </c>
      <c r="J188" s="141" t="str">
        <f t="shared" si="12"/>
        <v/>
      </c>
      <c r="K188" s="141" t="str">
        <f t="shared" si="13"/>
        <v/>
      </c>
      <c r="L188" s="141" t="str">
        <f t="shared" si="14"/>
        <v/>
      </c>
    </row>
    <row r="189" spans="1:12" x14ac:dyDescent="0.3">
      <c r="A189" s="2" t="str">
        <f xml:space="preserve"> IF( 'From SvanPC++'!A189= "", "", ('From SvanPC++'!A189))</f>
        <v/>
      </c>
      <c r="C189" s="6" t="s">
        <v>10</v>
      </c>
      <c r="G189" s="38" t="str">
        <f t="shared" si="10"/>
        <v/>
      </c>
      <c r="H189" s="141" t="str">
        <f t="shared" si="11"/>
        <v/>
      </c>
      <c r="J189" s="141" t="str">
        <f t="shared" si="12"/>
        <v/>
      </c>
      <c r="K189" s="141" t="str">
        <f t="shared" si="13"/>
        <v/>
      </c>
      <c r="L189" s="141" t="str">
        <f t="shared" si="14"/>
        <v/>
      </c>
    </row>
    <row r="190" spans="1:12" x14ac:dyDescent="0.3">
      <c r="A190" s="2" t="str">
        <f xml:space="preserve"> IF( 'From SvanPC++'!A190= "", "", ('From SvanPC++'!A190))</f>
        <v/>
      </c>
      <c r="C190" s="6" t="s">
        <v>10</v>
      </c>
      <c r="G190" s="38" t="str">
        <f t="shared" si="10"/>
        <v/>
      </c>
      <c r="H190" s="141" t="str">
        <f t="shared" si="11"/>
        <v/>
      </c>
      <c r="J190" s="141" t="str">
        <f t="shared" si="12"/>
        <v/>
      </c>
      <c r="K190" s="141" t="str">
        <f t="shared" si="13"/>
        <v/>
      </c>
      <c r="L190" s="141" t="str">
        <f t="shared" si="14"/>
        <v/>
      </c>
    </row>
    <row r="191" spans="1:12" x14ac:dyDescent="0.3">
      <c r="A191" s="2" t="str">
        <f xml:space="preserve"> IF( 'From SvanPC++'!A191= "", "", ('From SvanPC++'!A191))</f>
        <v/>
      </c>
      <c r="C191" s="6" t="s">
        <v>10</v>
      </c>
      <c r="G191" s="38" t="str">
        <f t="shared" si="10"/>
        <v/>
      </c>
      <c r="H191" s="141" t="str">
        <f t="shared" si="11"/>
        <v/>
      </c>
      <c r="J191" s="141" t="str">
        <f t="shared" si="12"/>
        <v/>
      </c>
      <c r="K191" s="141" t="str">
        <f t="shared" si="13"/>
        <v/>
      </c>
      <c r="L191" s="141" t="str">
        <f t="shared" si="14"/>
        <v/>
      </c>
    </row>
    <row r="192" spans="1:12" x14ac:dyDescent="0.3">
      <c r="A192" s="2" t="str">
        <f xml:space="preserve"> IF( 'From SvanPC++'!A192= "", "", ('From SvanPC++'!A192))</f>
        <v/>
      </c>
      <c r="C192" s="6" t="s">
        <v>10</v>
      </c>
      <c r="G192" s="38" t="str">
        <f t="shared" si="10"/>
        <v/>
      </c>
      <c r="H192" s="141" t="str">
        <f t="shared" si="11"/>
        <v/>
      </c>
      <c r="J192" s="141" t="str">
        <f t="shared" si="12"/>
        <v/>
      </c>
      <c r="K192" s="141" t="str">
        <f t="shared" si="13"/>
        <v/>
      </c>
      <c r="L192" s="141" t="str">
        <f t="shared" si="14"/>
        <v/>
      </c>
    </row>
    <row r="193" spans="1:12" x14ac:dyDescent="0.3">
      <c r="A193" s="2" t="str">
        <f xml:space="preserve"> IF( 'From SvanPC++'!A193= "", "", ('From SvanPC++'!A193))</f>
        <v/>
      </c>
      <c r="C193" s="6" t="s">
        <v>10</v>
      </c>
      <c r="G193" s="38" t="str">
        <f t="shared" si="10"/>
        <v/>
      </c>
      <c r="H193" s="141" t="str">
        <f t="shared" si="11"/>
        <v/>
      </c>
      <c r="J193" s="141" t="str">
        <f t="shared" si="12"/>
        <v/>
      </c>
      <c r="K193" s="141" t="str">
        <f t="shared" si="13"/>
        <v/>
      </c>
      <c r="L193" s="141" t="str">
        <f t="shared" si="14"/>
        <v/>
      </c>
    </row>
    <row r="194" spans="1:12" x14ac:dyDescent="0.3">
      <c r="A194" s="2" t="str">
        <f xml:space="preserve"> IF( 'From SvanPC++'!A194= "", "", ('From SvanPC++'!A194))</f>
        <v/>
      </c>
      <c r="C194" s="6" t="s">
        <v>10</v>
      </c>
      <c r="G194" s="38" t="str">
        <f t="shared" si="10"/>
        <v/>
      </c>
      <c r="H194" s="141" t="str">
        <f t="shared" si="11"/>
        <v/>
      </c>
      <c r="J194" s="141" t="str">
        <f t="shared" si="12"/>
        <v/>
      </c>
      <c r="K194" s="141" t="str">
        <f t="shared" si="13"/>
        <v/>
      </c>
      <c r="L194" s="141" t="str">
        <f t="shared" si="14"/>
        <v/>
      </c>
    </row>
    <row r="195" spans="1:12" x14ac:dyDescent="0.3">
      <c r="A195" s="2" t="str">
        <f xml:space="preserve"> IF( 'From SvanPC++'!A195= "", "", ('From SvanPC++'!A195))</f>
        <v/>
      </c>
      <c r="C195" s="6" t="s">
        <v>10</v>
      </c>
      <c r="G195" s="38" t="str">
        <f t="shared" si="10"/>
        <v/>
      </c>
      <c r="H195" s="141" t="str">
        <f t="shared" si="11"/>
        <v/>
      </c>
      <c r="J195" s="141" t="str">
        <f t="shared" si="12"/>
        <v/>
      </c>
      <c r="K195" s="141" t="str">
        <f t="shared" si="13"/>
        <v/>
      </c>
      <c r="L195" s="141" t="str">
        <f t="shared" si="14"/>
        <v/>
      </c>
    </row>
    <row r="196" spans="1:12" x14ac:dyDescent="0.3">
      <c r="A196" s="2" t="str">
        <f xml:space="preserve"> IF( 'From SvanPC++'!A196= "", "", ('From SvanPC++'!A196))</f>
        <v/>
      </c>
      <c r="C196" s="6" t="s">
        <v>10</v>
      </c>
      <c r="G196" s="38" t="str">
        <f t="shared" si="10"/>
        <v/>
      </c>
      <c r="H196" s="141" t="str">
        <f t="shared" si="11"/>
        <v/>
      </c>
      <c r="J196" s="141" t="str">
        <f t="shared" si="12"/>
        <v/>
      </c>
      <c r="K196" s="141" t="str">
        <f t="shared" si="13"/>
        <v/>
      </c>
      <c r="L196" s="141" t="str">
        <f t="shared" si="14"/>
        <v/>
      </c>
    </row>
    <row r="197" spans="1:12" x14ac:dyDescent="0.3">
      <c r="A197" s="2" t="str">
        <f xml:space="preserve"> IF( 'From SvanPC++'!A197= "", "", ('From SvanPC++'!A197))</f>
        <v/>
      </c>
      <c r="C197" s="6" t="s">
        <v>10</v>
      </c>
      <c r="G197" s="38" t="str">
        <f t="shared" si="10"/>
        <v/>
      </c>
      <c r="H197" s="141" t="str">
        <f t="shared" si="11"/>
        <v/>
      </c>
      <c r="J197" s="141" t="str">
        <f t="shared" si="12"/>
        <v/>
      </c>
      <c r="K197" s="141" t="str">
        <f t="shared" si="13"/>
        <v/>
      </c>
      <c r="L197" s="141" t="str">
        <f t="shared" si="14"/>
        <v/>
      </c>
    </row>
    <row r="198" spans="1:12" x14ac:dyDescent="0.3">
      <c r="A198" s="2" t="str">
        <f xml:space="preserve"> IF( 'From SvanPC++'!A198= "", "", ('From SvanPC++'!A198))</f>
        <v/>
      </c>
      <c r="C198" s="6" t="s">
        <v>10</v>
      </c>
      <c r="G198" s="38" t="str">
        <f t="shared" si="10"/>
        <v/>
      </c>
      <c r="H198" s="141" t="str">
        <f t="shared" si="11"/>
        <v/>
      </c>
      <c r="J198" s="141" t="str">
        <f t="shared" si="12"/>
        <v/>
      </c>
      <c r="K198" s="141" t="str">
        <f t="shared" si="13"/>
        <v/>
      </c>
      <c r="L198" s="141" t="str">
        <f t="shared" si="14"/>
        <v/>
      </c>
    </row>
    <row r="199" spans="1:12" x14ac:dyDescent="0.3">
      <c r="A199" s="2" t="str">
        <f xml:space="preserve"> IF( 'From SvanPC++'!A199= "", "", ('From SvanPC++'!A199))</f>
        <v/>
      </c>
      <c r="C199" s="6" t="s">
        <v>10</v>
      </c>
      <c r="G199" s="38" t="str">
        <f t="shared" ref="G199:G262" si="15" xml:space="preserve"> IF( D199= "", "", ( IF( AND( D199 &gt;= TIMEVALUE( "07:00:01" ), D199 &lt; TIMEVALUE( "08:00:01" ) ) = TRUE, (G198+1), (G198+0) )))</f>
        <v/>
      </c>
      <c r="H199" s="141" t="str">
        <f t="shared" ref="H199:H262" si="16" xml:space="preserve"> IF( D199= "", "", (
IF( AND( D199 &gt;= TIMEVALUE( "07:00:01" ), D199 &lt;= TIMEVALUE( "18:00:00" ), WEEKDAY( C199,1+N("            Weekday Day Period              ")) &gt;=2, ( WEEKDAY( C199,1) &lt;=6) ) = TRUE, "Day",
IF( AND( D199 &gt;= TIMEVALUE( "18:00:01" ), D199 &lt;= TIMEVALUE( "22:00:00" ), WEEKDAY( C199,1+N("            Weekday Evening Period          ")) &gt;=2, ( WEEKDAY( C199,1) &lt;=6) ) = TRUE, "Evening",
IF( AND( D199 &gt;= TIMEVALUE( "22:00:01" ), D199 &lt;= TIMEVALUE( "23:59:59" ), WEEKDAY( C199,1+N("            Weekday Night Period            ")) &gt;=2, ( WEEKDAY( C199,1) &lt;=6) ) = TRUE, "Night",
IF( AND( D199 &gt;= TIMEVALUE( "00:00:00" ), D199 &lt;= TIMEVALUE( "07:00:00" ), WEEKDAY( C199,1+N("            Weekday Night Period            ")) &gt;=2, ( WEEKDAY( C199,1) &lt;=6) ) = TRUE, "Night",
IF( AND( D199 &gt;= TIMEVALUE( "07:00:01" ), D199 &lt;= TIMEVALUE( "18:00:00" ), WEEKDAY( C199) =(7+N("         Saturday Day Period             ")) ) = TRUE, "Day",
IF( AND( D199 &gt;= TIMEVALUE( "18:00:01" ), D199 &lt;= TIMEVALUE( "22:00:00" ), WEEKDAY( C199) =(7+N("         Saturday Evening Period         ")) ) = TRUE, "Evening",
IF( AND( D199 &gt;= TIMEVALUE( "22:00:01" ), D199 &lt;= TIMEVALUE( "23:59:59" ), WEEKDAY( C199) =(7+N("         Saturday Night Period           ")) ) = TRUE, "Night",
IF( AND( D199 &gt;= TIMEVALUE( "00:00:00" ), D199 &lt;= TIMEVALUE( "07:00:00" ), WEEKDAY( C199) =(7+N("         Saturday Night Period           ")) ) = TRUE, "Night",
IF( AND( D199 &gt;= TIMEVALUE( "07:00:01" ), D199 &lt;= TIMEVALUE( "22:00:00" ), WEEKDAY( C199) =(1+N("         Sunday Evening Period           ")) ) = TRUE, "Evening",
IF( AND( D199 &gt;= TIMEVALUE( "20:00:01" ), D199 &lt;= TIMEVALUE( "23:59:59" ), WEEKDAY( C199) =(1+N("         Sunday Night Period             ")) ) = TRUE, "Night",
IF( AND( D199 &gt;= TIMEVALUE( "00:00:00" ), D199 &lt;= TIMEVALUE( "07:00:00" ), WEEKDAY( C199) =(1+N("         Sunday Night Period             ")) ) = TRUE, "Night",
)))))))))))))</f>
        <v/>
      </c>
      <c r="J199" s="141" t="str">
        <f t="shared" si="12"/>
        <v/>
      </c>
      <c r="K199" s="141" t="str">
        <f t="shared" si="13"/>
        <v/>
      </c>
      <c r="L199" s="141" t="str">
        <f t="shared" si="14"/>
        <v/>
      </c>
    </row>
    <row r="200" spans="1:12" x14ac:dyDescent="0.3">
      <c r="A200" s="2" t="str">
        <f xml:space="preserve"> IF( 'From SvanPC++'!A200= "", "", ('From SvanPC++'!A200))</f>
        <v/>
      </c>
      <c r="C200" s="6" t="s">
        <v>10</v>
      </c>
      <c r="G200" s="38" t="str">
        <f t="shared" si="15"/>
        <v/>
      </c>
      <c r="H200" s="141" t="str">
        <f t="shared" si="16"/>
        <v/>
      </c>
      <c r="J200" s="141" t="str">
        <f t="shared" ref="J200:J263" si="17" xml:space="preserve"> IF( ISERROR( IF( D200= "", "", ( IF( G200= (G199+1), ( AVERAGEIFS( E200:E344, G200:G344, G200, H200:H344, "Day" )), "" )))), "",( IF( D200= "", "", ( IF( G200= (G199+1), ( AVERAGEIFS( E200:E344, G200:G344, G200, H200:H344, "Day" )), "" )))))</f>
        <v/>
      </c>
      <c r="K200" s="141" t="str">
        <f t="shared" ref="K200:K263" si="18" xml:space="preserve"> IF( ISERROR( IF( D200= "", "", ( IF( G200= (G199+1), ( AVERAGEIFS( E200:E344, G200:G344, G200, H200:H344, "Evening" )), "" )))), "",( IF( D200= "", "", ( IF( G200= (G199+1), ( AVERAGEIFS( E200:E344, G200:G344, G200, H200:H344, "Evening" )), "" )))))</f>
        <v/>
      </c>
      <c r="L200" s="141" t="str">
        <f t="shared" ref="L200:L263" si="19" xml:space="preserve"> IF( ISERROR( IF( D200= "", "", ( IF( G200= (G199+1), ( AVERAGEIFS( E200:E344, G200:G344, G200, H200:H344, "Night" )), "" )))), "",( IF( D200= "", "", ( IF( G200= (G199+1), ( AVERAGEIFS( E200:E344, G200:G344, G200, H200:H344, "Night" )), "" )))))</f>
        <v/>
      </c>
    </row>
    <row r="201" spans="1:12" x14ac:dyDescent="0.3">
      <c r="A201" s="2" t="str">
        <f xml:space="preserve"> IF( 'From SvanPC++'!A201= "", "", ('From SvanPC++'!A201))</f>
        <v/>
      </c>
      <c r="C201" s="6" t="s">
        <v>10</v>
      </c>
      <c r="G201" s="38" t="str">
        <f t="shared" si="15"/>
        <v/>
      </c>
      <c r="H201" s="141" t="str">
        <f t="shared" si="16"/>
        <v/>
      </c>
      <c r="J201" s="141" t="str">
        <f t="shared" si="17"/>
        <v/>
      </c>
      <c r="K201" s="141" t="str">
        <f t="shared" si="18"/>
        <v/>
      </c>
      <c r="L201" s="141" t="str">
        <f t="shared" si="19"/>
        <v/>
      </c>
    </row>
    <row r="202" spans="1:12" x14ac:dyDescent="0.3">
      <c r="A202" s="2" t="str">
        <f xml:space="preserve"> IF( 'From SvanPC++'!A202= "", "", ('From SvanPC++'!A202))</f>
        <v/>
      </c>
      <c r="C202" s="6" t="s">
        <v>10</v>
      </c>
      <c r="G202" s="38" t="str">
        <f t="shared" si="15"/>
        <v/>
      </c>
      <c r="H202" s="141" t="str">
        <f t="shared" si="16"/>
        <v/>
      </c>
      <c r="J202" s="141" t="str">
        <f t="shared" si="17"/>
        <v/>
      </c>
      <c r="K202" s="141" t="str">
        <f t="shared" si="18"/>
        <v/>
      </c>
      <c r="L202" s="141" t="str">
        <f t="shared" si="19"/>
        <v/>
      </c>
    </row>
    <row r="203" spans="1:12" x14ac:dyDescent="0.3">
      <c r="A203" s="2" t="str">
        <f xml:space="preserve"> IF( 'From SvanPC++'!A203= "", "", ('From SvanPC++'!A203))</f>
        <v/>
      </c>
      <c r="C203" s="6" t="s">
        <v>10</v>
      </c>
      <c r="G203" s="38" t="str">
        <f t="shared" si="15"/>
        <v/>
      </c>
      <c r="H203" s="141" t="str">
        <f t="shared" si="16"/>
        <v/>
      </c>
      <c r="J203" s="141" t="str">
        <f t="shared" si="17"/>
        <v/>
      </c>
      <c r="K203" s="141" t="str">
        <f t="shared" si="18"/>
        <v/>
      </c>
      <c r="L203" s="141" t="str">
        <f t="shared" si="19"/>
        <v/>
      </c>
    </row>
    <row r="204" spans="1:12" x14ac:dyDescent="0.3">
      <c r="A204" s="2" t="str">
        <f xml:space="preserve"> IF( 'From SvanPC++'!A204= "", "", ('From SvanPC++'!A204))</f>
        <v/>
      </c>
      <c r="C204" s="6" t="s">
        <v>10</v>
      </c>
      <c r="G204" s="38" t="str">
        <f t="shared" si="15"/>
        <v/>
      </c>
      <c r="H204" s="141" t="str">
        <f t="shared" si="16"/>
        <v/>
      </c>
      <c r="J204" s="141" t="str">
        <f t="shared" si="17"/>
        <v/>
      </c>
      <c r="K204" s="141" t="str">
        <f t="shared" si="18"/>
        <v/>
      </c>
      <c r="L204" s="141" t="str">
        <f t="shared" si="19"/>
        <v/>
      </c>
    </row>
    <row r="205" spans="1:12" x14ac:dyDescent="0.3">
      <c r="A205" s="2" t="str">
        <f xml:space="preserve"> IF( 'From SvanPC++'!A205= "", "", ('From SvanPC++'!A205))</f>
        <v/>
      </c>
      <c r="C205" s="6" t="s">
        <v>10</v>
      </c>
      <c r="G205" s="38" t="str">
        <f t="shared" si="15"/>
        <v/>
      </c>
      <c r="H205" s="141" t="str">
        <f t="shared" si="16"/>
        <v/>
      </c>
      <c r="J205" s="141" t="str">
        <f t="shared" si="17"/>
        <v/>
      </c>
      <c r="K205" s="141" t="str">
        <f t="shared" si="18"/>
        <v/>
      </c>
      <c r="L205" s="141" t="str">
        <f t="shared" si="19"/>
        <v/>
      </c>
    </row>
    <row r="206" spans="1:12" x14ac:dyDescent="0.3">
      <c r="A206" s="2" t="str">
        <f xml:space="preserve"> IF( 'From SvanPC++'!A206= "", "", ('From SvanPC++'!A206))</f>
        <v/>
      </c>
      <c r="C206" s="6" t="s">
        <v>10</v>
      </c>
      <c r="G206" s="38" t="str">
        <f t="shared" si="15"/>
        <v/>
      </c>
      <c r="H206" s="141" t="str">
        <f t="shared" si="16"/>
        <v/>
      </c>
      <c r="J206" s="141" t="str">
        <f t="shared" si="17"/>
        <v/>
      </c>
      <c r="K206" s="141" t="str">
        <f t="shared" si="18"/>
        <v/>
      </c>
      <c r="L206" s="141" t="str">
        <f t="shared" si="19"/>
        <v/>
      </c>
    </row>
    <row r="207" spans="1:12" x14ac:dyDescent="0.3">
      <c r="A207" s="2" t="str">
        <f xml:space="preserve"> IF( 'From SvanPC++'!A207= "", "", ('From SvanPC++'!A207))</f>
        <v/>
      </c>
      <c r="C207" s="6" t="s">
        <v>10</v>
      </c>
      <c r="G207" s="38" t="str">
        <f t="shared" si="15"/>
        <v/>
      </c>
      <c r="H207" s="141" t="str">
        <f t="shared" si="16"/>
        <v/>
      </c>
      <c r="J207" s="141" t="str">
        <f t="shared" si="17"/>
        <v/>
      </c>
      <c r="K207" s="141" t="str">
        <f t="shared" si="18"/>
        <v/>
      </c>
      <c r="L207" s="141" t="str">
        <f t="shared" si="19"/>
        <v/>
      </c>
    </row>
    <row r="208" spans="1:12" x14ac:dyDescent="0.3">
      <c r="A208" s="2" t="str">
        <f xml:space="preserve"> IF( 'From SvanPC++'!A208= "", "", ('From SvanPC++'!A208))</f>
        <v/>
      </c>
      <c r="C208" s="6" t="s">
        <v>10</v>
      </c>
      <c r="G208" s="38" t="str">
        <f t="shared" si="15"/>
        <v/>
      </c>
      <c r="H208" s="141" t="str">
        <f t="shared" si="16"/>
        <v/>
      </c>
      <c r="J208" s="141" t="str">
        <f t="shared" si="17"/>
        <v/>
      </c>
      <c r="K208" s="141" t="str">
        <f t="shared" si="18"/>
        <v/>
      </c>
      <c r="L208" s="141" t="str">
        <f t="shared" si="19"/>
        <v/>
      </c>
    </row>
    <row r="209" spans="1:12" x14ac:dyDescent="0.3">
      <c r="A209" s="2" t="str">
        <f xml:space="preserve"> IF( 'From SvanPC++'!A209= "", "", ('From SvanPC++'!A209))</f>
        <v/>
      </c>
      <c r="C209" s="6" t="s">
        <v>10</v>
      </c>
      <c r="G209" s="38" t="str">
        <f t="shared" si="15"/>
        <v/>
      </c>
      <c r="H209" s="141" t="str">
        <f t="shared" si="16"/>
        <v/>
      </c>
      <c r="J209" s="141" t="str">
        <f t="shared" si="17"/>
        <v/>
      </c>
      <c r="K209" s="141" t="str">
        <f t="shared" si="18"/>
        <v/>
      </c>
      <c r="L209" s="141" t="str">
        <f t="shared" si="19"/>
        <v/>
      </c>
    </row>
    <row r="210" spans="1:12" x14ac:dyDescent="0.3">
      <c r="A210" s="2" t="str">
        <f xml:space="preserve"> IF( 'From SvanPC++'!A210= "", "", ('From SvanPC++'!A210))</f>
        <v/>
      </c>
      <c r="C210" s="6" t="s">
        <v>10</v>
      </c>
      <c r="G210" s="38" t="str">
        <f t="shared" si="15"/>
        <v/>
      </c>
      <c r="H210" s="141" t="str">
        <f t="shared" si="16"/>
        <v/>
      </c>
      <c r="J210" s="141" t="str">
        <f t="shared" si="17"/>
        <v/>
      </c>
      <c r="K210" s="141" t="str">
        <f t="shared" si="18"/>
        <v/>
      </c>
      <c r="L210" s="141" t="str">
        <f t="shared" si="19"/>
        <v/>
      </c>
    </row>
    <row r="211" spans="1:12" x14ac:dyDescent="0.3">
      <c r="A211" s="2" t="str">
        <f xml:space="preserve"> IF( 'From SvanPC++'!A211= "", "", ('From SvanPC++'!A211))</f>
        <v/>
      </c>
      <c r="C211" s="6" t="s">
        <v>10</v>
      </c>
      <c r="G211" s="38" t="str">
        <f t="shared" si="15"/>
        <v/>
      </c>
      <c r="H211" s="141" t="str">
        <f t="shared" si="16"/>
        <v/>
      </c>
      <c r="J211" s="141" t="str">
        <f t="shared" si="17"/>
        <v/>
      </c>
      <c r="K211" s="141" t="str">
        <f t="shared" si="18"/>
        <v/>
      </c>
      <c r="L211" s="141" t="str">
        <f t="shared" si="19"/>
        <v/>
      </c>
    </row>
    <row r="212" spans="1:12" x14ac:dyDescent="0.3">
      <c r="A212" s="2" t="str">
        <f xml:space="preserve"> IF( 'From SvanPC++'!A212= "", "", ('From SvanPC++'!A212))</f>
        <v/>
      </c>
      <c r="C212" s="6" t="s">
        <v>10</v>
      </c>
      <c r="G212" s="38" t="str">
        <f t="shared" si="15"/>
        <v/>
      </c>
      <c r="H212" s="141" t="str">
        <f t="shared" si="16"/>
        <v/>
      </c>
      <c r="J212" s="141" t="str">
        <f t="shared" si="17"/>
        <v/>
      </c>
      <c r="K212" s="141" t="str">
        <f t="shared" si="18"/>
        <v/>
      </c>
      <c r="L212" s="141" t="str">
        <f t="shared" si="19"/>
        <v/>
      </c>
    </row>
    <row r="213" spans="1:12" x14ac:dyDescent="0.3">
      <c r="A213" s="2" t="str">
        <f xml:space="preserve"> IF( 'From SvanPC++'!A213= "", "", ('From SvanPC++'!A213))</f>
        <v/>
      </c>
      <c r="C213" s="6" t="s">
        <v>10</v>
      </c>
      <c r="G213" s="38" t="str">
        <f t="shared" si="15"/>
        <v/>
      </c>
      <c r="H213" s="141" t="str">
        <f t="shared" si="16"/>
        <v/>
      </c>
      <c r="J213" s="141" t="str">
        <f t="shared" si="17"/>
        <v/>
      </c>
      <c r="K213" s="141" t="str">
        <f t="shared" si="18"/>
        <v/>
      </c>
      <c r="L213" s="141" t="str">
        <f t="shared" si="19"/>
        <v/>
      </c>
    </row>
    <row r="214" spans="1:12" x14ac:dyDescent="0.3">
      <c r="A214" s="2" t="str">
        <f xml:space="preserve"> IF( 'From SvanPC++'!A214= "", "", ('From SvanPC++'!A214))</f>
        <v/>
      </c>
      <c r="C214" s="6" t="s">
        <v>10</v>
      </c>
      <c r="G214" s="38" t="str">
        <f t="shared" si="15"/>
        <v/>
      </c>
      <c r="H214" s="141" t="str">
        <f t="shared" si="16"/>
        <v/>
      </c>
      <c r="J214" s="141" t="str">
        <f t="shared" si="17"/>
        <v/>
      </c>
      <c r="K214" s="141" t="str">
        <f t="shared" si="18"/>
        <v/>
      </c>
      <c r="L214" s="141" t="str">
        <f t="shared" si="19"/>
        <v/>
      </c>
    </row>
    <row r="215" spans="1:12" x14ac:dyDescent="0.3">
      <c r="A215" s="2" t="str">
        <f xml:space="preserve"> IF( 'From SvanPC++'!A215= "", "", ('From SvanPC++'!A215))</f>
        <v/>
      </c>
      <c r="C215" s="6" t="s">
        <v>10</v>
      </c>
      <c r="G215" s="38" t="str">
        <f t="shared" si="15"/>
        <v/>
      </c>
      <c r="H215" s="141" t="str">
        <f t="shared" si="16"/>
        <v/>
      </c>
      <c r="J215" s="141" t="str">
        <f t="shared" si="17"/>
        <v/>
      </c>
      <c r="K215" s="141" t="str">
        <f t="shared" si="18"/>
        <v/>
      </c>
      <c r="L215" s="141" t="str">
        <f t="shared" si="19"/>
        <v/>
      </c>
    </row>
    <row r="216" spans="1:12" x14ac:dyDescent="0.3">
      <c r="A216" s="2" t="str">
        <f xml:space="preserve"> IF( 'From SvanPC++'!A216= "", "", ('From SvanPC++'!A216))</f>
        <v/>
      </c>
      <c r="C216" s="6" t="s">
        <v>10</v>
      </c>
      <c r="G216" s="38" t="str">
        <f t="shared" si="15"/>
        <v/>
      </c>
      <c r="H216" s="141" t="str">
        <f t="shared" si="16"/>
        <v/>
      </c>
      <c r="J216" s="141" t="str">
        <f t="shared" si="17"/>
        <v/>
      </c>
      <c r="K216" s="141" t="str">
        <f t="shared" si="18"/>
        <v/>
      </c>
      <c r="L216" s="141" t="str">
        <f t="shared" si="19"/>
        <v/>
      </c>
    </row>
    <row r="217" spans="1:12" x14ac:dyDescent="0.3">
      <c r="A217" s="2" t="str">
        <f xml:space="preserve"> IF( 'From SvanPC++'!A217= "", "", ('From SvanPC++'!A217))</f>
        <v/>
      </c>
      <c r="C217" s="6" t="s">
        <v>10</v>
      </c>
      <c r="G217" s="38" t="str">
        <f t="shared" si="15"/>
        <v/>
      </c>
      <c r="H217" s="141" t="str">
        <f t="shared" si="16"/>
        <v/>
      </c>
      <c r="J217" s="141" t="str">
        <f t="shared" si="17"/>
        <v/>
      </c>
      <c r="K217" s="141" t="str">
        <f t="shared" si="18"/>
        <v/>
      </c>
      <c r="L217" s="141" t="str">
        <f t="shared" si="19"/>
        <v/>
      </c>
    </row>
    <row r="218" spans="1:12" x14ac:dyDescent="0.3">
      <c r="A218" s="2" t="str">
        <f xml:space="preserve"> IF( 'From SvanPC++'!A218= "", "", ('From SvanPC++'!A218))</f>
        <v/>
      </c>
      <c r="C218" s="6" t="s">
        <v>10</v>
      </c>
      <c r="G218" s="38" t="str">
        <f t="shared" si="15"/>
        <v/>
      </c>
      <c r="H218" s="141" t="str">
        <f t="shared" si="16"/>
        <v/>
      </c>
      <c r="J218" s="141" t="str">
        <f t="shared" si="17"/>
        <v/>
      </c>
      <c r="K218" s="141" t="str">
        <f t="shared" si="18"/>
        <v/>
      </c>
      <c r="L218" s="141" t="str">
        <f t="shared" si="19"/>
        <v/>
      </c>
    </row>
    <row r="219" spans="1:12" x14ac:dyDescent="0.3">
      <c r="A219" s="2" t="str">
        <f xml:space="preserve"> IF( 'From SvanPC++'!A219= "", "", ('From SvanPC++'!A219))</f>
        <v/>
      </c>
      <c r="C219" s="6" t="s">
        <v>10</v>
      </c>
      <c r="G219" s="38" t="str">
        <f t="shared" si="15"/>
        <v/>
      </c>
      <c r="H219" s="141" t="str">
        <f t="shared" si="16"/>
        <v/>
      </c>
      <c r="J219" s="141" t="str">
        <f t="shared" si="17"/>
        <v/>
      </c>
      <c r="K219" s="141" t="str">
        <f t="shared" si="18"/>
        <v/>
      </c>
      <c r="L219" s="141" t="str">
        <f t="shared" si="19"/>
        <v/>
      </c>
    </row>
    <row r="220" spans="1:12" x14ac:dyDescent="0.3">
      <c r="A220" s="2" t="str">
        <f xml:space="preserve"> IF( 'From SvanPC++'!A220= "", "", ('From SvanPC++'!A220))</f>
        <v/>
      </c>
      <c r="C220" s="6" t="s">
        <v>10</v>
      </c>
      <c r="G220" s="38" t="str">
        <f t="shared" si="15"/>
        <v/>
      </c>
      <c r="H220" s="141" t="str">
        <f t="shared" si="16"/>
        <v/>
      </c>
      <c r="J220" s="141" t="str">
        <f t="shared" si="17"/>
        <v/>
      </c>
      <c r="K220" s="141" t="str">
        <f t="shared" si="18"/>
        <v/>
      </c>
      <c r="L220" s="141" t="str">
        <f t="shared" si="19"/>
        <v/>
      </c>
    </row>
    <row r="221" spans="1:12" x14ac:dyDescent="0.3">
      <c r="A221" s="2" t="str">
        <f xml:space="preserve"> IF( 'From SvanPC++'!A221= "", "", ('From SvanPC++'!A221))</f>
        <v/>
      </c>
      <c r="C221" s="6" t="s">
        <v>10</v>
      </c>
      <c r="G221" s="38" t="str">
        <f t="shared" si="15"/>
        <v/>
      </c>
      <c r="H221" s="141" t="str">
        <f t="shared" si="16"/>
        <v/>
      </c>
      <c r="J221" s="141" t="str">
        <f t="shared" si="17"/>
        <v/>
      </c>
      <c r="K221" s="141" t="str">
        <f t="shared" si="18"/>
        <v/>
      </c>
      <c r="L221" s="141" t="str">
        <f t="shared" si="19"/>
        <v/>
      </c>
    </row>
    <row r="222" spans="1:12" x14ac:dyDescent="0.3">
      <c r="A222" s="2" t="str">
        <f xml:space="preserve"> IF( 'From SvanPC++'!A222= "", "", ('From SvanPC++'!A222))</f>
        <v/>
      </c>
      <c r="C222" s="6" t="s">
        <v>10</v>
      </c>
      <c r="G222" s="38" t="str">
        <f t="shared" si="15"/>
        <v/>
      </c>
      <c r="H222" s="141" t="str">
        <f t="shared" si="16"/>
        <v/>
      </c>
      <c r="J222" s="141" t="str">
        <f t="shared" si="17"/>
        <v/>
      </c>
      <c r="K222" s="141" t="str">
        <f t="shared" si="18"/>
        <v/>
      </c>
      <c r="L222" s="141" t="str">
        <f t="shared" si="19"/>
        <v/>
      </c>
    </row>
    <row r="223" spans="1:12" x14ac:dyDescent="0.3">
      <c r="A223" s="2" t="str">
        <f xml:space="preserve"> IF( 'From SvanPC++'!A223= "", "", ('From SvanPC++'!A223))</f>
        <v/>
      </c>
      <c r="C223" s="6" t="s">
        <v>10</v>
      </c>
      <c r="G223" s="38" t="str">
        <f t="shared" si="15"/>
        <v/>
      </c>
      <c r="H223" s="141" t="str">
        <f t="shared" si="16"/>
        <v/>
      </c>
      <c r="J223" s="141" t="str">
        <f t="shared" si="17"/>
        <v/>
      </c>
      <c r="K223" s="141" t="str">
        <f t="shared" si="18"/>
        <v/>
      </c>
      <c r="L223" s="141" t="str">
        <f t="shared" si="19"/>
        <v/>
      </c>
    </row>
    <row r="224" spans="1:12" x14ac:dyDescent="0.3">
      <c r="A224" s="2" t="str">
        <f xml:space="preserve"> IF( 'From SvanPC++'!A224= "", "", ('From SvanPC++'!A224))</f>
        <v/>
      </c>
      <c r="C224" s="6" t="s">
        <v>10</v>
      </c>
      <c r="G224" s="38" t="str">
        <f t="shared" si="15"/>
        <v/>
      </c>
      <c r="H224" s="141" t="str">
        <f t="shared" si="16"/>
        <v/>
      </c>
      <c r="J224" s="141" t="str">
        <f t="shared" si="17"/>
        <v/>
      </c>
      <c r="K224" s="141" t="str">
        <f t="shared" si="18"/>
        <v/>
      </c>
      <c r="L224" s="141" t="str">
        <f t="shared" si="19"/>
        <v/>
      </c>
    </row>
    <row r="225" spans="1:12" x14ac:dyDescent="0.3">
      <c r="A225" s="2" t="str">
        <f xml:space="preserve"> IF( 'From SvanPC++'!A225= "", "", ('From SvanPC++'!A225))</f>
        <v/>
      </c>
      <c r="C225" s="6" t="s">
        <v>10</v>
      </c>
      <c r="G225" s="38" t="str">
        <f t="shared" si="15"/>
        <v/>
      </c>
      <c r="H225" s="141" t="str">
        <f t="shared" si="16"/>
        <v/>
      </c>
      <c r="J225" s="141" t="str">
        <f t="shared" si="17"/>
        <v/>
      </c>
      <c r="K225" s="141" t="str">
        <f t="shared" si="18"/>
        <v/>
      </c>
      <c r="L225" s="141" t="str">
        <f t="shared" si="19"/>
        <v/>
      </c>
    </row>
    <row r="226" spans="1:12" x14ac:dyDescent="0.3">
      <c r="A226" s="2" t="str">
        <f xml:space="preserve"> IF( 'From SvanPC++'!A226= "", "", ('From SvanPC++'!A226))</f>
        <v/>
      </c>
      <c r="C226" s="6" t="s">
        <v>10</v>
      </c>
      <c r="G226" s="38" t="str">
        <f t="shared" si="15"/>
        <v/>
      </c>
      <c r="H226" s="141" t="str">
        <f t="shared" si="16"/>
        <v/>
      </c>
      <c r="J226" s="141" t="str">
        <f t="shared" si="17"/>
        <v/>
      </c>
      <c r="K226" s="141" t="str">
        <f t="shared" si="18"/>
        <v/>
      </c>
      <c r="L226" s="141" t="str">
        <f t="shared" si="19"/>
        <v/>
      </c>
    </row>
    <row r="227" spans="1:12" x14ac:dyDescent="0.3">
      <c r="A227" s="2" t="str">
        <f xml:space="preserve"> IF( 'From SvanPC++'!A227= "", "", ('From SvanPC++'!A227))</f>
        <v/>
      </c>
      <c r="C227" s="6" t="s">
        <v>10</v>
      </c>
      <c r="G227" s="38" t="str">
        <f t="shared" si="15"/>
        <v/>
      </c>
      <c r="H227" s="141" t="str">
        <f t="shared" si="16"/>
        <v/>
      </c>
      <c r="J227" s="141" t="str">
        <f t="shared" si="17"/>
        <v/>
      </c>
      <c r="K227" s="141" t="str">
        <f t="shared" si="18"/>
        <v/>
      </c>
      <c r="L227" s="141" t="str">
        <f t="shared" si="19"/>
        <v/>
      </c>
    </row>
    <row r="228" spans="1:12" x14ac:dyDescent="0.3">
      <c r="A228" s="2" t="str">
        <f xml:space="preserve"> IF( 'From SvanPC++'!A228= "", "", ('From SvanPC++'!A228))</f>
        <v/>
      </c>
      <c r="C228" s="6" t="s">
        <v>10</v>
      </c>
      <c r="G228" s="38" t="str">
        <f t="shared" si="15"/>
        <v/>
      </c>
      <c r="H228" s="141" t="str">
        <f t="shared" si="16"/>
        <v/>
      </c>
      <c r="J228" s="141" t="str">
        <f t="shared" si="17"/>
        <v/>
      </c>
      <c r="K228" s="141" t="str">
        <f t="shared" si="18"/>
        <v/>
      </c>
      <c r="L228" s="141" t="str">
        <f t="shared" si="19"/>
        <v/>
      </c>
    </row>
    <row r="229" spans="1:12" x14ac:dyDescent="0.3">
      <c r="A229" s="2" t="str">
        <f xml:space="preserve"> IF( 'From SvanPC++'!A229= "", "", ('From SvanPC++'!A229))</f>
        <v/>
      </c>
      <c r="C229" s="6" t="s">
        <v>10</v>
      </c>
      <c r="G229" s="38" t="str">
        <f t="shared" si="15"/>
        <v/>
      </c>
      <c r="H229" s="141" t="str">
        <f t="shared" si="16"/>
        <v/>
      </c>
      <c r="J229" s="141" t="str">
        <f t="shared" si="17"/>
        <v/>
      </c>
      <c r="K229" s="141" t="str">
        <f t="shared" si="18"/>
        <v/>
      </c>
      <c r="L229" s="141" t="str">
        <f t="shared" si="19"/>
        <v/>
      </c>
    </row>
    <row r="230" spans="1:12" x14ac:dyDescent="0.3">
      <c r="A230" s="2" t="str">
        <f xml:space="preserve"> IF( 'From SvanPC++'!A230= "", "", ('From SvanPC++'!A230))</f>
        <v/>
      </c>
      <c r="C230" s="6" t="s">
        <v>10</v>
      </c>
      <c r="G230" s="38" t="str">
        <f t="shared" si="15"/>
        <v/>
      </c>
      <c r="H230" s="141" t="str">
        <f t="shared" si="16"/>
        <v/>
      </c>
      <c r="J230" s="141" t="str">
        <f t="shared" si="17"/>
        <v/>
      </c>
      <c r="K230" s="141" t="str">
        <f t="shared" si="18"/>
        <v/>
      </c>
      <c r="L230" s="141" t="str">
        <f t="shared" si="19"/>
        <v/>
      </c>
    </row>
    <row r="231" spans="1:12" x14ac:dyDescent="0.3">
      <c r="A231" s="2" t="str">
        <f xml:space="preserve"> IF( 'From SvanPC++'!A231= "", "", ('From SvanPC++'!A231))</f>
        <v/>
      </c>
      <c r="C231" s="6" t="s">
        <v>10</v>
      </c>
      <c r="G231" s="38" t="str">
        <f t="shared" si="15"/>
        <v/>
      </c>
      <c r="H231" s="141" t="str">
        <f t="shared" si="16"/>
        <v/>
      </c>
      <c r="J231" s="141" t="str">
        <f t="shared" si="17"/>
        <v/>
      </c>
      <c r="K231" s="141" t="str">
        <f t="shared" si="18"/>
        <v/>
      </c>
      <c r="L231" s="141" t="str">
        <f t="shared" si="19"/>
        <v/>
      </c>
    </row>
    <row r="232" spans="1:12" x14ac:dyDescent="0.3">
      <c r="A232" s="2" t="str">
        <f xml:space="preserve"> IF( 'From SvanPC++'!A232= "", "", ('From SvanPC++'!A232))</f>
        <v/>
      </c>
      <c r="C232" s="6" t="s">
        <v>10</v>
      </c>
      <c r="G232" s="38" t="str">
        <f t="shared" si="15"/>
        <v/>
      </c>
      <c r="H232" s="141" t="str">
        <f t="shared" si="16"/>
        <v/>
      </c>
      <c r="J232" s="141" t="str">
        <f t="shared" si="17"/>
        <v/>
      </c>
      <c r="K232" s="141" t="str">
        <f t="shared" si="18"/>
        <v/>
      </c>
      <c r="L232" s="141" t="str">
        <f t="shared" si="19"/>
        <v/>
      </c>
    </row>
    <row r="233" spans="1:12" x14ac:dyDescent="0.3">
      <c r="A233" s="2" t="str">
        <f xml:space="preserve"> IF( 'From SvanPC++'!A233= "", "", ('From SvanPC++'!A233))</f>
        <v/>
      </c>
      <c r="C233" s="6" t="s">
        <v>10</v>
      </c>
      <c r="G233" s="38" t="str">
        <f t="shared" si="15"/>
        <v/>
      </c>
      <c r="H233" s="141" t="str">
        <f t="shared" si="16"/>
        <v/>
      </c>
      <c r="J233" s="141" t="str">
        <f t="shared" si="17"/>
        <v/>
      </c>
      <c r="K233" s="141" t="str">
        <f t="shared" si="18"/>
        <v/>
      </c>
      <c r="L233" s="141" t="str">
        <f t="shared" si="19"/>
        <v/>
      </c>
    </row>
    <row r="234" spans="1:12" x14ac:dyDescent="0.3">
      <c r="A234" s="2" t="str">
        <f xml:space="preserve"> IF( 'From SvanPC++'!A234= "", "", ('From SvanPC++'!A234))</f>
        <v/>
      </c>
      <c r="C234" s="6" t="s">
        <v>10</v>
      </c>
      <c r="G234" s="38" t="str">
        <f t="shared" si="15"/>
        <v/>
      </c>
      <c r="H234" s="141" t="str">
        <f t="shared" si="16"/>
        <v/>
      </c>
      <c r="J234" s="141" t="str">
        <f t="shared" si="17"/>
        <v/>
      </c>
      <c r="K234" s="141" t="str">
        <f t="shared" si="18"/>
        <v/>
      </c>
      <c r="L234" s="141" t="str">
        <f t="shared" si="19"/>
        <v/>
      </c>
    </row>
    <row r="235" spans="1:12" x14ac:dyDescent="0.3">
      <c r="A235" s="2" t="str">
        <f xml:space="preserve"> IF( 'From SvanPC++'!A235= "", "", ('From SvanPC++'!A235))</f>
        <v/>
      </c>
      <c r="C235" s="6" t="s">
        <v>10</v>
      </c>
      <c r="G235" s="38" t="str">
        <f t="shared" si="15"/>
        <v/>
      </c>
      <c r="H235" s="141" t="str">
        <f t="shared" si="16"/>
        <v/>
      </c>
      <c r="J235" s="141" t="str">
        <f t="shared" si="17"/>
        <v/>
      </c>
      <c r="K235" s="141" t="str">
        <f t="shared" si="18"/>
        <v/>
      </c>
      <c r="L235" s="141" t="str">
        <f t="shared" si="19"/>
        <v/>
      </c>
    </row>
    <row r="236" spans="1:12" x14ac:dyDescent="0.3">
      <c r="A236" s="2" t="str">
        <f xml:space="preserve"> IF( 'From SvanPC++'!A236= "", "", ('From SvanPC++'!A236))</f>
        <v/>
      </c>
      <c r="C236" s="6" t="s">
        <v>10</v>
      </c>
      <c r="G236" s="38" t="str">
        <f t="shared" si="15"/>
        <v/>
      </c>
      <c r="H236" s="141" t="str">
        <f t="shared" si="16"/>
        <v/>
      </c>
      <c r="J236" s="141" t="str">
        <f t="shared" si="17"/>
        <v/>
      </c>
      <c r="K236" s="141" t="str">
        <f t="shared" si="18"/>
        <v/>
      </c>
      <c r="L236" s="141" t="str">
        <f t="shared" si="19"/>
        <v/>
      </c>
    </row>
    <row r="237" spans="1:12" x14ac:dyDescent="0.3">
      <c r="A237" s="2" t="str">
        <f xml:space="preserve"> IF( 'From SvanPC++'!A237= "", "", ('From SvanPC++'!A237))</f>
        <v/>
      </c>
      <c r="C237" s="6" t="s">
        <v>10</v>
      </c>
      <c r="G237" s="38" t="str">
        <f t="shared" si="15"/>
        <v/>
      </c>
      <c r="H237" s="141" t="str">
        <f t="shared" si="16"/>
        <v/>
      </c>
      <c r="J237" s="141" t="str">
        <f t="shared" si="17"/>
        <v/>
      </c>
      <c r="K237" s="141" t="str">
        <f t="shared" si="18"/>
        <v/>
      </c>
      <c r="L237" s="141" t="str">
        <f t="shared" si="19"/>
        <v/>
      </c>
    </row>
    <row r="238" spans="1:12" x14ac:dyDescent="0.3">
      <c r="A238" s="2" t="str">
        <f xml:space="preserve"> IF( 'From SvanPC++'!A238= "", "", ('From SvanPC++'!A238))</f>
        <v/>
      </c>
      <c r="C238" s="6" t="s">
        <v>10</v>
      </c>
      <c r="G238" s="38" t="str">
        <f t="shared" si="15"/>
        <v/>
      </c>
      <c r="H238" s="141" t="str">
        <f t="shared" si="16"/>
        <v/>
      </c>
      <c r="J238" s="141" t="str">
        <f t="shared" si="17"/>
        <v/>
      </c>
      <c r="K238" s="141" t="str">
        <f t="shared" si="18"/>
        <v/>
      </c>
      <c r="L238" s="141" t="str">
        <f t="shared" si="19"/>
        <v/>
      </c>
    </row>
    <row r="239" spans="1:12" x14ac:dyDescent="0.3">
      <c r="A239" s="2" t="str">
        <f xml:space="preserve"> IF( 'From SvanPC++'!A239= "", "", ('From SvanPC++'!A239))</f>
        <v/>
      </c>
      <c r="C239" s="6" t="s">
        <v>10</v>
      </c>
      <c r="G239" s="38" t="str">
        <f t="shared" si="15"/>
        <v/>
      </c>
      <c r="H239" s="141" t="str">
        <f t="shared" si="16"/>
        <v/>
      </c>
      <c r="J239" s="141" t="str">
        <f t="shared" si="17"/>
        <v/>
      </c>
      <c r="K239" s="141" t="str">
        <f t="shared" si="18"/>
        <v/>
      </c>
      <c r="L239" s="141" t="str">
        <f t="shared" si="19"/>
        <v/>
      </c>
    </row>
    <row r="240" spans="1:12" x14ac:dyDescent="0.3">
      <c r="A240" s="2" t="str">
        <f xml:space="preserve"> IF( 'From SvanPC++'!A240= "", "", ('From SvanPC++'!A240))</f>
        <v/>
      </c>
      <c r="C240" s="6" t="s">
        <v>10</v>
      </c>
      <c r="G240" s="38" t="str">
        <f t="shared" si="15"/>
        <v/>
      </c>
      <c r="H240" s="141" t="str">
        <f t="shared" si="16"/>
        <v/>
      </c>
      <c r="J240" s="141" t="str">
        <f t="shared" si="17"/>
        <v/>
      </c>
      <c r="K240" s="141" t="str">
        <f t="shared" si="18"/>
        <v/>
      </c>
      <c r="L240" s="141" t="str">
        <f t="shared" si="19"/>
        <v/>
      </c>
    </row>
    <row r="241" spans="1:12" x14ac:dyDescent="0.3">
      <c r="A241" s="2" t="str">
        <f xml:space="preserve"> IF( 'From SvanPC++'!A241= "", "", ('From SvanPC++'!A241))</f>
        <v/>
      </c>
      <c r="C241" s="6" t="s">
        <v>10</v>
      </c>
      <c r="G241" s="38" t="str">
        <f t="shared" si="15"/>
        <v/>
      </c>
      <c r="H241" s="141" t="str">
        <f t="shared" si="16"/>
        <v/>
      </c>
      <c r="J241" s="141" t="str">
        <f t="shared" si="17"/>
        <v/>
      </c>
      <c r="K241" s="141" t="str">
        <f t="shared" si="18"/>
        <v/>
      </c>
      <c r="L241" s="141" t="str">
        <f t="shared" si="19"/>
        <v/>
      </c>
    </row>
    <row r="242" spans="1:12" x14ac:dyDescent="0.3">
      <c r="A242" s="2" t="str">
        <f xml:space="preserve"> IF( 'From SvanPC++'!A242= "", "", ('From SvanPC++'!A242))</f>
        <v/>
      </c>
      <c r="C242" s="6" t="s">
        <v>10</v>
      </c>
      <c r="G242" s="38" t="str">
        <f t="shared" si="15"/>
        <v/>
      </c>
      <c r="H242" s="141" t="str">
        <f t="shared" si="16"/>
        <v/>
      </c>
      <c r="J242" s="141" t="str">
        <f t="shared" si="17"/>
        <v/>
      </c>
      <c r="K242" s="141" t="str">
        <f t="shared" si="18"/>
        <v/>
      </c>
      <c r="L242" s="141" t="str">
        <f t="shared" si="19"/>
        <v/>
      </c>
    </row>
    <row r="243" spans="1:12" x14ac:dyDescent="0.3">
      <c r="A243" s="2" t="str">
        <f xml:space="preserve"> IF( 'From SvanPC++'!A243= "", "", ('From SvanPC++'!A243))</f>
        <v/>
      </c>
      <c r="C243" s="6" t="s">
        <v>10</v>
      </c>
      <c r="G243" s="38" t="str">
        <f t="shared" si="15"/>
        <v/>
      </c>
      <c r="H243" s="141" t="str">
        <f t="shared" si="16"/>
        <v/>
      </c>
      <c r="J243" s="141" t="str">
        <f t="shared" si="17"/>
        <v/>
      </c>
      <c r="K243" s="141" t="str">
        <f t="shared" si="18"/>
        <v/>
      </c>
      <c r="L243" s="141" t="str">
        <f t="shared" si="19"/>
        <v/>
      </c>
    </row>
    <row r="244" spans="1:12" x14ac:dyDescent="0.3">
      <c r="A244" s="2" t="str">
        <f xml:space="preserve"> IF( 'From SvanPC++'!A244= "", "", ('From SvanPC++'!A244))</f>
        <v/>
      </c>
      <c r="C244" s="6" t="s">
        <v>10</v>
      </c>
      <c r="G244" s="38" t="str">
        <f t="shared" si="15"/>
        <v/>
      </c>
      <c r="H244" s="141" t="str">
        <f t="shared" si="16"/>
        <v/>
      </c>
      <c r="J244" s="141" t="str">
        <f t="shared" si="17"/>
        <v/>
      </c>
      <c r="K244" s="141" t="str">
        <f t="shared" si="18"/>
        <v/>
      </c>
      <c r="L244" s="141" t="str">
        <f t="shared" si="19"/>
        <v/>
      </c>
    </row>
    <row r="245" spans="1:12" x14ac:dyDescent="0.3">
      <c r="A245" s="2" t="str">
        <f xml:space="preserve"> IF( 'From SvanPC++'!A245= "", "", ('From SvanPC++'!A245))</f>
        <v/>
      </c>
      <c r="C245" s="6" t="s">
        <v>10</v>
      </c>
      <c r="G245" s="38" t="str">
        <f t="shared" si="15"/>
        <v/>
      </c>
      <c r="H245" s="141" t="str">
        <f t="shared" si="16"/>
        <v/>
      </c>
      <c r="J245" s="141" t="str">
        <f t="shared" si="17"/>
        <v/>
      </c>
      <c r="K245" s="141" t="str">
        <f t="shared" si="18"/>
        <v/>
      </c>
      <c r="L245" s="141" t="str">
        <f t="shared" si="19"/>
        <v/>
      </c>
    </row>
    <row r="246" spans="1:12" x14ac:dyDescent="0.3">
      <c r="A246" s="2" t="str">
        <f xml:space="preserve"> IF( 'From SvanPC++'!A246= "", "", ('From SvanPC++'!A246))</f>
        <v/>
      </c>
      <c r="C246" s="6" t="s">
        <v>10</v>
      </c>
      <c r="G246" s="38" t="str">
        <f t="shared" si="15"/>
        <v/>
      </c>
      <c r="H246" s="141" t="str">
        <f t="shared" si="16"/>
        <v/>
      </c>
      <c r="J246" s="141" t="str">
        <f t="shared" si="17"/>
        <v/>
      </c>
      <c r="K246" s="141" t="str">
        <f t="shared" si="18"/>
        <v/>
      </c>
      <c r="L246" s="141" t="str">
        <f t="shared" si="19"/>
        <v/>
      </c>
    </row>
    <row r="247" spans="1:12" x14ac:dyDescent="0.3">
      <c r="A247" s="2" t="str">
        <f xml:space="preserve"> IF( 'From SvanPC++'!A247= "", "", ('From SvanPC++'!A247))</f>
        <v/>
      </c>
      <c r="C247" s="6" t="s">
        <v>10</v>
      </c>
      <c r="G247" s="38" t="str">
        <f t="shared" si="15"/>
        <v/>
      </c>
      <c r="H247" s="141" t="str">
        <f t="shared" si="16"/>
        <v/>
      </c>
      <c r="J247" s="141" t="str">
        <f t="shared" si="17"/>
        <v/>
      </c>
      <c r="K247" s="141" t="str">
        <f t="shared" si="18"/>
        <v/>
      </c>
      <c r="L247" s="141" t="str">
        <f t="shared" si="19"/>
        <v/>
      </c>
    </row>
    <row r="248" spans="1:12" x14ac:dyDescent="0.3">
      <c r="A248" s="2" t="str">
        <f xml:space="preserve"> IF( 'From SvanPC++'!A248= "", "", ('From SvanPC++'!A248))</f>
        <v/>
      </c>
      <c r="C248" s="6" t="s">
        <v>10</v>
      </c>
      <c r="G248" s="38" t="str">
        <f t="shared" si="15"/>
        <v/>
      </c>
      <c r="H248" s="141" t="str">
        <f t="shared" si="16"/>
        <v/>
      </c>
      <c r="J248" s="141" t="str">
        <f t="shared" si="17"/>
        <v/>
      </c>
      <c r="K248" s="141" t="str">
        <f t="shared" si="18"/>
        <v/>
      </c>
      <c r="L248" s="141" t="str">
        <f t="shared" si="19"/>
        <v/>
      </c>
    </row>
    <row r="249" spans="1:12" x14ac:dyDescent="0.3">
      <c r="A249" s="2" t="str">
        <f xml:space="preserve"> IF( 'From SvanPC++'!A249= "", "", ('From SvanPC++'!A249))</f>
        <v/>
      </c>
      <c r="C249" s="6" t="s">
        <v>10</v>
      </c>
      <c r="G249" s="38" t="str">
        <f t="shared" si="15"/>
        <v/>
      </c>
      <c r="H249" s="141" t="str">
        <f t="shared" si="16"/>
        <v/>
      </c>
      <c r="J249" s="141" t="str">
        <f t="shared" si="17"/>
        <v/>
      </c>
      <c r="K249" s="141" t="str">
        <f t="shared" si="18"/>
        <v/>
      </c>
      <c r="L249" s="141" t="str">
        <f t="shared" si="19"/>
        <v/>
      </c>
    </row>
    <row r="250" spans="1:12" x14ac:dyDescent="0.3">
      <c r="A250" s="2" t="str">
        <f xml:space="preserve"> IF( 'From SvanPC++'!A250= "", "", ('From SvanPC++'!A250))</f>
        <v/>
      </c>
      <c r="C250" s="6" t="s">
        <v>10</v>
      </c>
      <c r="G250" s="38" t="str">
        <f t="shared" si="15"/>
        <v/>
      </c>
      <c r="H250" s="141" t="str">
        <f t="shared" si="16"/>
        <v/>
      </c>
      <c r="J250" s="141" t="str">
        <f t="shared" si="17"/>
        <v/>
      </c>
      <c r="K250" s="141" t="str">
        <f t="shared" si="18"/>
        <v/>
      </c>
      <c r="L250" s="141" t="str">
        <f t="shared" si="19"/>
        <v/>
      </c>
    </row>
    <row r="251" spans="1:12" x14ac:dyDescent="0.3">
      <c r="A251" s="2" t="str">
        <f xml:space="preserve"> IF( 'From SvanPC++'!A251= "", "", ('From SvanPC++'!A251))</f>
        <v/>
      </c>
      <c r="C251" s="6" t="s">
        <v>10</v>
      </c>
      <c r="G251" s="38" t="str">
        <f t="shared" si="15"/>
        <v/>
      </c>
      <c r="H251" s="141" t="str">
        <f t="shared" si="16"/>
        <v/>
      </c>
      <c r="J251" s="141" t="str">
        <f t="shared" si="17"/>
        <v/>
      </c>
      <c r="K251" s="141" t="str">
        <f t="shared" si="18"/>
        <v/>
      </c>
      <c r="L251" s="141" t="str">
        <f t="shared" si="19"/>
        <v/>
      </c>
    </row>
    <row r="252" spans="1:12" x14ac:dyDescent="0.3">
      <c r="A252" s="2" t="str">
        <f xml:space="preserve"> IF( 'From SvanPC++'!A252= "", "", ('From SvanPC++'!A252))</f>
        <v/>
      </c>
      <c r="C252" s="6" t="s">
        <v>10</v>
      </c>
      <c r="G252" s="38" t="str">
        <f t="shared" si="15"/>
        <v/>
      </c>
      <c r="H252" s="141" t="str">
        <f t="shared" si="16"/>
        <v/>
      </c>
      <c r="J252" s="141" t="str">
        <f t="shared" si="17"/>
        <v/>
      </c>
      <c r="K252" s="141" t="str">
        <f t="shared" si="18"/>
        <v/>
      </c>
      <c r="L252" s="141" t="str">
        <f t="shared" si="19"/>
        <v/>
      </c>
    </row>
    <row r="253" spans="1:12" x14ac:dyDescent="0.3">
      <c r="A253" s="2" t="str">
        <f xml:space="preserve"> IF( 'From SvanPC++'!A253= "", "", ('From SvanPC++'!A253))</f>
        <v/>
      </c>
      <c r="C253" s="6" t="s">
        <v>10</v>
      </c>
      <c r="G253" s="38" t="str">
        <f t="shared" si="15"/>
        <v/>
      </c>
      <c r="H253" s="141" t="str">
        <f t="shared" si="16"/>
        <v/>
      </c>
      <c r="J253" s="141" t="str">
        <f t="shared" si="17"/>
        <v/>
      </c>
      <c r="K253" s="141" t="str">
        <f t="shared" si="18"/>
        <v/>
      </c>
      <c r="L253" s="141" t="str">
        <f t="shared" si="19"/>
        <v/>
      </c>
    </row>
    <row r="254" spans="1:12" x14ac:dyDescent="0.3">
      <c r="A254" s="2" t="str">
        <f xml:space="preserve"> IF( 'From SvanPC++'!A254= "", "", ('From SvanPC++'!A254))</f>
        <v/>
      </c>
      <c r="C254" s="6" t="s">
        <v>10</v>
      </c>
      <c r="G254" s="38" t="str">
        <f t="shared" si="15"/>
        <v/>
      </c>
      <c r="H254" s="141" t="str">
        <f t="shared" si="16"/>
        <v/>
      </c>
      <c r="J254" s="141" t="str">
        <f t="shared" si="17"/>
        <v/>
      </c>
      <c r="K254" s="141" t="str">
        <f t="shared" si="18"/>
        <v/>
      </c>
      <c r="L254" s="141" t="str">
        <f t="shared" si="19"/>
        <v/>
      </c>
    </row>
    <row r="255" spans="1:12" x14ac:dyDescent="0.3">
      <c r="A255" s="2" t="str">
        <f xml:space="preserve"> IF( 'From SvanPC++'!A255= "", "", ('From SvanPC++'!A255))</f>
        <v/>
      </c>
      <c r="C255" s="6" t="s">
        <v>10</v>
      </c>
      <c r="G255" s="38" t="str">
        <f t="shared" si="15"/>
        <v/>
      </c>
      <c r="H255" s="141" t="str">
        <f t="shared" si="16"/>
        <v/>
      </c>
      <c r="J255" s="141" t="str">
        <f t="shared" si="17"/>
        <v/>
      </c>
      <c r="K255" s="141" t="str">
        <f t="shared" si="18"/>
        <v/>
      </c>
      <c r="L255" s="141" t="str">
        <f t="shared" si="19"/>
        <v/>
      </c>
    </row>
    <row r="256" spans="1:12" x14ac:dyDescent="0.3">
      <c r="A256" s="2" t="str">
        <f xml:space="preserve"> IF( 'From SvanPC++'!A256= "", "", ('From SvanPC++'!A256))</f>
        <v/>
      </c>
      <c r="C256" s="6" t="s">
        <v>10</v>
      </c>
      <c r="G256" s="38" t="str">
        <f t="shared" si="15"/>
        <v/>
      </c>
      <c r="H256" s="141" t="str">
        <f t="shared" si="16"/>
        <v/>
      </c>
      <c r="J256" s="141" t="str">
        <f t="shared" si="17"/>
        <v/>
      </c>
      <c r="K256" s="141" t="str">
        <f t="shared" si="18"/>
        <v/>
      </c>
      <c r="L256" s="141" t="str">
        <f t="shared" si="19"/>
        <v/>
      </c>
    </row>
    <row r="257" spans="1:12" x14ac:dyDescent="0.3">
      <c r="A257" s="2" t="str">
        <f xml:space="preserve"> IF( 'From SvanPC++'!A257= "", "", ('From SvanPC++'!A257))</f>
        <v/>
      </c>
      <c r="C257" s="6" t="s">
        <v>10</v>
      </c>
      <c r="G257" s="38" t="str">
        <f t="shared" si="15"/>
        <v/>
      </c>
      <c r="H257" s="141" t="str">
        <f t="shared" si="16"/>
        <v/>
      </c>
      <c r="J257" s="141" t="str">
        <f t="shared" si="17"/>
        <v/>
      </c>
      <c r="K257" s="141" t="str">
        <f t="shared" si="18"/>
        <v/>
      </c>
      <c r="L257" s="141" t="str">
        <f t="shared" si="19"/>
        <v/>
      </c>
    </row>
    <row r="258" spans="1:12" x14ac:dyDescent="0.3">
      <c r="A258" s="2" t="str">
        <f xml:space="preserve"> IF( 'From SvanPC++'!A258= "", "", ('From SvanPC++'!A258))</f>
        <v/>
      </c>
      <c r="C258" s="6" t="s">
        <v>10</v>
      </c>
      <c r="G258" s="38" t="str">
        <f t="shared" si="15"/>
        <v/>
      </c>
      <c r="H258" s="141" t="str">
        <f t="shared" si="16"/>
        <v/>
      </c>
      <c r="J258" s="141" t="str">
        <f t="shared" si="17"/>
        <v/>
      </c>
      <c r="K258" s="141" t="str">
        <f t="shared" si="18"/>
        <v/>
      </c>
      <c r="L258" s="141" t="str">
        <f t="shared" si="19"/>
        <v/>
      </c>
    </row>
    <row r="259" spans="1:12" x14ac:dyDescent="0.3">
      <c r="A259" s="2" t="str">
        <f xml:space="preserve"> IF( 'From SvanPC++'!A259= "", "", ('From SvanPC++'!A259))</f>
        <v/>
      </c>
      <c r="C259" s="6" t="s">
        <v>10</v>
      </c>
      <c r="G259" s="38" t="str">
        <f t="shared" si="15"/>
        <v/>
      </c>
      <c r="H259" s="141" t="str">
        <f t="shared" si="16"/>
        <v/>
      </c>
      <c r="J259" s="141" t="str">
        <f t="shared" si="17"/>
        <v/>
      </c>
      <c r="K259" s="141" t="str">
        <f t="shared" si="18"/>
        <v/>
      </c>
      <c r="L259" s="141" t="str">
        <f t="shared" si="19"/>
        <v/>
      </c>
    </row>
    <row r="260" spans="1:12" x14ac:dyDescent="0.3">
      <c r="A260" s="2" t="str">
        <f xml:space="preserve"> IF( 'From SvanPC++'!A260= "", "", ('From SvanPC++'!A260))</f>
        <v/>
      </c>
      <c r="C260" s="6" t="s">
        <v>10</v>
      </c>
      <c r="G260" s="38" t="str">
        <f t="shared" si="15"/>
        <v/>
      </c>
      <c r="H260" s="141" t="str">
        <f t="shared" si="16"/>
        <v/>
      </c>
      <c r="J260" s="141" t="str">
        <f t="shared" si="17"/>
        <v/>
      </c>
      <c r="K260" s="141" t="str">
        <f t="shared" si="18"/>
        <v/>
      </c>
      <c r="L260" s="141" t="str">
        <f t="shared" si="19"/>
        <v/>
      </c>
    </row>
    <row r="261" spans="1:12" x14ac:dyDescent="0.3">
      <c r="A261" s="2" t="str">
        <f xml:space="preserve"> IF( 'From SvanPC++'!A261= "", "", ('From SvanPC++'!A261))</f>
        <v/>
      </c>
      <c r="C261" s="6" t="s">
        <v>10</v>
      </c>
      <c r="G261" s="38" t="str">
        <f t="shared" si="15"/>
        <v/>
      </c>
      <c r="H261" s="141" t="str">
        <f t="shared" si="16"/>
        <v/>
      </c>
      <c r="J261" s="141" t="str">
        <f t="shared" si="17"/>
        <v/>
      </c>
      <c r="K261" s="141" t="str">
        <f t="shared" si="18"/>
        <v/>
      </c>
      <c r="L261" s="141" t="str">
        <f t="shared" si="19"/>
        <v/>
      </c>
    </row>
    <row r="262" spans="1:12" x14ac:dyDescent="0.3">
      <c r="A262" s="2" t="str">
        <f xml:space="preserve"> IF( 'From SvanPC++'!A262= "", "", ('From SvanPC++'!A262))</f>
        <v/>
      </c>
      <c r="C262" s="6" t="s">
        <v>10</v>
      </c>
      <c r="G262" s="38" t="str">
        <f t="shared" si="15"/>
        <v/>
      </c>
      <c r="H262" s="141" t="str">
        <f t="shared" si="16"/>
        <v/>
      </c>
      <c r="J262" s="141" t="str">
        <f t="shared" si="17"/>
        <v/>
      </c>
      <c r="K262" s="141" t="str">
        <f t="shared" si="18"/>
        <v/>
      </c>
      <c r="L262" s="141" t="str">
        <f t="shared" si="19"/>
        <v/>
      </c>
    </row>
    <row r="263" spans="1:12" x14ac:dyDescent="0.3">
      <c r="A263" s="2" t="str">
        <f xml:space="preserve"> IF( 'From SvanPC++'!A263= "", "", ('From SvanPC++'!A263))</f>
        <v/>
      </c>
      <c r="C263" s="6" t="s">
        <v>10</v>
      </c>
      <c r="G263" s="38" t="str">
        <f t="shared" ref="G263:G326" si="20" xml:space="preserve"> IF( D263= "", "", ( IF( AND( D263 &gt;= TIMEVALUE( "07:00:01" ), D263 &lt; TIMEVALUE( "08:00:01" ) ) = TRUE, (G262+1), (G262+0) )))</f>
        <v/>
      </c>
      <c r="H263" s="141" t="str">
        <f t="shared" ref="H263:H326" si="21" xml:space="preserve"> IF( D263= "", "", (
IF( AND( D263 &gt;= TIMEVALUE( "07:00:01" ), D263 &lt;= TIMEVALUE( "18:00:00" ), WEEKDAY( C263,1+N("            Weekday Day Period              ")) &gt;=2, ( WEEKDAY( C263,1) &lt;=6) ) = TRUE, "Day",
IF( AND( D263 &gt;= TIMEVALUE( "18:00:01" ), D263 &lt;= TIMEVALUE( "22:00:00" ), WEEKDAY( C263,1+N("            Weekday Evening Period          ")) &gt;=2, ( WEEKDAY( C263,1) &lt;=6) ) = TRUE, "Evening",
IF( AND( D263 &gt;= TIMEVALUE( "22:00:01" ), D263 &lt;= TIMEVALUE( "23:59:59" ), WEEKDAY( C263,1+N("            Weekday Night Period            ")) &gt;=2, ( WEEKDAY( C263,1) &lt;=6) ) = TRUE, "Night",
IF( AND( D263 &gt;= TIMEVALUE( "00:00:00" ), D263 &lt;= TIMEVALUE( "07:00:00" ), WEEKDAY( C263,1+N("            Weekday Night Period            ")) &gt;=2, ( WEEKDAY( C263,1) &lt;=6) ) = TRUE, "Night",
IF( AND( D263 &gt;= TIMEVALUE( "07:00:01" ), D263 &lt;= TIMEVALUE( "18:00:00" ), WEEKDAY( C263) =(7+N("         Saturday Day Period             ")) ) = TRUE, "Day",
IF( AND( D263 &gt;= TIMEVALUE( "18:00:01" ), D263 &lt;= TIMEVALUE( "22:00:00" ), WEEKDAY( C263) =(7+N("         Saturday Evening Period         ")) ) = TRUE, "Evening",
IF( AND( D263 &gt;= TIMEVALUE( "22:00:01" ), D263 &lt;= TIMEVALUE( "23:59:59" ), WEEKDAY( C263) =(7+N("         Saturday Night Period           ")) ) = TRUE, "Night",
IF( AND( D263 &gt;= TIMEVALUE( "00:00:00" ), D263 &lt;= TIMEVALUE( "07:00:00" ), WEEKDAY( C263) =(7+N("         Saturday Night Period           ")) ) = TRUE, "Night",
IF( AND( D263 &gt;= TIMEVALUE( "07:00:01" ), D263 &lt;= TIMEVALUE( "22:00:00" ), WEEKDAY( C263) =(1+N("         Sunday Evening Period           ")) ) = TRUE, "Evening",
IF( AND( D263 &gt;= TIMEVALUE( "20:00:01" ), D263 &lt;= TIMEVALUE( "23:59:59" ), WEEKDAY( C263) =(1+N("         Sunday Night Period             ")) ) = TRUE, "Night",
IF( AND( D263 &gt;= TIMEVALUE( "00:00:00" ), D263 &lt;= TIMEVALUE( "07:00:00" ), WEEKDAY( C263) =(1+N("         Sunday Night Period             ")) ) = TRUE, "Night",
)))))))))))))</f>
        <v/>
      </c>
      <c r="J263" s="141" t="str">
        <f t="shared" si="17"/>
        <v/>
      </c>
      <c r="K263" s="141" t="str">
        <f t="shared" si="18"/>
        <v/>
      </c>
      <c r="L263" s="141" t="str">
        <f t="shared" si="19"/>
        <v/>
      </c>
    </row>
    <row r="264" spans="1:12" x14ac:dyDescent="0.3">
      <c r="A264" s="2" t="str">
        <f xml:space="preserve"> IF( 'From SvanPC++'!A264= "", "", ('From SvanPC++'!A264))</f>
        <v/>
      </c>
      <c r="C264" s="6" t="s">
        <v>10</v>
      </c>
      <c r="G264" s="38" t="str">
        <f t="shared" si="20"/>
        <v/>
      </c>
      <c r="H264" s="141" t="str">
        <f t="shared" si="21"/>
        <v/>
      </c>
      <c r="J264" s="141" t="str">
        <f t="shared" ref="J264:J327" si="22" xml:space="preserve"> IF( ISERROR( IF( D264= "", "", ( IF( G264= (G263+1), ( AVERAGEIFS( E264:E408, G264:G408, G264, H264:H408, "Day" )), "" )))), "",( IF( D264= "", "", ( IF( G264= (G263+1), ( AVERAGEIFS( E264:E408, G264:G408, G264, H264:H408, "Day" )), "" )))))</f>
        <v/>
      </c>
      <c r="K264" s="141" t="str">
        <f t="shared" ref="K264:K327" si="23" xml:space="preserve"> IF( ISERROR( IF( D264= "", "", ( IF( G264= (G263+1), ( AVERAGEIFS( E264:E408, G264:G408, G264, H264:H408, "Evening" )), "" )))), "",( IF( D264= "", "", ( IF( G264= (G263+1), ( AVERAGEIFS( E264:E408, G264:G408, G264, H264:H408, "Evening" )), "" )))))</f>
        <v/>
      </c>
      <c r="L264" s="141" t="str">
        <f t="shared" ref="L264:L327" si="24" xml:space="preserve"> IF( ISERROR( IF( D264= "", "", ( IF( G264= (G263+1), ( AVERAGEIFS( E264:E408, G264:G408, G264, H264:H408, "Night" )), "" )))), "",( IF( D264= "", "", ( IF( G264= (G263+1), ( AVERAGEIFS( E264:E408, G264:G408, G264, H264:H408, "Night" )), "" )))))</f>
        <v/>
      </c>
    </row>
    <row r="265" spans="1:12" x14ac:dyDescent="0.3">
      <c r="A265" s="2" t="str">
        <f xml:space="preserve"> IF( 'From SvanPC++'!A265= "", "", ('From SvanPC++'!A265))</f>
        <v/>
      </c>
      <c r="C265" s="6" t="s">
        <v>10</v>
      </c>
      <c r="G265" s="38" t="str">
        <f t="shared" si="20"/>
        <v/>
      </c>
      <c r="H265" s="141" t="str">
        <f t="shared" si="21"/>
        <v/>
      </c>
      <c r="J265" s="141" t="str">
        <f t="shared" si="22"/>
        <v/>
      </c>
      <c r="K265" s="141" t="str">
        <f t="shared" si="23"/>
        <v/>
      </c>
      <c r="L265" s="141" t="str">
        <f t="shared" si="24"/>
        <v/>
      </c>
    </row>
    <row r="266" spans="1:12" x14ac:dyDescent="0.3">
      <c r="A266" s="2" t="str">
        <f xml:space="preserve"> IF( 'From SvanPC++'!A266= "", "", ('From SvanPC++'!A266))</f>
        <v/>
      </c>
      <c r="C266" s="6" t="s">
        <v>10</v>
      </c>
      <c r="G266" s="38" t="str">
        <f t="shared" si="20"/>
        <v/>
      </c>
      <c r="H266" s="141" t="str">
        <f t="shared" si="21"/>
        <v/>
      </c>
      <c r="J266" s="141" t="str">
        <f t="shared" si="22"/>
        <v/>
      </c>
      <c r="K266" s="141" t="str">
        <f t="shared" si="23"/>
        <v/>
      </c>
      <c r="L266" s="141" t="str">
        <f t="shared" si="24"/>
        <v/>
      </c>
    </row>
    <row r="267" spans="1:12" x14ac:dyDescent="0.3">
      <c r="A267" s="2" t="str">
        <f xml:space="preserve"> IF( 'From SvanPC++'!A267= "", "", ('From SvanPC++'!A267))</f>
        <v/>
      </c>
      <c r="C267" s="6" t="s">
        <v>10</v>
      </c>
      <c r="G267" s="38" t="str">
        <f t="shared" si="20"/>
        <v/>
      </c>
      <c r="H267" s="141" t="str">
        <f t="shared" si="21"/>
        <v/>
      </c>
      <c r="J267" s="141" t="str">
        <f t="shared" si="22"/>
        <v/>
      </c>
      <c r="K267" s="141" t="str">
        <f t="shared" si="23"/>
        <v/>
      </c>
      <c r="L267" s="141" t="str">
        <f t="shared" si="24"/>
        <v/>
      </c>
    </row>
    <row r="268" spans="1:12" x14ac:dyDescent="0.3">
      <c r="A268" s="2" t="str">
        <f xml:space="preserve"> IF( 'From SvanPC++'!A268= "", "", ('From SvanPC++'!A268))</f>
        <v/>
      </c>
      <c r="C268" s="6" t="s">
        <v>10</v>
      </c>
      <c r="G268" s="38" t="str">
        <f t="shared" si="20"/>
        <v/>
      </c>
      <c r="H268" s="141" t="str">
        <f t="shared" si="21"/>
        <v/>
      </c>
      <c r="J268" s="141" t="str">
        <f t="shared" si="22"/>
        <v/>
      </c>
      <c r="K268" s="141" t="str">
        <f t="shared" si="23"/>
        <v/>
      </c>
      <c r="L268" s="141" t="str">
        <f t="shared" si="24"/>
        <v/>
      </c>
    </row>
    <row r="269" spans="1:12" x14ac:dyDescent="0.3">
      <c r="A269" s="2" t="str">
        <f xml:space="preserve"> IF( 'From SvanPC++'!A269= "", "", ('From SvanPC++'!A269))</f>
        <v/>
      </c>
      <c r="C269" s="6" t="s">
        <v>10</v>
      </c>
      <c r="G269" s="38" t="str">
        <f t="shared" si="20"/>
        <v/>
      </c>
      <c r="H269" s="141" t="str">
        <f t="shared" si="21"/>
        <v/>
      </c>
      <c r="J269" s="141" t="str">
        <f t="shared" si="22"/>
        <v/>
      </c>
      <c r="K269" s="141" t="str">
        <f t="shared" si="23"/>
        <v/>
      </c>
      <c r="L269" s="141" t="str">
        <f t="shared" si="24"/>
        <v/>
      </c>
    </row>
    <row r="270" spans="1:12" x14ac:dyDescent="0.3">
      <c r="A270" s="2" t="str">
        <f xml:space="preserve"> IF( 'From SvanPC++'!A270= "", "", ('From SvanPC++'!A270))</f>
        <v/>
      </c>
      <c r="C270" s="6" t="s">
        <v>10</v>
      </c>
      <c r="G270" s="38" t="str">
        <f t="shared" si="20"/>
        <v/>
      </c>
      <c r="H270" s="141" t="str">
        <f t="shared" si="21"/>
        <v/>
      </c>
      <c r="J270" s="141" t="str">
        <f t="shared" si="22"/>
        <v/>
      </c>
      <c r="K270" s="141" t="str">
        <f t="shared" si="23"/>
        <v/>
      </c>
      <c r="L270" s="141" t="str">
        <f t="shared" si="24"/>
        <v/>
      </c>
    </row>
    <row r="271" spans="1:12" x14ac:dyDescent="0.3">
      <c r="A271" s="2" t="str">
        <f xml:space="preserve"> IF( 'From SvanPC++'!A271= "", "", ('From SvanPC++'!A271))</f>
        <v/>
      </c>
      <c r="C271" s="6" t="s">
        <v>10</v>
      </c>
      <c r="G271" s="38" t="str">
        <f t="shared" si="20"/>
        <v/>
      </c>
      <c r="H271" s="141" t="str">
        <f t="shared" si="21"/>
        <v/>
      </c>
      <c r="J271" s="141" t="str">
        <f t="shared" si="22"/>
        <v/>
      </c>
      <c r="K271" s="141" t="str">
        <f t="shared" si="23"/>
        <v/>
      </c>
      <c r="L271" s="141" t="str">
        <f t="shared" si="24"/>
        <v/>
      </c>
    </row>
    <row r="272" spans="1:12" x14ac:dyDescent="0.3">
      <c r="A272" s="2" t="str">
        <f xml:space="preserve"> IF( 'From SvanPC++'!A272= "", "", ('From SvanPC++'!A272))</f>
        <v/>
      </c>
      <c r="C272" s="6" t="s">
        <v>10</v>
      </c>
      <c r="G272" s="38" t="str">
        <f t="shared" si="20"/>
        <v/>
      </c>
      <c r="H272" s="141" t="str">
        <f t="shared" si="21"/>
        <v/>
      </c>
      <c r="J272" s="141" t="str">
        <f t="shared" si="22"/>
        <v/>
      </c>
      <c r="K272" s="141" t="str">
        <f t="shared" si="23"/>
        <v/>
      </c>
      <c r="L272" s="141" t="str">
        <f t="shared" si="24"/>
        <v/>
      </c>
    </row>
    <row r="273" spans="1:12" x14ac:dyDescent="0.3">
      <c r="A273" s="2" t="str">
        <f xml:space="preserve"> IF( 'From SvanPC++'!A273= "", "", ('From SvanPC++'!A273))</f>
        <v/>
      </c>
      <c r="C273" s="6" t="s">
        <v>10</v>
      </c>
      <c r="G273" s="38" t="str">
        <f t="shared" si="20"/>
        <v/>
      </c>
      <c r="H273" s="141" t="str">
        <f t="shared" si="21"/>
        <v/>
      </c>
      <c r="J273" s="141" t="str">
        <f t="shared" si="22"/>
        <v/>
      </c>
      <c r="K273" s="141" t="str">
        <f t="shared" si="23"/>
        <v/>
      </c>
      <c r="L273" s="141" t="str">
        <f t="shared" si="24"/>
        <v/>
      </c>
    </row>
    <row r="274" spans="1:12" x14ac:dyDescent="0.3">
      <c r="A274" s="2" t="str">
        <f xml:space="preserve"> IF( 'From SvanPC++'!A274= "", "", ('From SvanPC++'!A274))</f>
        <v/>
      </c>
      <c r="C274" s="6" t="s">
        <v>10</v>
      </c>
      <c r="G274" s="38" t="str">
        <f t="shared" si="20"/>
        <v/>
      </c>
      <c r="H274" s="141" t="str">
        <f t="shared" si="21"/>
        <v/>
      </c>
      <c r="J274" s="141" t="str">
        <f t="shared" si="22"/>
        <v/>
      </c>
      <c r="K274" s="141" t="str">
        <f t="shared" si="23"/>
        <v/>
      </c>
      <c r="L274" s="141" t="str">
        <f t="shared" si="24"/>
        <v/>
      </c>
    </row>
    <row r="275" spans="1:12" x14ac:dyDescent="0.3">
      <c r="A275" s="2" t="str">
        <f xml:space="preserve"> IF( 'From SvanPC++'!A275= "", "", ('From SvanPC++'!A275))</f>
        <v/>
      </c>
      <c r="C275" s="6" t="s">
        <v>10</v>
      </c>
      <c r="G275" s="38" t="str">
        <f t="shared" si="20"/>
        <v/>
      </c>
      <c r="H275" s="141" t="str">
        <f t="shared" si="21"/>
        <v/>
      </c>
      <c r="J275" s="141" t="str">
        <f t="shared" si="22"/>
        <v/>
      </c>
      <c r="K275" s="141" t="str">
        <f t="shared" si="23"/>
        <v/>
      </c>
      <c r="L275" s="141" t="str">
        <f t="shared" si="24"/>
        <v/>
      </c>
    </row>
    <row r="276" spans="1:12" x14ac:dyDescent="0.3">
      <c r="A276" s="2" t="str">
        <f xml:space="preserve"> IF( 'From SvanPC++'!A276= "", "", ('From SvanPC++'!A276))</f>
        <v/>
      </c>
      <c r="C276" s="6" t="s">
        <v>10</v>
      </c>
      <c r="G276" s="38" t="str">
        <f t="shared" si="20"/>
        <v/>
      </c>
      <c r="H276" s="141" t="str">
        <f t="shared" si="21"/>
        <v/>
      </c>
      <c r="J276" s="141" t="str">
        <f t="shared" si="22"/>
        <v/>
      </c>
      <c r="K276" s="141" t="str">
        <f t="shared" si="23"/>
        <v/>
      </c>
      <c r="L276" s="141" t="str">
        <f t="shared" si="24"/>
        <v/>
      </c>
    </row>
    <row r="277" spans="1:12" x14ac:dyDescent="0.3">
      <c r="A277" s="2" t="str">
        <f xml:space="preserve"> IF( 'From SvanPC++'!A277= "", "", ('From SvanPC++'!A277))</f>
        <v/>
      </c>
      <c r="C277" s="6" t="s">
        <v>10</v>
      </c>
      <c r="G277" s="38" t="str">
        <f t="shared" si="20"/>
        <v/>
      </c>
      <c r="H277" s="141" t="str">
        <f t="shared" si="21"/>
        <v/>
      </c>
      <c r="J277" s="141" t="str">
        <f t="shared" si="22"/>
        <v/>
      </c>
      <c r="K277" s="141" t="str">
        <f t="shared" si="23"/>
        <v/>
      </c>
      <c r="L277" s="141" t="str">
        <f t="shared" si="24"/>
        <v/>
      </c>
    </row>
    <row r="278" spans="1:12" x14ac:dyDescent="0.3">
      <c r="A278" s="2" t="str">
        <f xml:space="preserve"> IF( 'From SvanPC++'!A278= "", "", ('From SvanPC++'!A278))</f>
        <v/>
      </c>
      <c r="C278" s="6" t="s">
        <v>10</v>
      </c>
      <c r="G278" s="38" t="str">
        <f t="shared" si="20"/>
        <v/>
      </c>
      <c r="H278" s="141" t="str">
        <f t="shared" si="21"/>
        <v/>
      </c>
      <c r="J278" s="141" t="str">
        <f t="shared" si="22"/>
        <v/>
      </c>
      <c r="K278" s="141" t="str">
        <f t="shared" si="23"/>
        <v/>
      </c>
      <c r="L278" s="141" t="str">
        <f t="shared" si="24"/>
        <v/>
      </c>
    </row>
    <row r="279" spans="1:12" x14ac:dyDescent="0.3">
      <c r="A279" s="2" t="str">
        <f xml:space="preserve"> IF( 'From SvanPC++'!A279= "", "", ('From SvanPC++'!A279))</f>
        <v/>
      </c>
      <c r="C279" s="6" t="s">
        <v>10</v>
      </c>
      <c r="G279" s="38" t="str">
        <f t="shared" si="20"/>
        <v/>
      </c>
      <c r="H279" s="141" t="str">
        <f t="shared" si="21"/>
        <v/>
      </c>
      <c r="J279" s="141" t="str">
        <f t="shared" si="22"/>
        <v/>
      </c>
      <c r="K279" s="141" t="str">
        <f t="shared" si="23"/>
        <v/>
      </c>
      <c r="L279" s="141" t="str">
        <f t="shared" si="24"/>
        <v/>
      </c>
    </row>
    <row r="280" spans="1:12" x14ac:dyDescent="0.3">
      <c r="A280" s="2" t="str">
        <f xml:space="preserve"> IF( 'From SvanPC++'!A280= "", "", ('From SvanPC++'!A280))</f>
        <v/>
      </c>
      <c r="C280" s="6" t="s">
        <v>10</v>
      </c>
      <c r="G280" s="38" t="str">
        <f t="shared" si="20"/>
        <v/>
      </c>
      <c r="H280" s="141" t="str">
        <f t="shared" si="21"/>
        <v/>
      </c>
      <c r="J280" s="141" t="str">
        <f t="shared" si="22"/>
        <v/>
      </c>
      <c r="K280" s="141" t="str">
        <f t="shared" si="23"/>
        <v/>
      </c>
      <c r="L280" s="141" t="str">
        <f t="shared" si="24"/>
        <v/>
      </c>
    </row>
    <row r="281" spans="1:12" x14ac:dyDescent="0.3">
      <c r="A281" s="2" t="str">
        <f xml:space="preserve"> IF( 'From SvanPC++'!A281= "", "", ('From SvanPC++'!A281))</f>
        <v/>
      </c>
      <c r="C281" s="6" t="s">
        <v>10</v>
      </c>
      <c r="G281" s="38" t="str">
        <f t="shared" si="20"/>
        <v/>
      </c>
      <c r="H281" s="141" t="str">
        <f t="shared" si="21"/>
        <v/>
      </c>
      <c r="J281" s="141" t="str">
        <f t="shared" si="22"/>
        <v/>
      </c>
      <c r="K281" s="141" t="str">
        <f t="shared" si="23"/>
        <v/>
      </c>
      <c r="L281" s="141" t="str">
        <f t="shared" si="24"/>
        <v/>
      </c>
    </row>
    <row r="282" spans="1:12" x14ac:dyDescent="0.3">
      <c r="A282" s="2" t="str">
        <f xml:space="preserve"> IF( 'From SvanPC++'!A282= "", "", ('From SvanPC++'!A282))</f>
        <v/>
      </c>
      <c r="C282" s="6" t="s">
        <v>10</v>
      </c>
      <c r="G282" s="38" t="str">
        <f t="shared" si="20"/>
        <v/>
      </c>
      <c r="H282" s="141" t="str">
        <f t="shared" si="21"/>
        <v/>
      </c>
      <c r="J282" s="141" t="str">
        <f t="shared" si="22"/>
        <v/>
      </c>
      <c r="K282" s="141" t="str">
        <f t="shared" si="23"/>
        <v/>
      </c>
      <c r="L282" s="141" t="str">
        <f t="shared" si="24"/>
        <v/>
      </c>
    </row>
    <row r="283" spans="1:12" x14ac:dyDescent="0.3">
      <c r="A283" s="2" t="str">
        <f xml:space="preserve"> IF( 'From SvanPC++'!A283= "", "", ('From SvanPC++'!A283))</f>
        <v/>
      </c>
      <c r="C283" s="6" t="s">
        <v>10</v>
      </c>
      <c r="G283" s="38" t="str">
        <f t="shared" si="20"/>
        <v/>
      </c>
      <c r="H283" s="141" t="str">
        <f t="shared" si="21"/>
        <v/>
      </c>
      <c r="J283" s="141" t="str">
        <f t="shared" si="22"/>
        <v/>
      </c>
      <c r="K283" s="141" t="str">
        <f t="shared" si="23"/>
        <v/>
      </c>
      <c r="L283" s="141" t="str">
        <f t="shared" si="24"/>
        <v/>
      </c>
    </row>
    <row r="284" spans="1:12" x14ac:dyDescent="0.3">
      <c r="A284" s="2" t="str">
        <f xml:space="preserve"> IF( 'From SvanPC++'!A284= "", "", ('From SvanPC++'!A284))</f>
        <v/>
      </c>
      <c r="C284" s="6" t="s">
        <v>10</v>
      </c>
      <c r="G284" s="38" t="str">
        <f t="shared" si="20"/>
        <v/>
      </c>
      <c r="H284" s="141" t="str">
        <f t="shared" si="21"/>
        <v/>
      </c>
      <c r="J284" s="141" t="str">
        <f t="shared" si="22"/>
        <v/>
      </c>
      <c r="K284" s="141" t="str">
        <f t="shared" si="23"/>
        <v/>
      </c>
      <c r="L284" s="141" t="str">
        <f t="shared" si="24"/>
        <v/>
      </c>
    </row>
    <row r="285" spans="1:12" x14ac:dyDescent="0.3">
      <c r="A285" s="2" t="str">
        <f xml:space="preserve"> IF( 'From SvanPC++'!A285= "", "", ('From SvanPC++'!A285))</f>
        <v/>
      </c>
      <c r="C285" s="6" t="s">
        <v>10</v>
      </c>
      <c r="G285" s="38" t="str">
        <f t="shared" si="20"/>
        <v/>
      </c>
      <c r="H285" s="141" t="str">
        <f t="shared" si="21"/>
        <v/>
      </c>
      <c r="J285" s="141" t="str">
        <f t="shared" si="22"/>
        <v/>
      </c>
      <c r="K285" s="141" t="str">
        <f t="shared" si="23"/>
        <v/>
      </c>
      <c r="L285" s="141" t="str">
        <f t="shared" si="24"/>
        <v/>
      </c>
    </row>
    <row r="286" spans="1:12" x14ac:dyDescent="0.3">
      <c r="A286" s="2" t="str">
        <f xml:space="preserve"> IF( 'From SvanPC++'!A286= "", "", ('From SvanPC++'!A286))</f>
        <v/>
      </c>
      <c r="C286" s="6" t="s">
        <v>10</v>
      </c>
      <c r="G286" s="38" t="str">
        <f t="shared" si="20"/>
        <v/>
      </c>
      <c r="H286" s="141" t="str">
        <f t="shared" si="21"/>
        <v/>
      </c>
      <c r="J286" s="141" t="str">
        <f t="shared" si="22"/>
        <v/>
      </c>
      <c r="K286" s="141" t="str">
        <f t="shared" si="23"/>
        <v/>
      </c>
      <c r="L286" s="141" t="str">
        <f t="shared" si="24"/>
        <v/>
      </c>
    </row>
    <row r="287" spans="1:12" x14ac:dyDescent="0.3">
      <c r="A287" s="2" t="str">
        <f xml:space="preserve"> IF( 'From SvanPC++'!A287= "", "", ('From SvanPC++'!A287))</f>
        <v/>
      </c>
      <c r="C287" s="6" t="s">
        <v>10</v>
      </c>
      <c r="G287" s="38" t="str">
        <f t="shared" si="20"/>
        <v/>
      </c>
      <c r="H287" s="141" t="str">
        <f t="shared" si="21"/>
        <v/>
      </c>
      <c r="J287" s="141" t="str">
        <f t="shared" si="22"/>
        <v/>
      </c>
      <c r="K287" s="141" t="str">
        <f t="shared" si="23"/>
        <v/>
      </c>
      <c r="L287" s="141" t="str">
        <f t="shared" si="24"/>
        <v/>
      </c>
    </row>
    <row r="288" spans="1:12" x14ac:dyDescent="0.3">
      <c r="A288" s="2" t="str">
        <f xml:space="preserve"> IF( 'From SvanPC++'!A288= "", "", ('From SvanPC++'!A288))</f>
        <v/>
      </c>
      <c r="C288" s="6" t="s">
        <v>10</v>
      </c>
      <c r="G288" s="38" t="str">
        <f t="shared" si="20"/>
        <v/>
      </c>
      <c r="H288" s="141" t="str">
        <f t="shared" si="21"/>
        <v/>
      </c>
      <c r="J288" s="141" t="str">
        <f t="shared" si="22"/>
        <v/>
      </c>
      <c r="K288" s="141" t="str">
        <f t="shared" si="23"/>
        <v/>
      </c>
      <c r="L288" s="141" t="str">
        <f t="shared" si="24"/>
        <v/>
      </c>
    </row>
    <row r="289" spans="1:12" x14ac:dyDescent="0.3">
      <c r="A289" s="2" t="str">
        <f xml:space="preserve"> IF( 'From SvanPC++'!A289= "", "", ('From SvanPC++'!A289))</f>
        <v/>
      </c>
      <c r="C289" s="6" t="s">
        <v>10</v>
      </c>
      <c r="G289" s="38" t="str">
        <f t="shared" si="20"/>
        <v/>
      </c>
      <c r="H289" s="141" t="str">
        <f t="shared" si="21"/>
        <v/>
      </c>
      <c r="J289" s="141" t="str">
        <f t="shared" si="22"/>
        <v/>
      </c>
      <c r="K289" s="141" t="str">
        <f t="shared" si="23"/>
        <v/>
      </c>
      <c r="L289" s="141" t="str">
        <f t="shared" si="24"/>
        <v/>
      </c>
    </row>
    <row r="290" spans="1:12" x14ac:dyDescent="0.3">
      <c r="A290" s="2" t="str">
        <f xml:space="preserve"> IF( 'From SvanPC++'!A290= "", "", ('From SvanPC++'!A290))</f>
        <v/>
      </c>
      <c r="C290" s="6" t="s">
        <v>10</v>
      </c>
      <c r="G290" s="38" t="str">
        <f t="shared" si="20"/>
        <v/>
      </c>
      <c r="H290" s="141" t="str">
        <f t="shared" si="21"/>
        <v/>
      </c>
      <c r="J290" s="141" t="str">
        <f t="shared" si="22"/>
        <v/>
      </c>
      <c r="K290" s="141" t="str">
        <f t="shared" si="23"/>
        <v/>
      </c>
      <c r="L290" s="141" t="str">
        <f t="shared" si="24"/>
        <v/>
      </c>
    </row>
    <row r="291" spans="1:12" x14ac:dyDescent="0.3">
      <c r="A291" s="2" t="str">
        <f xml:space="preserve"> IF( 'From SvanPC++'!A291= "", "", ('From SvanPC++'!A291))</f>
        <v/>
      </c>
      <c r="C291" s="6" t="s">
        <v>10</v>
      </c>
      <c r="G291" s="38" t="str">
        <f t="shared" si="20"/>
        <v/>
      </c>
      <c r="H291" s="141" t="str">
        <f t="shared" si="21"/>
        <v/>
      </c>
      <c r="J291" s="141" t="str">
        <f t="shared" si="22"/>
        <v/>
      </c>
      <c r="K291" s="141" t="str">
        <f t="shared" si="23"/>
        <v/>
      </c>
      <c r="L291" s="141" t="str">
        <f t="shared" si="24"/>
        <v/>
      </c>
    </row>
    <row r="292" spans="1:12" x14ac:dyDescent="0.3">
      <c r="A292" s="2" t="str">
        <f xml:space="preserve"> IF( 'From SvanPC++'!A292= "", "", ('From SvanPC++'!A292))</f>
        <v/>
      </c>
      <c r="C292" s="6" t="s">
        <v>10</v>
      </c>
      <c r="G292" s="38" t="str">
        <f t="shared" si="20"/>
        <v/>
      </c>
      <c r="H292" s="141" t="str">
        <f t="shared" si="21"/>
        <v/>
      </c>
      <c r="J292" s="141" t="str">
        <f t="shared" si="22"/>
        <v/>
      </c>
      <c r="K292" s="141" t="str">
        <f t="shared" si="23"/>
        <v/>
      </c>
      <c r="L292" s="141" t="str">
        <f t="shared" si="24"/>
        <v/>
      </c>
    </row>
    <row r="293" spans="1:12" x14ac:dyDescent="0.3">
      <c r="A293" s="2" t="str">
        <f xml:space="preserve"> IF( 'From SvanPC++'!A293= "", "", ('From SvanPC++'!A293))</f>
        <v/>
      </c>
      <c r="C293" s="6" t="s">
        <v>10</v>
      </c>
      <c r="G293" s="38" t="str">
        <f t="shared" si="20"/>
        <v/>
      </c>
      <c r="H293" s="141" t="str">
        <f t="shared" si="21"/>
        <v/>
      </c>
      <c r="J293" s="141" t="str">
        <f t="shared" si="22"/>
        <v/>
      </c>
      <c r="K293" s="141" t="str">
        <f t="shared" si="23"/>
        <v/>
      </c>
      <c r="L293" s="141" t="str">
        <f t="shared" si="24"/>
        <v/>
      </c>
    </row>
    <row r="294" spans="1:12" x14ac:dyDescent="0.3">
      <c r="A294" s="2" t="str">
        <f xml:space="preserve"> IF( 'From SvanPC++'!A294= "", "", ('From SvanPC++'!A294))</f>
        <v/>
      </c>
      <c r="C294" s="6" t="s">
        <v>10</v>
      </c>
      <c r="G294" s="38" t="str">
        <f t="shared" si="20"/>
        <v/>
      </c>
      <c r="H294" s="141" t="str">
        <f t="shared" si="21"/>
        <v/>
      </c>
      <c r="J294" s="141" t="str">
        <f t="shared" si="22"/>
        <v/>
      </c>
      <c r="K294" s="141" t="str">
        <f t="shared" si="23"/>
        <v/>
      </c>
      <c r="L294" s="141" t="str">
        <f t="shared" si="24"/>
        <v/>
      </c>
    </row>
    <row r="295" spans="1:12" x14ac:dyDescent="0.3">
      <c r="A295" s="2" t="str">
        <f xml:space="preserve"> IF( 'From SvanPC++'!A295= "", "", ('From SvanPC++'!A295))</f>
        <v/>
      </c>
      <c r="C295" s="6" t="s">
        <v>10</v>
      </c>
      <c r="G295" s="38" t="str">
        <f t="shared" si="20"/>
        <v/>
      </c>
      <c r="H295" s="141" t="str">
        <f t="shared" si="21"/>
        <v/>
      </c>
      <c r="J295" s="141" t="str">
        <f t="shared" si="22"/>
        <v/>
      </c>
      <c r="K295" s="141" t="str">
        <f t="shared" si="23"/>
        <v/>
      </c>
      <c r="L295" s="141" t="str">
        <f t="shared" si="24"/>
        <v/>
      </c>
    </row>
    <row r="296" spans="1:12" x14ac:dyDescent="0.3">
      <c r="A296" s="2" t="str">
        <f xml:space="preserve"> IF( 'From SvanPC++'!A296= "", "", ('From SvanPC++'!A296))</f>
        <v/>
      </c>
      <c r="C296" s="6" t="s">
        <v>10</v>
      </c>
      <c r="G296" s="38" t="str">
        <f t="shared" si="20"/>
        <v/>
      </c>
      <c r="H296" s="141" t="str">
        <f t="shared" si="21"/>
        <v/>
      </c>
      <c r="J296" s="141" t="str">
        <f t="shared" si="22"/>
        <v/>
      </c>
      <c r="K296" s="141" t="str">
        <f t="shared" si="23"/>
        <v/>
      </c>
      <c r="L296" s="141" t="str">
        <f t="shared" si="24"/>
        <v/>
      </c>
    </row>
    <row r="297" spans="1:12" x14ac:dyDescent="0.3">
      <c r="A297" s="2" t="str">
        <f xml:space="preserve"> IF( 'From SvanPC++'!A297= "", "", ('From SvanPC++'!A297))</f>
        <v/>
      </c>
      <c r="C297" s="6" t="s">
        <v>10</v>
      </c>
      <c r="G297" s="38" t="str">
        <f t="shared" si="20"/>
        <v/>
      </c>
      <c r="H297" s="141" t="str">
        <f t="shared" si="21"/>
        <v/>
      </c>
      <c r="J297" s="141" t="str">
        <f t="shared" si="22"/>
        <v/>
      </c>
      <c r="K297" s="141" t="str">
        <f t="shared" si="23"/>
        <v/>
      </c>
      <c r="L297" s="141" t="str">
        <f t="shared" si="24"/>
        <v/>
      </c>
    </row>
    <row r="298" spans="1:12" x14ac:dyDescent="0.3">
      <c r="A298" s="2" t="str">
        <f xml:space="preserve"> IF( 'From SvanPC++'!A298= "", "", ('From SvanPC++'!A298))</f>
        <v/>
      </c>
      <c r="C298" s="6" t="s">
        <v>10</v>
      </c>
      <c r="G298" s="38" t="str">
        <f t="shared" si="20"/>
        <v/>
      </c>
      <c r="H298" s="141" t="str">
        <f t="shared" si="21"/>
        <v/>
      </c>
      <c r="J298" s="141" t="str">
        <f t="shared" si="22"/>
        <v/>
      </c>
      <c r="K298" s="141" t="str">
        <f t="shared" si="23"/>
        <v/>
      </c>
      <c r="L298" s="141" t="str">
        <f t="shared" si="24"/>
        <v/>
      </c>
    </row>
    <row r="299" spans="1:12" x14ac:dyDescent="0.3">
      <c r="A299" s="2" t="str">
        <f xml:space="preserve"> IF( 'From SvanPC++'!A299= "", "", ('From SvanPC++'!A299))</f>
        <v/>
      </c>
      <c r="C299" s="6" t="s">
        <v>10</v>
      </c>
      <c r="G299" s="38" t="str">
        <f t="shared" si="20"/>
        <v/>
      </c>
      <c r="H299" s="141" t="str">
        <f t="shared" si="21"/>
        <v/>
      </c>
      <c r="J299" s="141" t="str">
        <f t="shared" si="22"/>
        <v/>
      </c>
      <c r="K299" s="141" t="str">
        <f t="shared" si="23"/>
        <v/>
      </c>
      <c r="L299" s="141" t="str">
        <f t="shared" si="24"/>
        <v/>
      </c>
    </row>
    <row r="300" spans="1:12" x14ac:dyDescent="0.3">
      <c r="A300" s="2" t="str">
        <f xml:space="preserve"> IF( 'From SvanPC++'!A300= "", "", ('From SvanPC++'!A300))</f>
        <v/>
      </c>
      <c r="C300" s="6" t="s">
        <v>10</v>
      </c>
      <c r="G300" s="38" t="str">
        <f t="shared" si="20"/>
        <v/>
      </c>
      <c r="H300" s="141" t="str">
        <f t="shared" si="21"/>
        <v/>
      </c>
      <c r="J300" s="141" t="str">
        <f t="shared" si="22"/>
        <v/>
      </c>
      <c r="K300" s="141" t="str">
        <f t="shared" si="23"/>
        <v/>
      </c>
      <c r="L300" s="141" t="str">
        <f t="shared" si="24"/>
        <v/>
      </c>
    </row>
    <row r="301" spans="1:12" x14ac:dyDescent="0.3">
      <c r="A301" s="2" t="str">
        <f xml:space="preserve"> IF( 'From SvanPC++'!A301= "", "", ('From SvanPC++'!A301))</f>
        <v/>
      </c>
      <c r="C301" s="6" t="s">
        <v>10</v>
      </c>
      <c r="G301" s="38" t="str">
        <f t="shared" si="20"/>
        <v/>
      </c>
      <c r="H301" s="141" t="str">
        <f t="shared" si="21"/>
        <v/>
      </c>
      <c r="J301" s="141" t="str">
        <f t="shared" si="22"/>
        <v/>
      </c>
      <c r="K301" s="141" t="str">
        <f t="shared" si="23"/>
        <v/>
      </c>
      <c r="L301" s="141" t="str">
        <f t="shared" si="24"/>
        <v/>
      </c>
    </row>
    <row r="302" spans="1:12" x14ac:dyDescent="0.3">
      <c r="A302" s="2" t="str">
        <f xml:space="preserve"> IF( 'From SvanPC++'!A302= "", "", ('From SvanPC++'!A302))</f>
        <v/>
      </c>
      <c r="C302" s="6" t="s">
        <v>10</v>
      </c>
      <c r="G302" s="38" t="str">
        <f t="shared" si="20"/>
        <v/>
      </c>
      <c r="H302" s="141" t="str">
        <f t="shared" si="21"/>
        <v/>
      </c>
      <c r="J302" s="141" t="str">
        <f t="shared" si="22"/>
        <v/>
      </c>
      <c r="K302" s="141" t="str">
        <f t="shared" si="23"/>
        <v/>
      </c>
      <c r="L302" s="141" t="str">
        <f t="shared" si="24"/>
        <v/>
      </c>
    </row>
    <row r="303" spans="1:12" x14ac:dyDescent="0.3">
      <c r="A303" s="2" t="str">
        <f xml:space="preserve"> IF( 'From SvanPC++'!A303= "", "", ('From SvanPC++'!A303))</f>
        <v/>
      </c>
      <c r="C303" s="6" t="s">
        <v>10</v>
      </c>
      <c r="G303" s="38" t="str">
        <f t="shared" si="20"/>
        <v/>
      </c>
      <c r="H303" s="141" t="str">
        <f t="shared" si="21"/>
        <v/>
      </c>
      <c r="J303" s="141" t="str">
        <f t="shared" si="22"/>
        <v/>
      </c>
      <c r="K303" s="141" t="str">
        <f t="shared" si="23"/>
        <v/>
      </c>
      <c r="L303" s="141" t="str">
        <f t="shared" si="24"/>
        <v/>
      </c>
    </row>
    <row r="304" spans="1:12" x14ac:dyDescent="0.3">
      <c r="A304" s="2" t="str">
        <f xml:space="preserve"> IF( 'From SvanPC++'!A304= "", "", ('From SvanPC++'!A304))</f>
        <v/>
      </c>
      <c r="C304" s="6" t="s">
        <v>10</v>
      </c>
      <c r="G304" s="38" t="str">
        <f t="shared" si="20"/>
        <v/>
      </c>
      <c r="H304" s="141" t="str">
        <f t="shared" si="21"/>
        <v/>
      </c>
      <c r="J304" s="141" t="str">
        <f t="shared" si="22"/>
        <v/>
      </c>
      <c r="K304" s="141" t="str">
        <f t="shared" si="23"/>
        <v/>
      </c>
      <c r="L304" s="141" t="str">
        <f t="shared" si="24"/>
        <v/>
      </c>
    </row>
    <row r="305" spans="1:12" x14ac:dyDescent="0.3">
      <c r="A305" s="2" t="str">
        <f xml:space="preserve"> IF( 'From SvanPC++'!A305= "", "", ('From SvanPC++'!A305))</f>
        <v/>
      </c>
      <c r="C305" s="6" t="s">
        <v>10</v>
      </c>
      <c r="G305" s="38" t="str">
        <f t="shared" si="20"/>
        <v/>
      </c>
      <c r="H305" s="141" t="str">
        <f t="shared" si="21"/>
        <v/>
      </c>
      <c r="J305" s="141" t="str">
        <f t="shared" si="22"/>
        <v/>
      </c>
      <c r="K305" s="141" t="str">
        <f t="shared" si="23"/>
        <v/>
      </c>
      <c r="L305" s="141" t="str">
        <f t="shared" si="24"/>
        <v/>
      </c>
    </row>
    <row r="306" spans="1:12" x14ac:dyDescent="0.3">
      <c r="A306" s="2" t="str">
        <f xml:space="preserve"> IF( 'From SvanPC++'!A306= "", "", ('From SvanPC++'!A306))</f>
        <v/>
      </c>
      <c r="C306" s="6" t="s">
        <v>10</v>
      </c>
      <c r="G306" s="38" t="str">
        <f t="shared" si="20"/>
        <v/>
      </c>
      <c r="H306" s="141" t="str">
        <f t="shared" si="21"/>
        <v/>
      </c>
      <c r="J306" s="141" t="str">
        <f t="shared" si="22"/>
        <v/>
      </c>
      <c r="K306" s="141" t="str">
        <f t="shared" si="23"/>
        <v/>
      </c>
      <c r="L306" s="141" t="str">
        <f t="shared" si="24"/>
        <v/>
      </c>
    </row>
    <row r="307" spans="1:12" x14ac:dyDescent="0.3">
      <c r="A307" s="2" t="str">
        <f xml:space="preserve"> IF( 'From SvanPC++'!A307= "", "", ('From SvanPC++'!A307))</f>
        <v/>
      </c>
      <c r="C307" s="6" t="s">
        <v>10</v>
      </c>
      <c r="G307" s="38" t="str">
        <f t="shared" si="20"/>
        <v/>
      </c>
      <c r="H307" s="141" t="str">
        <f t="shared" si="21"/>
        <v/>
      </c>
      <c r="J307" s="141" t="str">
        <f t="shared" si="22"/>
        <v/>
      </c>
      <c r="K307" s="141" t="str">
        <f t="shared" si="23"/>
        <v/>
      </c>
      <c r="L307" s="141" t="str">
        <f t="shared" si="24"/>
        <v/>
      </c>
    </row>
    <row r="308" spans="1:12" x14ac:dyDescent="0.3">
      <c r="A308" s="2" t="str">
        <f xml:space="preserve"> IF( 'From SvanPC++'!A308= "", "", ('From SvanPC++'!A308))</f>
        <v/>
      </c>
      <c r="C308" s="6" t="s">
        <v>10</v>
      </c>
      <c r="G308" s="38" t="str">
        <f t="shared" si="20"/>
        <v/>
      </c>
      <c r="H308" s="141" t="str">
        <f t="shared" si="21"/>
        <v/>
      </c>
      <c r="J308" s="141" t="str">
        <f t="shared" si="22"/>
        <v/>
      </c>
      <c r="K308" s="141" t="str">
        <f t="shared" si="23"/>
        <v/>
      </c>
      <c r="L308" s="141" t="str">
        <f t="shared" si="24"/>
        <v/>
      </c>
    </row>
    <row r="309" spans="1:12" x14ac:dyDescent="0.3">
      <c r="A309" s="2" t="str">
        <f xml:space="preserve"> IF( 'From SvanPC++'!A309= "", "", ('From SvanPC++'!A309))</f>
        <v/>
      </c>
      <c r="C309" s="6" t="s">
        <v>10</v>
      </c>
      <c r="G309" s="38" t="str">
        <f t="shared" si="20"/>
        <v/>
      </c>
      <c r="H309" s="141" t="str">
        <f t="shared" si="21"/>
        <v/>
      </c>
      <c r="J309" s="141" t="str">
        <f t="shared" si="22"/>
        <v/>
      </c>
      <c r="K309" s="141" t="str">
        <f t="shared" si="23"/>
        <v/>
      </c>
      <c r="L309" s="141" t="str">
        <f t="shared" si="24"/>
        <v/>
      </c>
    </row>
    <row r="310" spans="1:12" x14ac:dyDescent="0.3">
      <c r="A310" s="2" t="str">
        <f xml:space="preserve"> IF( 'From SvanPC++'!A310= "", "", ('From SvanPC++'!A310))</f>
        <v/>
      </c>
      <c r="C310" s="6" t="s">
        <v>10</v>
      </c>
      <c r="G310" s="38" t="str">
        <f t="shared" si="20"/>
        <v/>
      </c>
      <c r="H310" s="141" t="str">
        <f t="shared" si="21"/>
        <v/>
      </c>
      <c r="J310" s="141" t="str">
        <f t="shared" si="22"/>
        <v/>
      </c>
      <c r="K310" s="141" t="str">
        <f t="shared" si="23"/>
        <v/>
      </c>
      <c r="L310" s="141" t="str">
        <f t="shared" si="24"/>
        <v/>
      </c>
    </row>
    <row r="311" spans="1:12" x14ac:dyDescent="0.3">
      <c r="A311" s="2" t="str">
        <f xml:space="preserve"> IF( 'From SvanPC++'!A311= "", "", ('From SvanPC++'!A311))</f>
        <v/>
      </c>
      <c r="C311" s="6" t="s">
        <v>10</v>
      </c>
      <c r="G311" s="38" t="str">
        <f t="shared" si="20"/>
        <v/>
      </c>
      <c r="H311" s="141" t="str">
        <f t="shared" si="21"/>
        <v/>
      </c>
      <c r="J311" s="141" t="str">
        <f t="shared" si="22"/>
        <v/>
      </c>
      <c r="K311" s="141" t="str">
        <f t="shared" si="23"/>
        <v/>
      </c>
      <c r="L311" s="141" t="str">
        <f t="shared" si="24"/>
        <v/>
      </c>
    </row>
    <row r="312" spans="1:12" x14ac:dyDescent="0.3">
      <c r="A312" s="2" t="str">
        <f xml:space="preserve"> IF( 'From SvanPC++'!A312= "", "", ('From SvanPC++'!A312))</f>
        <v/>
      </c>
      <c r="C312" s="6" t="s">
        <v>10</v>
      </c>
      <c r="G312" s="38" t="str">
        <f t="shared" si="20"/>
        <v/>
      </c>
      <c r="H312" s="141" t="str">
        <f t="shared" si="21"/>
        <v/>
      </c>
      <c r="J312" s="141" t="str">
        <f t="shared" si="22"/>
        <v/>
      </c>
      <c r="K312" s="141" t="str">
        <f t="shared" si="23"/>
        <v/>
      </c>
      <c r="L312" s="141" t="str">
        <f t="shared" si="24"/>
        <v/>
      </c>
    </row>
    <row r="313" spans="1:12" x14ac:dyDescent="0.3">
      <c r="A313" s="2" t="str">
        <f xml:space="preserve"> IF( 'From SvanPC++'!A313= "", "", ('From SvanPC++'!A313))</f>
        <v/>
      </c>
      <c r="C313" s="6" t="s">
        <v>10</v>
      </c>
      <c r="G313" s="38" t="str">
        <f t="shared" si="20"/>
        <v/>
      </c>
      <c r="H313" s="141" t="str">
        <f t="shared" si="21"/>
        <v/>
      </c>
      <c r="J313" s="141" t="str">
        <f t="shared" si="22"/>
        <v/>
      </c>
      <c r="K313" s="141" t="str">
        <f t="shared" si="23"/>
        <v/>
      </c>
      <c r="L313" s="141" t="str">
        <f t="shared" si="24"/>
        <v/>
      </c>
    </row>
    <row r="314" spans="1:12" x14ac:dyDescent="0.3">
      <c r="A314" s="2" t="str">
        <f xml:space="preserve"> IF( 'From SvanPC++'!A314= "", "", ('From SvanPC++'!A314))</f>
        <v/>
      </c>
      <c r="C314" s="6" t="s">
        <v>10</v>
      </c>
      <c r="G314" s="38" t="str">
        <f t="shared" si="20"/>
        <v/>
      </c>
      <c r="H314" s="141" t="str">
        <f t="shared" si="21"/>
        <v/>
      </c>
      <c r="J314" s="141" t="str">
        <f t="shared" si="22"/>
        <v/>
      </c>
      <c r="K314" s="141" t="str">
        <f t="shared" si="23"/>
        <v/>
      </c>
      <c r="L314" s="141" t="str">
        <f t="shared" si="24"/>
        <v/>
      </c>
    </row>
    <row r="315" spans="1:12" x14ac:dyDescent="0.3">
      <c r="A315" s="2" t="str">
        <f xml:space="preserve"> IF( 'From SvanPC++'!A315= "", "", ('From SvanPC++'!A315))</f>
        <v/>
      </c>
      <c r="C315" s="6" t="s">
        <v>10</v>
      </c>
      <c r="G315" s="38" t="str">
        <f t="shared" si="20"/>
        <v/>
      </c>
      <c r="H315" s="141" t="str">
        <f t="shared" si="21"/>
        <v/>
      </c>
      <c r="J315" s="141" t="str">
        <f t="shared" si="22"/>
        <v/>
      </c>
      <c r="K315" s="141" t="str">
        <f t="shared" si="23"/>
        <v/>
      </c>
      <c r="L315" s="141" t="str">
        <f t="shared" si="24"/>
        <v/>
      </c>
    </row>
    <row r="316" spans="1:12" x14ac:dyDescent="0.3">
      <c r="A316" s="2" t="str">
        <f xml:space="preserve"> IF( 'From SvanPC++'!A316= "", "", ('From SvanPC++'!A316))</f>
        <v/>
      </c>
      <c r="C316" s="6" t="s">
        <v>10</v>
      </c>
      <c r="G316" s="38" t="str">
        <f t="shared" si="20"/>
        <v/>
      </c>
      <c r="H316" s="141" t="str">
        <f t="shared" si="21"/>
        <v/>
      </c>
      <c r="J316" s="141" t="str">
        <f t="shared" si="22"/>
        <v/>
      </c>
      <c r="K316" s="141" t="str">
        <f t="shared" si="23"/>
        <v/>
      </c>
      <c r="L316" s="141" t="str">
        <f t="shared" si="24"/>
        <v/>
      </c>
    </row>
    <row r="317" spans="1:12" x14ac:dyDescent="0.3">
      <c r="A317" s="2" t="str">
        <f xml:space="preserve"> IF( 'From SvanPC++'!A317= "", "", ('From SvanPC++'!A317))</f>
        <v/>
      </c>
      <c r="C317" s="6" t="s">
        <v>10</v>
      </c>
      <c r="G317" s="38" t="str">
        <f t="shared" si="20"/>
        <v/>
      </c>
      <c r="H317" s="141" t="str">
        <f t="shared" si="21"/>
        <v/>
      </c>
      <c r="J317" s="141" t="str">
        <f t="shared" si="22"/>
        <v/>
      </c>
      <c r="K317" s="141" t="str">
        <f t="shared" si="23"/>
        <v/>
      </c>
      <c r="L317" s="141" t="str">
        <f t="shared" si="24"/>
        <v/>
      </c>
    </row>
    <row r="318" spans="1:12" x14ac:dyDescent="0.3">
      <c r="A318" s="2" t="str">
        <f xml:space="preserve"> IF( 'From SvanPC++'!A318= "", "", ('From SvanPC++'!A318))</f>
        <v/>
      </c>
      <c r="C318" s="6" t="s">
        <v>10</v>
      </c>
      <c r="G318" s="38" t="str">
        <f t="shared" si="20"/>
        <v/>
      </c>
      <c r="H318" s="141" t="str">
        <f t="shared" si="21"/>
        <v/>
      </c>
      <c r="J318" s="141" t="str">
        <f t="shared" si="22"/>
        <v/>
      </c>
      <c r="K318" s="141" t="str">
        <f t="shared" si="23"/>
        <v/>
      </c>
      <c r="L318" s="141" t="str">
        <f t="shared" si="24"/>
        <v/>
      </c>
    </row>
    <row r="319" spans="1:12" x14ac:dyDescent="0.3">
      <c r="A319" s="2" t="str">
        <f xml:space="preserve"> IF( 'From SvanPC++'!A319= "", "", ('From SvanPC++'!A319))</f>
        <v/>
      </c>
      <c r="C319" s="6" t="s">
        <v>10</v>
      </c>
      <c r="G319" s="38" t="str">
        <f t="shared" si="20"/>
        <v/>
      </c>
      <c r="H319" s="141" t="str">
        <f t="shared" si="21"/>
        <v/>
      </c>
      <c r="J319" s="141" t="str">
        <f t="shared" si="22"/>
        <v/>
      </c>
      <c r="K319" s="141" t="str">
        <f t="shared" si="23"/>
        <v/>
      </c>
      <c r="L319" s="141" t="str">
        <f t="shared" si="24"/>
        <v/>
      </c>
    </row>
    <row r="320" spans="1:12" x14ac:dyDescent="0.3">
      <c r="A320" s="2" t="str">
        <f xml:space="preserve"> IF( 'From SvanPC++'!A320= "", "", ('From SvanPC++'!A320))</f>
        <v/>
      </c>
      <c r="C320" s="6" t="s">
        <v>10</v>
      </c>
      <c r="G320" s="38" t="str">
        <f t="shared" si="20"/>
        <v/>
      </c>
      <c r="H320" s="141" t="str">
        <f t="shared" si="21"/>
        <v/>
      </c>
      <c r="J320" s="141" t="str">
        <f t="shared" si="22"/>
        <v/>
      </c>
      <c r="K320" s="141" t="str">
        <f t="shared" si="23"/>
        <v/>
      </c>
      <c r="L320" s="141" t="str">
        <f t="shared" si="24"/>
        <v/>
      </c>
    </row>
    <row r="321" spans="1:12" x14ac:dyDescent="0.3">
      <c r="A321" s="2" t="str">
        <f xml:space="preserve"> IF( 'From SvanPC++'!A321= "", "", ('From SvanPC++'!A321))</f>
        <v/>
      </c>
      <c r="C321" s="6" t="s">
        <v>10</v>
      </c>
      <c r="G321" s="38" t="str">
        <f t="shared" si="20"/>
        <v/>
      </c>
      <c r="H321" s="141" t="str">
        <f t="shared" si="21"/>
        <v/>
      </c>
      <c r="J321" s="141" t="str">
        <f t="shared" si="22"/>
        <v/>
      </c>
      <c r="K321" s="141" t="str">
        <f t="shared" si="23"/>
        <v/>
      </c>
      <c r="L321" s="141" t="str">
        <f t="shared" si="24"/>
        <v/>
      </c>
    </row>
    <row r="322" spans="1:12" x14ac:dyDescent="0.3">
      <c r="A322" s="2" t="str">
        <f xml:space="preserve"> IF( 'From SvanPC++'!A322= "", "", ('From SvanPC++'!A322))</f>
        <v/>
      </c>
      <c r="C322" s="6" t="s">
        <v>10</v>
      </c>
      <c r="G322" s="38" t="str">
        <f t="shared" si="20"/>
        <v/>
      </c>
      <c r="H322" s="141" t="str">
        <f t="shared" si="21"/>
        <v/>
      </c>
      <c r="J322" s="141" t="str">
        <f t="shared" si="22"/>
        <v/>
      </c>
      <c r="K322" s="141" t="str">
        <f t="shared" si="23"/>
        <v/>
      </c>
      <c r="L322" s="141" t="str">
        <f t="shared" si="24"/>
        <v/>
      </c>
    </row>
    <row r="323" spans="1:12" x14ac:dyDescent="0.3">
      <c r="A323" s="2" t="str">
        <f xml:space="preserve"> IF( 'From SvanPC++'!A323= "", "", ('From SvanPC++'!A323))</f>
        <v/>
      </c>
      <c r="C323" s="6" t="s">
        <v>10</v>
      </c>
      <c r="G323" s="38" t="str">
        <f t="shared" si="20"/>
        <v/>
      </c>
      <c r="H323" s="141" t="str">
        <f t="shared" si="21"/>
        <v/>
      </c>
      <c r="J323" s="141" t="str">
        <f t="shared" si="22"/>
        <v/>
      </c>
      <c r="K323" s="141" t="str">
        <f t="shared" si="23"/>
        <v/>
      </c>
      <c r="L323" s="141" t="str">
        <f t="shared" si="24"/>
        <v/>
      </c>
    </row>
    <row r="324" spans="1:12" x14ac:dyDescent="0.3">
      <c r="A324" s="2" t="str">
        <f xml:space="preserve"> IF( 'From SvanPC++'!A324= "", "", ('From SvanPC++'!A324))</f>
        <v/>
      </c>
      <c r="C324" s="6" t="s">
        <v>10</v>
      </c>
      <c r="G324" s="38" t="str">
        <f t="shared" si="20"/>
        <v/>
      </c>
      <c r="H324" s="141" t="str">
        <f t="shared" si="21"/>
        <v/>
      </c>
      <c r="J324" s="141" t="str">
        <f t="shared" si="22"/>
        <v/>
      </c>
      <c r="K324" s="141" t="str">
        <f t="shared" si="23"/>
        <v/>
      </c>
      <c r="L324" s="141" t="str">
        <f t="shared" si="24"/>
        <v/>
      </c>
    </row>
    <row r="325" spans="1:12" x14ac:dyDescent="0.3">
      <c r="A325" s="2" t="str">
        <f xml:space="preserve"> IF( 'From SvanPC++'!A325= "", "", ('From SvanPC++'!A325))</f>
        <v/>
      </c>
      <c r="C325" s="6" t="s">
        <v>10</v>
      </c>
      <c r="G325" s="38" t="str">
        <f t="shared" si="20"/>
        <v/>
      </c>
      <c r="H325" s="141" t="str">
        <f t="shared" si="21"/>
        <v/>
      </c>
      <c r="J325" s="141" t="str">
        <f t="shared" si="22"/>
        <v/>
      </c>
      <c r="K325" s="141" t="str">
        <f t="shared" si="23"/>
        <v/>
      </c>
      <c r="L325" s="141" t="str">
        <f t="shared" si="24"/>
        <v/>
      </c>
    </row>
    <row r="326" spans="1:12" x14ac:dyDescent="0.3">
      <c r="A326" s="2" t="str">
        <f xml:space="preserve"> IF( 'From SvanPC++'!A326= "", "", ('From SvanPC++'!A326))</f>
        <v/>
      </c>
      <c r="C326" s="6" t="s">
        <v>10</v>
      </c>
      <c r="G326" s="38" t="str">
        <f t="shared" si="20"/>
        <v/>
      </c>
      <c r="H326" s="141" t="str">
        <f t="shared" si="21"/>
        <v/>
      </c>
      <c r="J326" s="141" t="str">
        <f t="shared" si="22"/>
        <v/>
      </c>
      <c r="K326" s="141" t="str">
        <f t="shared" si="23"/>
        <v/>
      </c>
      <c r="L326" s="141" t="str">
        <f t="shared" si="24"/>
        <v/>
      </c>
    </row>
    <row r="327" spans="1:12" x14ac:dyDescent="0.3">
      <c r="A327" s="2" t="str">
        <f xml:space="preserve"> IF( 'From SvanPC++'!A327= "", "", ('From SvanPC++'!A327))</f>
        <v/>
      </c>
      <c r="C327" s="6" t="s">
        <v>10</v>
      </c>
      <c r="G327" s="38" t="str">
        <f t="shared" ref="G327:G390" si="25" xml:space="preserve"> IF( D327= "", "", ( IF( AND( D327 &gt;= TIMEVALUE( "07:00:01" ), D327 &lt; TIMEVALUE( "08:00:01" ) ) = TRUE, (G326+1), (G326+0) )))</f>
        <v/>
      </c>
      <c r="H327" s="141" t="str">
        <f t="shared" ref="H327:H390" si="26" xml:space="preserve"> IF( D327= "", "", (
IF( AND( D327 &gt;= TIMEVALUE( "07:00:01" ), D327 &lt;= TIMEVALUE( "18:00:00" ), WEEKDAY( C327,1+N("            Weekday Day Period              ")) &gt;=2, ( WEEKDAY( C327,1) &lt;=6) ) = TRUE, "Day",
IF( AND( D327 &gt;= TIMEVALUE( "18:00:01" ), D327 &lt;= TIMEVALUE( "22:00:00" ), WEEKDAY( C327,1+N("            Weekday Evening Period          ")) &gt;=2, ( WEEKDAY( C327,1) &lt;=6) ) = TRUE, "Evening",
IF( AND( D327 &gt;= TIMEVALUE( "22:00:01" ), D327 &lt;= TIMEVALUE( "23:59:59" ), WEEKDAY( C327,1+N("            Weekday Night Period            ")) &gt;=2, ( WEEKDAY( C327,1) &lt;=6) ) = TRUE, "Night",
IF( AND( D327 &gt;= TIMEVALUE( "00:00:00" ), D327 &lt;= TIMEVALUE( "07:00:00" ), WEEKDAY( C327,1+N("            Weekday Night Period            ")) &gt;=2, ( WEEKDAY( C327,1) &lt;=6) ) = TRUE, "Night",
IF( AND( D327 &gt;= TIMEVALUE( "07:00:01" ), D327 &lt;= TIMEVALUE( "18:00:00" ), WEEKDAY( C327) =(7+N("         Saturday Day Period             ")) ) = TRUE, "Day",
IF( AND( D327 &gt;= TIMEVALUE( "18:00:01" ), D327 &lt;= TIMEVALUE( "22:00:00" ), WEEKDAY( C327) =(7+N("         Saturday Evening Period         ")) ) = TRUE, "Evening",
IF( AND( D327 &gt;= TIMEVALUE( "22:00:01" ), D327 &lt;= TIMEVALUE( "23:59:59" ), WEEKDAY( C327) =(7+N("         Saturday Night Period           ")) ) = TRUE, "Night",
IF( AND( D327 &gt;= TIMEVALUE( "00:00:00" ), D327 &lt;= TIMEVALUE( "07:00:00" ), WEEKDAY( C327) =(7+N("         Saturday Night Period           ")) ) = TRUE, "Night",
IF( AND( D327 &gt;= TIMEVALUE( "07:00:01" ), D327 &lt;= TIMEVALUE( "22:00:00" ), WEEKDAY( C327) =(1+N("         Sunday Evening Period           ")) ) = TRUE, "Evening",
IF( AND( D327 &gt;= TIMEVALUE( "20:00:01" ), D327 &lt;= TIMEVALUE( "23:59:59" ), WEEKDAY( C327) =(1+N("         Sunday Night Period             ")) ) = TRUE, "Night",
IF( AND( D327 &gt;= TIMEVALUE( "00:00:00" ), D327 &lt;= TIMEVALUE( "07:00:00" ), WEEKDAY( C327) =(1+N("         Sunday Night Period             ")) ) = TRUE, "Night",
)))))))))))))</f>
        <v/>
      </c>
      <c r="J327" s="141" t="str">
        <f t="shared" si="22"/>
        <v/>
      </c>
      <c r="K327" s="141" t="str">
        <f t="shared" si="23"/>
        <v/>
      </c>
      <c r="L327" s="141" t="str">
        <f t="shared" si="24"/>
        <v/>
      </c>
    </row>
    <row r="328" spans="1:12" x14ac:dyDescent="0.3">
      <c r="A328" s="2" t="str">
        <f xml:space="preserve"> IF( 'From SvanPC++'!A328= "", "", ('From SvanPC++'!A328))</f>
        <v/>
      </c>
      <c r="C328" s="6" t="s">
        <v>10</v>
      </c>
      <c r="G328" s="38" t="str">
        <f t="shared" si="25"/>
        <v/>
      </c>
      <c r="H328" s="141" t="str">
        <f t="shared" si="26"/>
        <v/>
      </c>
      <c r="J328" s="141" t="str">
        <f t="shared" ref="J328:J391" si="27" xml:space="preserve"> IF( ISERROR( IF( D328= "", "", ( IF( G328= (G327+1), ( AVERAGEIFS( E328:E472, G328:G472, G328, H328:H472, "Day" )), "" )))), "",( IF( D328= "", "", ( IF( G328= (G327+1), ( AVERAGEIFS( E328:E472, G328:G472, G328, H328:H472, "Day" )), "" )))))</f>
        <v/>
      </c>
      <c r="K328" s="141" t="str">
        <f t="shared" ref="K328:K391" si="28" xml:space="preserve"> IF( ISERROR( IF( D328= "", "", ( IF( G328= (G327+1), ( AVERAGEIFS( E328:E472, G328:G472, G328, H328:H472, "Evening" )), "" )))), "",( IF( D328= "", "", ( IF( G328= (G327+1), ( AVERAGEIFS( E328:E472, G328:G472, G328, H328:H472, "Evening" )), "" )))))</f>
        <v/>
      </c>
      <c r="L328" s="141" t="str">
        <f t="shared" ref="L328:L391" si="29" xml:space="preserve"> IF( ISERROR( IF( D328= "", "", ( IF( G328= (G327+1), ( AVERAGEIFS( E328:E472, G328:G472, G328, H328:H472, "Night" )), "" )))), "",( IF( D328= "", "", ( IF( G328= (G327+1), ( AVERAGEIFS( E328:E472, G328:G472, G328, H328:H472, "Night" )), "" )))))</f>
        <v/>
      </c>
    </row>
    <row r="329" spans="1:12" x14ac:dyDescent="0.3">
      <c r="A329" s="2" t="str">
        <f xml:space="preserve"> IF( 'From SvanPC++'!A329= "", "", ('From SvanPC++'!A329))</f>
        <v/>
      </c>
      <c r="C329" s="6" t="s">
        <v>10</v>
      </c>
      <c r="G329" s="38" t="str">
        <f t="shared" si="25"/>
        <v/>
      </c>
      <c r="H329" s="141" t="str">
        <f t="shared" si="26"/>
        <v/>
      </c>
      <c r="J329" s="141" t="str">
        <f t="shared" si="27"/>
        <v/>
      </c>
      <c r="K329" s="141" t="str">
        <f t="shared" si="28"/>
        <v/>
      </c>
      <c r="L329" s="141" t="str">
        <f t="shared" si="29"/>
        <v/>
      </c>
    </row>
    <row r="330" spans="1:12" x14ac:dyDescent="0.3">
      <c r="A330" s="2" t="str">
        <f xml:space="preserve"> IF( 'From SvanPC++'!A330= "", "", ('From SvanPC++'!A330))</f>
        <v/>
      </c>
      <c r="C330" s="6" t="s">
        <v>10</v>
      </c>
      <c r="G330" s="38" t="str">
        <f t="shared" si="25"/>
        <v/>
      </c>
      <c r="H330" s="141" t="str">
        <f t="shared" si="26"/>
        <v/>
      </c>
      <c r="J330" s="141" t="str">
        <f t="shared" si="27"/>
        <v/>
      </c>
      <c r="K330" s="141" t="str">
        <f t="shared" si="28"/>
        <v/>
      </c>
      <c r="L330" s="141" t="str">
        <f t="shared" si="29"/>
        <v/>
      </c>
    </row>
    <row r="331" spans="1:12" x14ac:dyDescent="0.3">
      <c r="A331" s="2" t="str">
        <f xml:space="preserve"> IF( 'From SvanPC++'!A331= "", "", ('From SvanPC++'!A331))</f>
        <v/>
      </c>
      <c r="C331" s="6" t="s">
        <v>10</v>
      </c>
      <c r="G331" s="38" t="str">
        <f t="shared" si="25"/>
        <v/>
      </c>
      <c r="H331" s="141" t="str">
        <f t="shared" si="26"/>
        <v/>
      </c>
      <c r="J331" s="141" t="str">
        <f t="shared" si="27"/>
        <v/>
      </c>
      <c r="K331" s="141" t="str">
        <f t="shared" si="28"/>
        <v/>
      </c>
      <c r="L331" s="141" t="str">
        <f t="shared" si="29"/>
        <v/>
      </c>
    </row>
    <row r="332" spans="1:12" x14ac:dyDescent="0.3">
      <c r="A332" s="2" t="str">
        <f xml:space="preserve"> IF( 'From SvanPC++'!A332= "", "", ('From SvanPC++'!A332))</f>
        <v/>
      </c>
      <c r="C332" s="6" t="s">
        <v>10</v>
      </c>
      <c r="G332" s="38" t="str">
        <f t="shared" si="25"/>
        <v/>
      </c>
      <c r="H332" s="141" t="str">
        <f t="shared" si="26"/>
        <v/>
      </c>
      <c r="J332" s="141" t="str">
        <f t="shared" si="27"/>
        <v/>
      </c>
      <c r="K332" s="141" t="str">
        <f t="shared" si="28"/>
        <v/>
      </c>
      <c r="L332" s="141" t="str">
        <f t="shared" si="29"/>
        <v/>
      </c>
    </row>
    <row r="333" spans="1:12" x14ac:dyDescent="0.3">
      <c r="A333" s="2" t="str">
        <f xml:space="preserve"> IF( 'From SvanPC++'!A333= "", "", ('From SvanPC++'!A333))</f>
        <v/>
      </c>
      <c r="C333" s="6" t="s">
        <v>10</v>
      </c>
      <c r="G333" s="38" t="str">
        <f t="shared" si="25"/>
        <v/>
      </c>
      <c r="H333" s="141" t="str">
        <f t="shared" si="26"/>
        <v/>
      </c>
      <c r="J333" s="141" t="str">
        <f t="shared" si="27"/>
        <v/>
      </c>
      <c r="K333" s="141" t="str">
        <f t="shared" si="28"/>
        <v/>
      </c>
      <c r="L333" s="141" t="str">
        <f t="shared" si="29"/>
        <v/>
      </c>
    </row>
    <row r="334" spans="1:12" x14ac:dyDescent="0.3">
      <c r="A334" s="2" t="str">
        <f xml:space="preserve"> IF( 'From SvanPC++'!A334= "", "", ('From SvanPC++'!A334))</f>
        <v/>
      </c>
      <c r="C334" s="6" t="s">
        <v>10</v>
      </c>
      <c r="G334" s="38" t="str">
        <f t="shared" si="25"/>
        <v/>
      </c>
      <c r="H334" s="141" t="str">
        <f t="shared" si="26"/>
        <v/>
      </c>
      <c r="J334" s="141" t="str">
        <f t="shared" si="27"/>
        <v/>
      </c>
      <c r="K334" s="141" t="str">
        <f t="shared" si="28"/>
        <v/>
      </c>
      <c r="L334" s="141" t="str">
        <f t="shared" si="29"/>
        <v/>
      </c>
    </row>
    <row r="335" spans="1:12" x14ac:dyDescent="0.3">
      <c r="A335" s="2" t="str">
        <f xml:space="preserve"> IF( 'From SvanPC++'!A335= "", "", ('From SvanPC++'!A335))</f>
        <v/>
      </c>
      <c r="C335" s="6" t="s">
        <v>10</v>
      </c>
      <c r="G335" s="38" t="str">
        <f t="shared" si="25"/>
        <v/>
      </c>
      <c r="H335" s="141" t="str">
        <f t="shared" si="26"/>
        <v/>
      </c>
      <c r="J335" s="141" t="str">
        <f t="shared" si="27"/>
        <v/>
      </c>
      <c r="K335" s="141" t="str">
        <f t="shared" si="28"/>
        <v/>
      </c>
      <c r="L335" s="141" t="str">
        <f t="shared" si="29"/>
        <v/>
      </c>
    </row>
    <row r="336" spans="1:12" x14ac:dyDescent="0.3">
      <c r="A336" s="2" t="str">
        <f xml:space="preserve"> IF( 'From SvanPC++'!A336= "", "", ('From SvanPC++'!A336))</f>
        <v/>
      </c>
      <c r="C336" s="6" t="s">
        <v>10</v>
      </c>
      <c r="G336" s="38" t="str">
        <f t="shared" si="25"/>
        <v/>
      </c>
      <c r="H336" s="141" t="str">
        <f t="shared" si="26"/>
        <v/>
      </c>
      <c r="J336" s="141" t="str">
        <f t="shared" si="27"/>
        <v/>
      </c>
      <c r="K336" s="141" t="str">
        <f t="shared" si="28"/>
        <v/>
      </c>
      <c r="L336" s="141" t="str">
        <f t="shared" si="29"/>
        <v/>
      </c>
    </row>
    <row r="337" spans="1:12" x14ac:dyDescent="0.3">
      <c r="A337" s="2" t="str">
        <f xml:space="preserve"> IF( 'From SvanPC++'!A337= "", "", ('From SvanPC++'!A337))</f>
        <v/>
      </c>
      <c r="C337" s="6" t="s">
        <v>10</v>
      </c>
      <c r="G337" s="38" t="str">
        <f t="shared" si="25"/>
        <v/>
      </c>
      <c r="H337" s="141" t="str">
        <f t="shared" si="26"/>
        <v/>
      </c>
      <c r="J337" s="141" t="str">
        <f t="shared" si="27"/>
        <v/>
      </c>
      <c r="K337" s="141" t="str">
        <f t="shared" si="28"/>
        <v/>
      </c>
      <c r="L337" s="141" t="str">
        <f t="shared" si="29"/>
        <v/>
      </c>
    </row>
    <row r="338" spans="1:12" x14ac:dyDescent="0.3">
      <c r="A338" s="2" t="str">
        <f xml:space="preserve"> IF( 'From SvanPC++'!A338= "", "", ('From SvanPC++'!A338))</f>
        <v/>
      </c>
      <c r="C338" s="6" t="s">
        <v>10</v>
      </c>
      <c r="G338" s="38" t="str">
        <f t="shared" si="25"/>
        <v/>
      </c>
      <c r="H338" s="141" t="str">
        <f t="shared" si="26"/>
        <v/>
      </c>
      <c r="J338" s="141" t="str">
        <f t="shared" si="27"/>
        <v/>
      </c>
      <c r="K338" s="141" t="str">
        <f t="shared" si="28"/>
        <v/>
      </c>
      <c r="L338" s="141" t="str">
        <f t="shared" si="29"/>
        <v/>
      </c>
    </row>
    <row r="339" spans="1:12" x14ac:dyDescent="0.3">
      <c r="A339" s="2" t="str">
        <f xml:space="preserve"> IF( 'From SvanPC++'!A339= "", "", ('From SvanPC++'!A339))</f>
        <v/>
      </c>
      <c r="C339" s="6" t="s">
        <v>10</v>
      </c>
      <c r="G339" s="38" t="str">
        <f t="shared" si="25"/>
        <v/>
      </c>
      <c r="H339" s="141" t="str">
        <f t="shared" si="26"/>
        <v/>
      </c>
      <c r="J339" s="141" t="str">
        <f t="shared" si="27"/>
        <v/>
      </c>
      <c r="K339" s="141" t="str">
        <f t="shared" si="28"/>
        <v/>
      </c>
      <c r="L339" s="141" t="str">
        <f t="shared" si="29"/>
        <v/>
      </c>
    </row>
    <row r="340" spans="1:12" x14ac:dyDescent="0.3">
      <c r="A340" s="2" t="str">
        <f xml:space="preserve"> IF( 'From SvanPC++'!A340= "", "", ('From SvanPC++'!A340))</f>
        <v/>
      </c>
      <c r="C340" s="6" t="s">
        <v>10</v>
      </c>
      <c r="G340" s="38" t="str">
        <f t="shared" si="25"/>
        <v/>
      </c>
      <c r="H340" s="141" t="str">
        <f t="shared" si="26"/>
        <v/>
      </c>
      <c r="J340" s="141" t="str">
        <f t="shared" si="27"/>
        <v/>
      </c>
      <c r="K340" s="141" t="str">
        <f t="shared" si="28"/>
        <v/>
      </c>
      <c r="L340" s="141" t="str">
        <f t="shared" si="29"/>
        <v/>
      </c>
    </row>
    <row r="341" spans="1:12" x14ac:dyDescent="0.3">
      <c r="A341" s="2" t="str">
        <f xml:space="preserve"> IF( 'From SvanPC++'!A341= "", "", ('From SvanPC++'!A341))</f>
        <v/>
      </c>
      <c r="C341" s="6" t="s">
        <v>10</v>
      </c>
      <c r="G341" s="38" t="str">
        <f t="shared" si="25"/>
        <v/>
      </c>
      <c r="H341" s="141" t="str">
        <f t="shared" si="26"/>
        <v/>
      </c>
      <c r="J341" s="141" t="str">
        <f t="shared" si="27"/>
        <v/>
      </c>
      <c r="K341" s="141" t="str">
        <f t="shared" si="28"/>
        <v/>
      </c>
      <c r="L341" s="141" t="str">
        <f t="shared" si="29"/>
        <v/>
      </c>
    </row>
    <row r="342" spans="1:12" x14ac:dyDescent="0.3">
      <c r="A342" s="2" t="str">
        <f xml:space="preserve"> IF( 'From SvanPC++'!A342= "", "", ('From SvanPC++'!A342))</f>
        <v/>
      </c>
      <c r="C342" s="6" t="s">
        <v>10</v>
      </c>
      <c r="G342" s="38" t="str">
        <f t="shared" si="25"/>
        <v/>
      </c>
      <c r="H342" s="141" t="str">
        <f t="shared" si="26"/>
        <v/>
      </c>
      <c r="J342" s="141" t="str">
        <f t="shared" si="27"/>
        <v/>
      </c>
      <c r="K342" s="141" t="str">
        <f t="shared" si="28"/>
        <v/>
      </c>
      <c r="L342" s="141" t="str">
        <f t="shared" si="29"/>
        <v/>
      </c>
    </row>
    <row r="343" spans="1:12" x14ac:dyDescent="0.3">
      <c r="A343" s="2" t="str">
        <f xml:space="preserve"> IF( 'From SvanPC++'!A343= "", "", ('From SvanPC++'!A343))</f>
        <v/>
      </c>
      <c r="C343" s="6" t="s">
        <v>10</v>
      </c>
      <c r="G343" s="38" t="str">
        <f t="shared" si="25"/>
        <v/>
      </c>
      <c r="H343" s="141" t="str">
        <f t="shared" si="26"/>
        <v/>
      </c>
      <c r="J343" s="141" t="str">
        <f t="shared" si="27"/>
        <v/>
      </c>
      <c r="K343" s="141" t="str">
        <f t="shared" si="28"/>
        <v/>
      </c>
      <c r="L343" s="141" t="str">
        <f t="shared" si="29"/>
        <v/>
      </c>
    </row>
    <row r="344" spans="1:12" x14ac:dyDescent="0.3">
      <c r="A344" s="2" t="str">
        <f xml:space="preserve"> IF( 'From SvanPC++'!A344= "", "", ('From SvanPC++'!A344))</f>
        <v/>
      </c>
      <c r="C344" s="6" t="s">
        <v>10</v>
      </c>
      <c r="G344" s="38" t="str">
        <f t="shared" si="25"/>
        <v/>
      </c>
      <c r="H344" s="141" t="str">
        <f t="shared" si="26"/>
        <v/>
      </c>
      <c r="J344" s="141" t="str">
        <f t="shared" si="27"/>
        <v/>
      </c>
      <c r="K344" s="141" t="str">
        <f t="shared" si="28"/>
        <v/>
      </c>
      <c r="L344" s="141" t="str">
        <f t="shared" si="29"/>
        <v/>
      </c>
    </row>
    <row r="345" spans="1:12" x14ac:dyDescent="0.3">
      <c r="A345" s="2" t="str">
        <f xml:space="preserve"> IF( 'From SvanPC++'!A345= "", "", ('From SvanPC++'!A345))</f>
        <v/>
      </c>
      <c r="C345" s="6" t="s">
        <v>10</v>
      </c>
      <c r="G345" s="38" t="str">
        <f t="shared" si="25"/>
        <v/>
      </c>
      <c r="H345" s="141" t="str">
        <f t="shared" si="26"/>
        <v/>
      </c>
      <c r="J345" s="141" t="str">
        <f t="shared" si="27"/>
        <v/>
      </c>
      <c r="K345" s="141" t="str">
        <f t="shared" si="28"/>
        <v/>
      </c>
      <c r="L345" s="141" t="str">
        <f t="shared" si="29"/>
        <v/>
      </c>
    </row>
    <row r="346" spans="1:12" x14ac:dyDescent="0.3">
      <c r="A346" s="2" t="str">
        <f xml:space="preserve"> IF( 'From SvanPC++'!A346= "", "", ('From SvanPC++'!A346))</f>
        <v/>
      </c>
      <c r="C346" s="6" t="s">
        <v>10</v>
      </c>
      <c r="G346" s="38" t="str">
        <f t="shared" si="25"/>
        <v/>
      </c>
      <c r="H346" s="141" t="str">
        <f t="shared" si="26"/>
        <v/>
      </c>
      <c r="J346" s="141" t="str">
        <f t="shared" si="27"/>
        <v/>
      </c>
      <c r="K346" s="141" t="str">
        <f t="shared" si="28"/>
        <v/>
      </c>
      <c r="L346" s="141" t="str">
        <f t="shared" si="29"/>
        <v/>
      </c>
    </row>
    <row r="347" spans="1:12" x14ac:dyDescent="0.3">
      <c r="A347" s="2" t="str">
        <f xml:space="preserve"> IF( 'From SvanPC++'!A347= "", "", ('From SvanPC++'!A347))</f>
        <v/>
      </c>
      <c r="C347" s="6" t="s">
        <v>10</v>
      </c>
      <c r="G347" s="38" t="str">
        <f t="shared" si="25"/>
        <v/>
      </c>
      <c r="H347" s="141" t="str">
        <f t="shared" si="26"/>
        <v/>
      </c>
      <c r="J347" s="141" t="str">
        <f t="shared" si="27"/>
        <v/>
      </c>
      <c r="K347" s="141" t="str">
        <f t="shared" si="28"/>
        <v/>
      </c>
      <c r="L347" s="141" t="str">
        <f t="shared" si="29"/>
        <v/>
      </c>
    </row>
    <row r="348" spans="1:12" x14ac:dyDescent="0.3">
      <c r="A348" s="2" t="str">
        <f xml:space="preserve"> IF( 'From SvanPC++'!A348= "", "", ('From SvanPC++'!A348))</f>
        <v/>
      </c>
      <c r="C348" s="6" t="s">
        <v>10</v>
      </c>
      <c r="G348" s="38" t="str">
        <f t="shared" si="25"/>
        <v/>
      </c>
      <c r="H348" s="141" t="str">
        <f t="shared" si="26"/>
        <v/>
      </c>
      <c r="J348" s="141" t="str">
        <f t="shared" si="27"/>
        <v/>
      </c>
      <c r="K348" s="141" t="str">
        <f t="shared" si="28"/>
        <v/>
      </c>
      <c r="L348" s="141" t="str">
        <f t="shared" si="29"/>
        <v/>
      </c>
    </row>
    <row r="349" spans="1:12" x14ac:dyDescent="0.3">
      <c r="A349" s="2" t="str">
        <f xml:space="preserve"> IF( 'From SvanPC++'!A349= "", "", ('From SvanPC++'!A349))</f>
        <v/>
      </c>
      <c r="C349" s="6" t="s">
        <v>10</v>
      </c>
      <c r="G349" s="38" t="str">
        <f t="shared" si="25"/>
        <v/>
      </c>
      <c r="H349" s="141" t="str">
        <f t="shared" si="26"/>
        <v/>
      </c>
      <c r="J349" s="141" t="str">
        <f t="shared" si="27"/>
        <v/>
      </c>
      <c r="K349" s="141" t="str">
        <f t="shared" si="28"/>
        <v/>
      </c>
      <c r="L349" s="141" t="str">
        <f t="shared" si="29"/>
        <v/>
      </c>
    </row>
    <row r="350" spans="1:12" x14ac:dyDescent="0.3">
      <c r="A350" s="2" t="str">
        <f xml:space="preserve"> IF( 'From SvanPC++'!A350= "", "", ('From SvanPC++'!A350))</f>
        <v/>
      </c>
      <c r="C350" s="6" t="s">
        <v>10</v>
      </c>
      <c r="G350" s="38" t="str">
        <f t="shared" si="25"/>
        <v/>
      </c>
      <c r="H350" s="141" t="str">
        <f t="shared" si="26"/>
        <v/>
      </c>
      <c r="J350" s="141" t="str">
        <f t="shared" si="27"/>
        <v/>
      </c>
      <c r="K350" s="141" t="str">
        <f t="shared" si="28"/>
        <v/>
      </c>
      <c r="L350" s="141" t="str">
        <f t="shared" si="29"/>
        <v/>
      </c>
    </row>
    <row r="351" spans="1:12" x14ac:dyDescent="0.3">
      <c r="A351" s="2" t="str">
        <f xml:space="preserve"> IF( 'From SvanPC++'!A351= "", "", ('From SvanPC++'!A351))</f>
        <v/>
      </c>
      <c r="C351" s="6" t="s">
        <v>10</v>
      </c>
      <c r="G351" s="38" t="str">
        <f t="shared" si="25"/>
        <v/>
      </c>
      <c r="H351" s="141" t="str">
        <f t="shared" si="26"/>
        <v/>
      </c>
      <c r="J351" s="141" t="str">
        <f t="shared" si="27"/>
        <v/>
      </c>
      <c r="K351" s="141" t="str">
        <f t="shared" si="28"/>
        <v/>
      </c>
      <c r="L351" s="141" t="str">
        <f t="shared" si="29"/>
        <v/>
      </c>
    </row>
    <row r="352" spans="1:12" x14ac:dyDescent="0.3">
      <c r="A352" s="2" t="str">
        <f xml:space="preserve"> IF( 'From SvanPC++'!A352= "", "", ('From SvanPC++'!A352))</f>
        <v/>
      </c>
      <c r="C352" s="6" t="s">
        <v>10</v>
      </c>
      <c r="G352" s="38" t="str">
        <f t="shared" si="25"/>
        <v/>
      </c>
      <c r="H352" s="141" t="str">
        <f t="shared" si="26"/>
        <v/>
      </c>
      <c r="J352" s="141" t="str">
        <f t="shared" si="27"/>
        <v/>
      </c>
      <c r="K352" s="141" t="str">
        <f t="shared" si="28"/>
        <v/>
      </c>
      <c r="L352" s="141" t="str">
        <f t="shared" si="29"/>
        <v/>
      </c>
    </row>
    <row r="353" spans="1:12" x14ac:dyDescent="0.3">
      <c r="A353" s="2" t="str">
        <f xml:space="preserve"> IF( 'From SvanPC++'!A353= "", "", ('From SvanPC++'!A353))</f>
        <v/>
      </c>
      <c r="C353" s="6" t="s">
        <v>10</v>
      </c>
      <c r="G353" s="38" t="str">
        <f t="shared" si="25"/>
        <v/>
      </c>
      <c r="H353" s="141" t="str">
        <f t="shared" si="26"/>
        <v/>
      </c>
      <c r="J353" s="141" t="str">
        <f t="shared" si="27"/>
        <v/>
      </c>
      <c r="K353" s="141" t="str">
        <f t="shared" si="28"/>
        <v/>
      </c>
      <c r="L353" s="141" t="str">
        <f t="shared" si="29"/>
        <v/>
      </c>
    </row>
    <row r="354" spans="1:12" x14ac:dyDescent="0.3">
      <c r="A354" s="2" t="str">
        <f xml:space="preserve"> IF( 'From SvanPC++'!A354= "", "", ('From SvanPC++'!A354))</f>
        <v/>
      </c>
      <c r="C354" s="6" t="s">
        <v>10</v>
      </c>
      <c r="G354" s="38" t="str">
        <f t="shared" si="25"/>
        <v/>
      </c>
      <c r="H354" s="141" t="str">
        <f t="shared" si="26"/>
        <v/>
      </c>
      <c r="J354" s="141" t="str">
        <f t="shared" si="27"/>
        <v/>
      </c>
      <c r="K354" s="141" t="str">
        <f t="shared" si="28"/>
        <v/>
      </c>
      <c r="L354" s="141" t="str">
        <f t="shared" si="29"/>
        <v/>
      </c>
    </row>
    <row r="355" spans="1:12" x14ac:dyDescent="0.3">
      <c r="A355" s="2" t="str">
        <f xml:space="preserve"> IF( 'From SvanPC++'!A355= "", "", ('From SvanPC++'!A355))</f>
        <v/>
      </c>
      <c r="C355" s="6" t="s">
        <v>10</v>
      </c>
      <c r="G355" s="38" t="str">
        <f t="shared" si="25"/>
        <v/>
      </c>
      <c r="H355" s="141" t="str">
        <f t="shared" si="26"/>
        <v/>
      </c>
      <c r="J355" s="141" t="str">
        <f t="shared" si="27"/>
        <v/>
      </c>
      <c r="K355" s="141" t="str">
        <f t="shared" si="28"/>
        <v/>
      </c>
      <c r="L355" s="141" t="str">
        <f t="shared" si="29"/>
        <v/>
      </c>
    </row>
    <row r="356" spans="1:12" x14ac:dyDescent="0.3">
      <c r="A356" s="2" t="str">
        <f xml:space="preserve"> IF( 'From SvanPC++'!A356= "", "", ('From SvanPC++'!A356))</f>
        <v/>
      </c>
      <c r="C356" s="6" t="s">
        <v>10</v>
      </c>
      <c r="G356" s="38" t="str">
        <f t="shared" si="25"/>
        <v/>
      </c>
      <c r="H356" s="141" t="str">
        <f t="shared" si="26"/>
        <v/>
      </c>
      <c r="J356" s="141" t="str">
        <f t="shared" si="27"/>
        <v/>
      </c>
      <c r="K356" s="141" t="str">
        <f t="shared" si="28"/>
        <v/>
      </c>
      <c r="L356" s="141" t="str">
        <f t="shared" si="29"/>
        <v/>
      </c>
    </row>
    <row r="357" spans="1:12" x14ac:dyDescent="0.3">
      <c r="A357" s="2" t="str">
        <f xml:space="preserve"> IF( 'From SvanPC++'!A357= "", "", ('From SvanPC++'!A357))</f>
        <v/>
      </c>
      <c r="C357" s="6" t="s">
        <v>10</v>
      </c>
      <c r="G357" s="38" t="str">
        <f t="shared" si="25"/>
        <v/>
      </c>
      <c r="H357" s="141" t="str">
        <f t="shared" si="26"/>
        <v/>
      </c>
      <c r="J357" s="141" t="str">
        <f t="shared" si="27"/>
        <v/>
      </c>
      <c r="K357" s="141" t="str">
        <f t="shared" si="28"/>
        <v/>
      </c>
      <c r="L357" s="141" t="str">
        <f t="shared" si="29"/>
        <v/>
      </c>
    </row>
    <row r="358" spans="1:12" x14ac:dyDescent="0.3">
      <c r="A358" s="2" t="str">
        <f xml:space="preserve"> IF( 'From SvanPC++'!A358= "", "", ('From SvanPC++'!A358))</f>
        <v/>
      </c>
      <c r="C358" s="6" t="s">
        <v>10</v>
      </c>
      <c r="G358" s="38" t="str">
        <f t="shared" si="25"/>
        <v/>
      </c>
      <c r="H358" s="141" t="str">
        <f t="shared" si="26"/>
        <v/>
      </c>
      <c r="J358" s="141" t="str">
        <f t="shared" si="27"/>
        <v/>
      </c>
      <c r="K358" s="141" t="str">
        <f t="shared" si="28"/>
        <v/>
      </c>
      <c r="L358" s="141" t="str">
        <f t="shared" si="29"/>
        <v/>
      </c>
    </row>
    <row r="359" spans="1:12" x14ac:dyDescent="0.3">
      <c r="A359" s="2" t="str">
        <f xml:space="preserve"> IF( 'From SvanPC++'!A359= "", "", ('From SvanPC++'!A359))</f>
        <v/>
      </c>
      <c r="C359" s="6" t="s">
        <v>10</v>
      </c>
      <c r="G359" s="38" t="str">
        <f t="shared" si="25"/>
        <v/>
      </c>
      <c r="H359" s="141" t="str">
        <f t="shared" si="26"/>
        <v/>
      </c>
      <c r="J359" s="141" t="str">
        <f t="shared" si="27"/>
        <v/>
      </c>
      <c r="K359" s="141" t="str">
        <f t="shared" si="28"/>
        <v/>
      </c>
      <c r="L359" s="141" t="str">
        <f t="shared" si="29"/>
        <v/>
      </c>
    </row>
    <row r="360" spans="1:12" x14ac:dyDescent="0.3">
      <c r="A360" s="2" t="str">
        <f xml:space="preserve"> IF( 'From SvanPC++'!A360= "", "", ('From SvanPC++'!A360))</f>
        <v/>
      </c>
      <c r="C360" s="6" t="s">
        <v>10</v>
      </c>
      <c r="G360" s="38" t="str">
        <f t="shared" si="25"/>
        <v/>
      </c>
      <c r="H360" s="141" t="str">
        <f t="shared" si="26"/>
        <v/>
      </c>
      <c r="J360" s="141" t="str">
        <f t="shared" si="27"/>
        <v/>
      </c>
      <c r="K360" s="141" t="str">
        <f t="shared" si="28"/>
        <v/>
      </c>
      <c r="L360" s="141" t="str">
        <f t="shared" si="29"/>
        <v/>
      </c>
    </row>
    <row r="361" spans="1:12" x14ac:dyDescent="0.3">
      <c r="A361" s="2" t="str">
        <f xml:space="preserve"> IF( 'From SvanPC++'!A361= "", "", ('From SvanPC++'!A361))</f>
        <v/>
      </c>
      <c r="C361" s="6" t="s">
        <v>10</v>
      </c>
      <c r="G361" s="38" t="str">
        <f t="shared" si="25"/>
        <v/>
      </c>
      <c r="H361" s="141" t="str">
        <f t="shared" si="26"/>
        <v/>
      </c>
      <c r="J361" s="141" t="str">
        <f t="shared" si="27"/>
        <v/>
      </c>
      <c r="K361" s="141" t="str">
        <f t="shared" si="28"/>
        <v/>
      </c>
      <c r="L361" s="141" t="str">
        <f t="shared" si="29"/>
        <v/>
      </c>
    </row>
    <row r="362" spans="1:12" x14ac:dyDescent="0.3">
      <c r="A362" s="2" t="str">
        <f xml:space="preserve"> IF( 'From SvanPC++'!A362= "", "", ('From SvanPC++'!A362))</f>
        <v/>
      </c>
      <c r="C362" s="6" t="s">
        <v>10</v>
      </c>
      <c r="G362" s="38" t="str">
        <f t="shared" si="25"/>
        <v/>
      </c>
      <c r="H362" s="141" t="str">
        <f t="shared" si="26"/>
        <v/>
      </c>
      <c r="J362" s="141" t="str">
        <f t="shared" si="27"/>
        <v/>
      </c>
      <c r="K362" s="141" t="str">
        <f t="shared" si="28"/>
        <v/>
      </c>
      <c r="L362" s="141" t="str">
        <f t="shared" si="29"/>
        <v/>
      </c>
    </row>
    <row r="363" spans="1:12" x14ac:dyDescent="0.3">
      <c r="A363" s="2" t="str">
        <f xml:space="preserve"> IF( 'From SvanPC++'!A363= "", "", ('From SvanPC++'!A363))</f>
        <v/>
      </c>
      <c r="C363" s="6" t="s">
        <v>10</v>
      </c>
      <c r="G363" s="38" t="str">
        <f t="shared" si="25"/>
        <v/>
      </c>
      <c r="H363" s="141" t="str">
        <f t="shared" si="26"/>
        <v/>
      </c>
      <c r="J363" s="141" t="str">
        <f t="shared" si="27"/>
        <v/>
      </c>
      <c r="K363" s="141" t="str">
        <f t="shared" si="28"/>
        <v/>
      </c>
      <c r="L363" s="141" t="str">
        <f t="shared" si="29"/>
        <v/>
      </c>
    </row>
    <row r="364" spans="1:12" x14ac:dyDescent="0.3">
      <c r="A364" s="2" t="str">
        <f xml:space="preserve"> IF( 'From SvanPC++'!A364= "", "", ('From SvanPC++'!A364))</f>
        <v/>
      </c>
      <c r="C364" s="6" t="s">
        <v>10</v>
      </c>
      <c r="G364" s="38" t="str">
        <f t="shared" si="25"/>
        <v/>
      </c>
      <c r="H364" s="141" t="str">
        <f t="shared" si="26"/>
        <v/>
      </c>
      <c r="J364" s="141" t="str">
        <f t="shared" si="27"/>
        <v/>
      </c>
      <c r="K364" s="141" t="str">
        <f t="shared" si="28"/>
        <v/>
      </c>
      <c r="L364" s="141" t="str">
        <f t="shared" si="29"/>
        <v/>
      </c>
    </row>
    <row r="365" spans="1:12" x14ac:dyDescent="0.3">
      <c r="A365" s="2" t="str">
        <f xml:space="preserve"> IF( 'From SvanPC++'!A365= "", "", ('From SvanPC++'!A365))</f>
        <v/>
      </c>
      <c r="C365" s="6" t="s">
        <v>10</v>
      </c>
      <c r="G365" s="38" t="str">
        <f t="shared" si="25"/>
        <v/>
      </c>
      <c r="H365" s="141" t="str">
        <f t="shared" si="26"/>
        <v/>
      </c>
      <c r="J365" s="141" t="str">
        <f t="shared" si="27"/>
        <v/>
      </c>
      <c r="K365" s="141" t="str">
        <f t="shared" si="28"/>
        <v/>
      </c>
      <c r="L365" s="141" t="str">
        <f t="shared" si="29"/>
        <v/>
      </c>
    </row>
    <row r="366" spans="1:12" x14ac:dyDescent="0.3">
      <c r="A366" s="2" t="str">
        <f xml:space="preserve"> IF( 'From SvanPC++'!A366= "", "", ('From SvanPC++'!A366))</f>
        <v/>
      </c>
      <c r="C366" s="6" t="s">
        <v>10</v>
      </c>
      <c r="G366" s="38" t="str">
        <f t="shared" si="25"/>
        <v/>
      </c>
      <c r="H366" s="141" t="str">
        <f t="shared" si="26"/>
        <v/>
      </c>
      <c r="J366" s="141" t="str">
        <f t="shared" si="27"/>
        <v/>
      </c>
      <c r="K366" s="141" t="str">
        <f t="shared" si="28"/>
        <v/>
      </c>
      <c r="L366" s="141" t="str">
        <f t="shared" si="29"/>
        <v/>
      </c>
    </row>
    <row r="367" spans="1:12" x14ac:dyDescent="0.3">
      <c r="A367" s="2" t="str">
        <f xml:space="preserve"> IF( 'From SvanPC++'!A367= "", "", ('From SvanPC++'!A367))</f>
        <v/>
      </c>
      <c r="C367" s="6" t="s">
        <v>10</v>
      </c>
      <c r="G367" s="38" t="str">
        <f t="shared" si="25"/>
        <v/>
      </c>
      <c r="H367" s="141" t="str">
        <f t="shared" si="26"/>
        <v/>
      </c>
      <c r="J367" s="141" t="str">
        <f t="shared" si="27"/>
        <v/>
      </c>
      <c r="K367" s="141" t="str">
        <f t="shared" si="28"/>
        <v/>
      </c>
      <c r="L367" s="141" t="str">
        <f t="shared" si="29"/>
        <v/>
      </c>
    </row>
    <row r="368" spans="1:12" x14ac:dyDescent="0.3">
      <c r="A368" s="2" t="str">
        <f xml:space="preserve"> IF( 'From SvanPC++'!A368= "", "", ('From SvanPC++'!A368))</f>
        <v/>
      </c>
      <c r="C368" s="6" t="s">
        <v>10</v>
      </c>
      <c r="G368" s="38" t="str">
        <f t="shared" si="25"/>
        <v/>
      </c>
      <c r="H368" s="141" t="str">
        <f t="shared" si="26"/>
        <v/>
      </c>
      <c r="J368" s="141" t="str">
        <f t="shared" si="27"/>
        <v/>
      </c>
      <c r="K368" s="141" t="str">
        <f t="shared" si="28"/>
        <v/>
      </c>
      <c r="L368" s="141" t="str">
        <f t="shared" si="29"/>
        <v/>
      </c>
    </row>
    <row r="369" spans="1:12" x14ac:dyDescent="0.3">
      <c r="A369" s="2" t="str">
        <f xml:space="preserve"> IF( 'From SvanPC++'!A369= "", "", ('From SvanPC++'!A369))</f>
        <v/>
      </c>
      <c r="C369" s="6" t="s">
        <v>10</v>
      </c>
      <c r="G369" s="38" t="str">
        <f t="shared" si="25"/>
        <v/>
      </c>
      <c r="H369" s="141" t="str">
        <f t="shared" si="26"/>
        <v/>
      </c>
      <c r="J369" s="141" t="str">
        <f t="shared" si="27"/>
        <v/>
      </c>
      <c r="K369" s="141" t="str">
        <f t="shared" si="28"/>
        <v/>
      </c>
      <c r="L369" s="141" t="str">
        <f t="shared" si="29"/>
        <v/>
      </c>
    </row>
    <row r="370" spans="1:12" x14ac:dyDescent="0.3">
      <c r="A370" s="2" t="str">
        <f xml:space="preserve"> IF( 'From SvanPC++'!A370= "", "", ('From SvanPC++'!A370))</f>
        <v/>
      </c>
      <c r="C370" s="6" t="s">
        <v>10</v>
      </c>
      <c r="G370" s="38" t="str">
        <f t="shared" si="25"/>
        <v/>
      </c>
      <c r="H370" s="141" t="str">
        <f t="shared" si="26"/>
        <v/>
      </c>
      <c r="J370" s="141" t="str">
        <f t="shared" si="27"/>
        <v/>
      </c>
      <c r="K370" s="141" t="str">
        <f t="shared" si="28"/>
        <v/>
      </c>
      <c r="L370" s="141" t="str">
        <f t="shared" si="29"/>
        <v/>
      </c>
    </row>
    <row r="371" spans="1:12" x14ac:dyDescent="0.3">
      <c r="A371" s="2" t="str">
        <f xml:space="preserve"> IF( 'From SvanPC++'!A371= "", "", ('From SvanPC++'!A371))</f>
        <v/>
      </c>
      <c r="C371" s="6" t="s">
        <v>10</v>
      </c>
      <c r="G371" s="38" t="str">
        <f t="shared" si="25"/>
        <v/>
      </c>
      <c r="H371" s="141" t="str">
        <f t="shared" si="26"/>
        <v/>
      </c>
      <c r="J371" s="141" t="str">
        <f t="shared" si="27"/>
        <v/>
      </c>
      <c r="K371" s="141" t="str">
        <f t="shared" si="28"/>
        <v/>
      </c>
      <c r="L371" s="141" t="str">
        <f t="shared" si="29"/>
        <v/>
      </c>
    </row>
    <row r="372" spans="1:12" x14ac:dyDescent="0.3">
      <c r="A372" s="2" t="str">
        <f xml:space="preserve"> IF( 'From SvanPC++'!A372= "", "", ('From SvanPC++'!A372))</f>
        <v/>
      </c>
      <c r="C372" s="6" t="s">
        <v>10</v>
      </c>
      <c r="G372" s="38" t="str">
        <f t="shared" si="25"/>
        <v/>
      </c>
      <c r="H372" s="141" t="str">
        <f t="shared" si="26"/>
        <v/>
      </c>
      <c r="J372" s="141" t="str">
        <f t="shared" si="27"/>
        <v/>
      </c>
      <c r="K372" s="141" t="str">
        <f t="shared" si="28"/>
        <v/>
      </c>
      <c r="L372" s="141" t="str">
        <f t="shared" si="29"/>
        <v/>
      </c>
    </row>
    <row r="373" spans="1:12" x14ac:dyDescent="0.3">
      <c r="A373" s="2" t="str">
        <f xml:space="preserve"> IF( 'From SvanPC++'!A373= "", "", ('From SvanPC++'!A373))</f>
        <v/>
      </c>
      <c r="C373" s="6" t="s">
        <v>10</v>
      </c>
      <c r="G373" s="38" t="str">
        <f t="shared" si="25"/>
        <v/>
      </c>
      <c r="H373" s="141" t="str">
        <f t="shared" si="26"/>
        <v/>
      </c>
      <c r="J373" s="141" t="str">
        <f t="shared" si="27"/>
        <v/>
      </c>
      <c r="K373" s="141" t="str">
        <f t="shared" si="28"/>
        <v/>
      </c>
      <c r="L373" s="141" t="str">
        <f t="shared" si="29"/>
        <v/>
      </c>
    </row>
    <row r="374" spans="1:12" x14ac:dyDescent="0.3">
      <c r="A374" s="2" t="str">
        <f xml:space="preserve"> IF( 'From SvanPC++'!A374= "", "", ('From SvanPC++'!A374))</f>
        <v/>
      </c>
      <c r="C374" s="6" t="s">
        <v>10</v>
      </c>
      <c r="G374" s="38" t="str">
        <f t="shared" si="25"/>
        <v/>
      </c>
      <c r="H374" s="141" t="str">
        <f t="shared" si="26"/>
        <v/>
      </c>
      <c r="J374" s="141" t="str">
        <f t="shared" si="27"/>
        <v/>
      </c>
      <c r="K374" s="141" t="str">
        <f t="shared" si="28"/>
        <v/>
      </c>
      <c r="L374" s="141" t="str">
        <f t="shared" si="29"/>
        <v/>
      </c>
    </row>
    <row r="375" spans="1:12" x14ac:dyDescent="0.3">
      <c r="A375" s="2" t="str">
        <f xml:space="preserve"> IF( 'From SvanPC++'!A375= "", "", ('From SvanPC++'!A375))</f>
        <v/>
      </c>
      <c r="C375" s="6" t="s">
        <v>10</v>
      </c>
      <c r="G375" s="38" t="str">
        <f t="shared" si="25"/>
        <v/>
      </c>
      <c r="H375" s="141" t="str">
        <f t="shared" si="26"/>
        <v/>
      </c>
      <c r="J375" s="141" t="str">
        <f t="shared" si="27"/>
        <v/>
      </c>
      <c r="K375" s="141" t="str">
        <f t="shared" si="28"/>
        <v/>
      </c>
      <c r="L375" s="141" t="str">
        <f t="shared" si="29"/>
        <v/>
      </c>
    </row>
    <row r="376" spans="1:12" x14ac:dyDescent="0.3">
      <c r="A376" s="2" t="str">
        <f xml:space="preserve"> IF( 'From SvanPC++'!A376= "", "", ('From SvanPC++'!A376))</f>
        <v/>
      </c>
      <c r="C376" s="6" t="s">
        <v>10</v>
      </c>
      <c r="G376" s="38" t="str">
        <f t="shared" si="25"/>
        <v/>
      </c>
      <c r="H376" s="141" t="str">
        <f t="shared" si="26"/>
        <v/>
      </c>
      <c r="J376" s="141" t="str">
        <f t="shared" si="27"/>
        <v/>
      </c>
      <c r="K376" s="141" t="str">
        <f t="shared" si="28"/>
        <v/>
      </c>
      <c r="L376" s="141" t="str">
        <f t="shared" si="29"/>
        <v/>
      </c>
    </row>
    <row r="377" spans="1:12" x14ac:dyDescent="0.3">
      <c r="A377" s="2" t="str">
        <f xml:space="preserve"> IF( 'From SvanPC++'!A377= "", "", ('From SvanPC++'!A377))</f>
        <v/>
      </c>
      <c r="C377" s="6" t="s">
        <v>10</v>
      </c>
      <c r="G377" s="38" t="str">
        <f t="shared" si="25"/>
        <v/>
      </c>
      <c r="H377" s="141" t="str">
        <f t="shared" si="26"/>
        <v/>
      </c>
      <c r="J377" s="141" t="str">
        <f t="shared" si="27"/>
        <v/>
      </c>
      <c r="K377" s="141" t="str">
        <f t="shared" si="28"/>
        <v/>
      </c>
      <c r="L377" s="141" t="str">
        <f t="shared" si="29"/>
        <v/>
      </c>
    </row>
    <row r="378" spans="1:12" x14ac:dyDescent="0.3">
      <c r="A378" s="2" t="str">
        <f xml:space="preserve"> IF( 'From SvanPC++'!A378= "", "", ('From SvanPC++'!A378))</f>
        <v/>
      </c>
      <c r="C378" s="6" t="s">
        <v>10</v>
      </c>
      <c r="G378" s="38" t="str">
        <f t="shared" si="25"/>
        <v/>
      </c>
      <c r="H378" s="141" t="str">
        <f t="shared" si="26"/>
        <v/>
      </c>
      <c r="J378" s="141" t="str">
        <f t="shared" si="27"/>
        <v/>
      </c>
      <c r="K378" s="141" t="str">
        <f t="shared" si="28"/>
        <v/>
      </c>
      <c r="L378" s="141" t="str">
        <f t="shared" si="29"/>
        <v/>
      </c>
    </row>
    <row r="379" spans="1:12" x14ac:dyDescent="0.3">
      <c r="A379" s="2" t="str">
        <f xml:space="preserve"> IF( 'From SvanPC++'!A379= "", "", ('From SvanPC++'!A379))</f>
        <v/>
      </c>
      <c r="C379" s="6" t="s">
        <v>10</v>
      </c>
      <c r="G379" s="38" t="str">
        <f t="shared" si="25"/>
        <v/>
      </c>
      <c r="H379" s="141" t="str">
        <f t="shared" si="26"/>
        <v/>
      </c>
      <c r="J379" s="141" t="str">
        <f t="shared" si="27"/>
        <v/>
      </c>
      <c r="K379" s="141" t="str">
        <f t="shared" si="28"/>
        <v/>
      </c>
      <c r="L379" s="141" t="str">
        <f t="shared" si="29"/>
        <v/>
      </c>
    </row>
    <row r="380" spans="1:12" x14ac:dyDescent="0.3">
      <c r="A380" s="2" t="str">
        <f xml:space="preserve"> IF( 'From SvanPC++'!A380= "", "", ('From SvanPC++'!A380))</f>
        <v/>
      </c>
      <c r="C380" s="6" t="s">
        <v>10</v>
      </c>
      <c r="G380" s="38" t="str">
        <f t="shared" si="25"/>
        <v/>
      </c>
      <c r="H380" s="141" t="str">
        <f t="shared" si="26"/>
        <v/>
      </c>
      <c r="J380" s="141" t="str">
        <f t="shared" si="27"/>
        <v/>
      </c>
      <c r="K380" s="141" t="str">
        <f t="shared" si="28"/>
        <v/>
      </c>
      <c r="L380" s="141" t="str">
        <f t="shared" si="29"/>
        <v/>
      </c>
    </row>
    <row r="381" spans="1:12" x14ac:dyDescent="0.3">
      <c r="A381" s="2" t="str">
        <f xml:space="preserve"> IF( 'From SvanPC++'!A381= "", "", ('From SvanPC++'!A381))</f>
        <v/>
      </c>
      <c r="C381" s="6" t="s">
        <v>10</v>
      </c>
      <c r="G381" s="38" t="str">
        <f t="shared" si="25"/>
        <v/>
      </c>
      <c r="H381" s="141" t="str">
        <f t="shared" si="26"/>
        <v/>
      </c>
      <c r="J381" s="141" t="str">
        <f t="shared" si="27"/>
        <v/>
      </c>
      <c r="K381" s="141" t="str">
        <f t="shared" si="28"/>
        <v/>
      </c>
      <c r="L381" s="141" t="str">
        <f t="shared" si="29"/>
        <v/>
      </c>
    </row>
    <row r="382" spans="1:12" x14ac:dyDescent="0.3">
      <c r="A382" s="2" t="str">
        <f xml:space="preserve"> IF( 'From SvanPC++'!A382= "", "", ('From SvanPC++'!A382))</f>
        <v/>
      </c>
      <c r="C382" s="6" t="s">
        <v>10</v>
      </c>
      <c r="G382" s="38" t="str">
        <f t="shared" si="25"/>
        <v/>
      </c>
      <c r="H382" s="141" t="str">
        <f t="shared" si="26"/>
        <v/>
      </c>
      <c r="J382" s="141" t="str">
        <f t="shared" si="27"/>
        <v/>
      </c>
      <c r="K382" s="141" t="str">
        <f t="shared" si="28"/>
        <v/>
      </c>
      <c r="L382" s="141" t="str">
        <f t="shared" si="29"/>
        <v/>
      </c>
    </row>
    <row r="383" spans="1:12" x14ac:dyDescent="0.3">
      <c r="A383" s="2" t="str">
        <f xml:space="preserve"> IF( 'From SvanPC++'!A383= "", "", ('From SvanPC++'!A383))</f>
        <v/>
      </c>
      <c r="C383" s="6" t="s">
        <v>10</v>
      </c>
      <c r="G383" s="38" t="str">
        <f t="shared" si="25"/>
        <v/>
      </c>
      <c r="H383" s="141" t="str">
        <f t="shared" si="26"/>
        <v/>
      </c>
      <c r="J383" s="141" t="str">
        <f t="shared" si="27"/>
        <v/>
      </c>
      <c r="K383" s="141" t="str">
        <f t="shared" si="28"/>
        <v/>
      </c>
      <c r="L383" s="141" t="str">
        <f t="shared" si="29"/>
        <v/>
      </c>
    </row>
    <row r="384" spans="1:12" x14ac:dyDescent="0.3">
      <c r="A384" s="2" t="str">
        <f xml:space="preserve"> IF( 'From SvanPC++'!A384= "", "", ('From SvanPC++'!A384))</f>
        <v/>
      </c>
      <c r="C384" s="6" t="s">
        <v>10</v>
      </c>
      <c r="G384" s="38" t="str">
        <f t="shared" si="25"/>
        <v/>
      </c>
      <c r="H384" s="141" t="str">
        <f t="shared" si="26"/>
        <v/>
      </c>
      <c r="J384" s="141" t="str">
        <f t="shared" si="27"/>
        <v/>
      </c>
      <c r="K384" s="141" t="str">
        <f t="shared" si="28"/>
        <v/>
      </c>
      <c r="L384" s="141" t="str">
        <f t="shared" si="29"/>
        <v/>
      </c>
    </row>
    <row r="385" spans="1:12" x14ac:dyDescent="0.3">
      <c r="A385" s="2" t="str">
        <f xml:space="preserve"> IF( 'From SvanPC++'!A385= "", "", ('From SvanPC++'!A385))</f>
        <v/>
      </c>
      <c r="C385" s="6" t="s">
        <v>10</v>
      </c>
      <c r="G385" s="38" t="str">
        <f t="shared" si="25"/>
        <v/>
      </c>
      <c r="H385" s="141" t="str">
        <f t="shared" si="26"/>
        <v/>
      </c>
      <c r="J385" s="141" t="str">
        <f t="shared" si="27"/>
        <v/>
      </c>
      <c r="K385" s="141" t="str">
        <f t="shared" si="28"/>
        <v/>
      </c>
      <c r="L385" s="141" t="str">
        <f t="shared" si="29"/>
        <v/>
      </c>
    </row>
    <row r="386" spans="1:12" x14ac:dyDescent="0.3">
      <c r="A386" s="2" t="str">
        <f xml:space="preserve"> IF( 'From SvanPC++'!A386= "", "", ('From SvanPC++'!A386))</f>
        <v/>
      </c>
      <c r="C386" s="6" t="s">
        <v>10</v>
      </c>
      <c r="G386" s="38" t="str">
        <f t="shared" si="25"/>
        <v/>
      </c>
      <c r="H386" s="141" t="str">
        <f t="shared" si="26"/>
        <v/>
      </c>
      <c r="J386" s="141" t="str">
        <f t="shared" si="27"/>
        <v/>
      </c>
      <c r="K386" s="141" t="str">
        <f t="shared" si="28"/>
        <v/>
      </c>
      <c r="L386" s="141" t="str">
        <f t="shared" si="29"/>
        <v/>
      </c>
    </row>
    <row r="387" spans="1:12" x14ac:dyDescent="0.3">
      <c r="A387" s="2" t="str">
        <f xml:space="preserve"> IF( 'From SvanPC++'!A387= "", "", ('From SvanPC++'!A387))</f>
        <v/>
      </c>
      <c r="C387" s="6" t="s">
        <v>10</v>
      </c>
      <c r="G387" s="38" t="str">
        <f t="shared" si="25"/>
        <v/>
      </c>
      <c r="H387" s="141" t="str">
        <f t="shared" si="26"/>
        <v/>
      </c>
      <c r="J387" s="141" t="str">
        <f t="shared" si="27"/>
        <v/>
      </c>
      <c r="K387" s="141" t="str">
        <f t="shared" si="28"/>
        <v/>
      </c>
      <c r="L387" s="141" t="str">
        <f t="shared" si="29"/>
        <v/>
      </c>
    </row>
    <row r="388" spans="1:12" x14ac:dyDescent="0.3">
      <c r="A388" s="2" t="str">
        <f xml:space="preserve"> IF( 'From SvanPC++'!A388= "", "", ('From SvanPC++'!A388))</f>
        <v/>
      </c>
      <c r="C388" s="6" t="s">
        <v>10</v>
      </c>
      <c r="G388" s="38" t="str">
        <f t="shared" si="25"/>
        <v/>
      </c>
      <c r="H388" s="141" t="str">
        <f t="shared" si="26"/>
        <v/>
      </c>
      <c r="J388" s="141" t="str">
        <f t="shared" si="27"/>
        <v/>
      </c>
      <c r="K388" s="141" t="str">
        <f t="shared" si="28"/>
        <v/>
      </c>
      <c r="L388" s="141" t="str">
        <f t="shared" si="29"/>
        <v/>
      </c>
    </row>
    <row r="389" spans="1:12" x14ac:dyDescent="0.3">
      <c r="A389" s="2" t="str">
        <f xml:space="preserve"> IF( 'From SvanPC++'!A389= "", "", ('From SvanPC++'!A389))</f>
        <v/>
      </c>
      <c r="C389" s="6" t="s">
        <v>10</v>
      </c>
      <c r="G389" s="38" t="str">
        <f t="shared" si="25"/>
        <v/>
      </c>
      <c r="H389" s="141" t="str">
        <f t="shared" si="26"/>
        <v/>
      </c>
      <c r="J389" s="141" t="str">
        <f t="shared" si="27"/>
        <v/>
      </c>
      <c r="K389" s="141" t="str">
        <f t="shared" si="28"/>
        <v/>
      </c>
      <c r="L389" s="141" t="str">
        <f t="shared" si="29"/>
        <v/>
      </c>
    </row>
    <row r="390" spans="1:12" x14ac:dyDescent="0.3">
      <c r="A390" s="2" t="str">
        <f xml:space="preserve"> IF( 'From SvanPC++'!A390= "", "", ('From SvanPC++'!A390))</f>
        <v/>
      </c>
      <c r="C390" s="6" t="s">
        <v>10</v>
      </c>
      <c r="G390" s="38" t="str">
        <f t="shared" si="25"/>
        <v/>
      </c>
      <c r="H390" s="141" t="str">
        <f t="shared" si="26"/>
        <v/>
      </c>
      <c r="J390" s="141" t="str">
        <f t="shared" si="27"/>
        <v/>
      </c>
      <c r="K390" s="141" t="str">
        <f t="shared" si="28"/>
        <v/>
      </c>
      <c r="L390" s="141" t="str">
        <f t="shared" si="29"/>
        <v/>
      </c>
    </row>
    <row r="391" spans="1:12" x14ac:dyDescent="0.3">
      <c r="A391" s="2" t="str">
        <f xml:space="preserve"> IF( 'From SvanPC++'!A391= "", "", ('From SvanPC++'!A391))</f>
        <v/>
      </c>
      <c r="C391" s="6" t="s">
        <v>10</v>
      </c>
      <c r="G391" s="38" t="str">
        <f t="shared" ref="G391:G454" si="30" xml:space="preserve"> IF( D391= "", "", ( IF( AND( D391 &gt;= TIMEVALUE( "07:00:01" ), D391 &lt; TIMEVALUE( "08:00:01" ) ) = TRUE, (G390+1), (G390+0) )))</f>
        <v/>
      </c>
      <c r="H391" s="141" t="str">
        <f t="shared" ref="H391:H454" si="31" xml:space="preserve"> IF( D391= "", "", (
IF( AND( D391 &gt;= TIMEVALUE( "07:00:01" ), D391 &lt;= TIMEVALUE( "18:00:00" ), WEEKDAY( C391,1+N("            Weekday Day Period              ")) &gt;=2, ( WEEKDAY( C391,1) &lt;=6) ) = TRUE, "Day",
IF( AND( D391 &gt;= TIMEVALUE( "18:00:01" ), D391 &lt;= TIMEVALUE( "22:00:00" ), WEEKDAY( C391,1+N("            Weekday Evening Period          ")) &gt;=2, ( WEEKDAY( C391,1) &lt;=6) ) = TRUE, "Evening",
IF( AND( D391 &gt;= TIMEVALUE( "22:00:01" ), D391 &lt;= TIMEVALUE( "23:59:59" ), WEEKDAY( C391,1+N("            Weekday Night Period            ")) &gt;=2, ( WEEKDAY( C391,1) &lt;=6) ) = TRUE, "Night",
IF( AND( D391 &gt;= TIMEVALUE( "00:00:00" ), D391 &lt;= TIMEVALUE( "07:00:00" ), WEEKDAY( C391,1+N("            Weekday Night Period            ")) &gt;=2, ( WEEKDAY( C391,1) &lt;=6) ) = TRUE, "Night",
IF( AND( D391 &gt;= TIMEVALUE( "07:00:01" ), D391 &lt;= TIMEVALUE( "18:00:00" ), WEEKDAY( C391) =(7+N("         Saturday Day Period             ")) ) = TRUE, "Day",
IF( AND( D391 &gt;= TIMEVALUE( "18:00:01" ), D391 &lt;= TIMEVALUE( "22:00:00" ), WEEKDAY( C391) =(7+N("         Saturday Evening Period         ")) ) = TRUE, "Evening",
IF( AND( D391 &gt;= TIMEVALUE( "22:00:01" ), D391 &lt;= TIMEVALUE( "23:59:59" ), WEEKDAY( C391) =(7+N("         Saturday Night Period           ")) ) = TRUE, "Night",
IF( AND( D391 &gt;= TIMEVALUE( "00:00:00" ), D391 &lt;= TIMEVALUE( "07:00:00" ), WEEKDAY( C391) =(7+N("         Saturday Night Period           ")) ) = TRUE, "Night",
IF( AND( D391 &gt;= TIMEVALUE( "07:00:01" ), D391 &lt;= TIMEVALUE( "22:00:00" ), WEEKDAY( C391) =(1+N("         Sunday Evening Period           ")) ) = TRUE, "Evening",
IF( AND( D391 &gt;= TIMEVALUE( "20:00:01" ), D391 &lt;= TIMEVALUE( "23:59:59" ), WEEKDAY( C391) =(1+N("         Sunday Night Period             ")) ) = TRUE, "Night",
IF( AND( D391 &gt;= TIMEVALUE( "00:00:00" ), D391 &lt;= TIMEVALUE( "07:00:00" ), WEEKDAY( C391) =(1+N("         Sunday Night Period             ")) ) = TRUE, "Night",
)))))))))))))</f>
        <v/>
      </c>
      <c r="J391" s="141" t="str">
        <f t="shared" si="27"/>
        <v/>
      </c>
      <c r="K391" s="141" t="str">
        <f t="shared" si="28"/>
        <v/>
      </c>
      <c r="L391" s="141" t="str">
        <f t="shared" si="29"/>
        <v/>
      </c>
    </row>
    <row r="392" spans="1:12" x14ac:dyDescent="0.3">
      <c r="A392" s="2" t="str">
        <f xml:space="preserve"> IF( 'From SvanPC++'!A392= "", "", ('From SvanPC++'!A392))</f>
        <v/>
      </c>
      <c r="C392" s="6" t="s">
        <v>10</v>
      </c>
      <c r="G392" s="38" t="str">
        <f t="shared" si="30"/>
        <v/>
      </c>
      <c r="H392" s="141" t="str">
        <f t="shared" si="31"/>
        <v/>
      </c>
      <c r="J392" s="141" t="str">
        <f t="shared" ref="J392:J455" si="32" xml:space="preserve"> IF( ISERROR( IF( D392= "", "", ( IF( G392= (G391+1), ( AVERAGEIFS( E392:E536, G392:G536, G392, H392:H536, "Day" )), "" )))), "",( IF( D392= "", "", ( IF( G392= (G391+1), ( AVERAGEIFS( E392:E536, G392:G536, G392, H392:H536, "Day" )), "" )))))</f>
        <v/>
      </c>
      <c r="K392" s="141" t="str">
        <f t="shared" ref="K392:K455" si="33" xml:space="preserve"> IF( ISERROR( IF( D392= "", "", ( IF( G392= (G391+1), ( AVERAGEIFS( E392:E536, G392:G536, G392, H392:H536, "Evening" )), "" )))), "",( IF( D392= "", "", ( IF( G392= (G391+1), ( AVERAGEIFS( E392:E536, G392:G536, G392, H392:H536, "Evening" )), "" )))))</f>
        <v/>
      </c>
      <c r="L392" s="141" t="str">
        <f t="shared" ref="L392:L455" si="34" xml:space="preserve"> IF( ISERROR( IF( D392= "", "", ( IF( G392= (G391+1), ( AVERAGEIFS( E392:E536, G392:G536, G392, H392:H536, "Night" )), "" )))), "",( IF( D392= "", "", ( IF( G392= (G391+1), ( AVERAGEIFS( E392:E536, G392:G536, G392, H392:H536, "Night" )), "" )))))</f>
        <v/>
      </c>
    </row>
    <row r="393" spans="1:12" x14ac:dyDescent="0.3">
      <c r="A393" s="2" t="str">
        <f xml:space="preserve"> IF( 'From SvanPC++'!A393= "", "", ('From SvanPC++'!A393))</f>
        <v/>
      </c>
      <c r="C393" s="6" t="s">
        <v>10</v>
      </c>
      <c r="G393" s="38" t="str">
        <f t="shared" si="30"/>
        <v/>
      </c>
      <c r="H393" s="141" t="str">
        <f t="shared" si="31"/>
        <v/>
      </c>
      <c r="J393" s="141" t="str">
        <f t="shared" si="32"/>
        <v/>
      </c>
      <c r="K393" s="141" t="str">
        <f t="shared" si="33"/>
        <v/>
      </c>
      <c r="L393" s="141" t="str">
        <f t="shared" si="34"/>
        <v/>
      </c>
    </row>
    <row r="394" spans="1:12" x14ac:dyDescent="0.3">
      <c r="A394" s="2" t="str">
        <f xml:space="preserve"> IF( 'From SvanPC++'!A394= "", "", ('From SvanPC++'!A394))</f>
        <v/>
      </c>
      <c r="C394" s="6" t="s">
        <v>10</v>
      </c>
      <c r="G394" s="38" t="str">
        <f t="shared" si="30"/>
        <v/>
      </c>
      <c r="H394" s="141" t="str">
        <f t="shared" si="31"/>
        <v/>
      </c>
      <c r="J394" s="141" t="str">
        <f t="shared" si="32"/>
        <v/>
      </c>
      <c r="K394" s="141" t="str">
        <f t="shared" si="33"/>
        <v/>
      </c>
      <c r="L394" s="141" t="str">
        <f t="shared" si="34"/>
        <v/>
      </c>
    </row>
    <row r="395" spans="1:12" x14ac:dyDescent="0.3">
      <c r="A395" s="2" t="str">
        <f xml:space="preserve"> IF( 'From SvanPC++'!A395= "", "", ('From SvanPC++'!A395))</f>
        <v/>
      </c>
      <c r="C395" s="6" t="s">
        <v>10</v>
      </c>
      <c r="G395" s="38" t="str">
        <f t="shared" si="30"/>
        <v/>
      </c>
      <c r="H395" s="141" t="str">
        <f t="shared" si="31"/>
        <v/>
      </c>
      <c r="J395" s="141" t="str">
        <f t="shared" si="32"/>
        <v/>
      </c>
      <c r="K395" s="141" t="str">
        <f t="shared" si="33"/>
        <v/>
      </c>
      <c r="L395" s="141" t="str">
        <f t="shared" si="34"/>
        <v/>
      </c>
    </row>
    <row r="396" spans="1:12" x14ac:dyDescent="0.3">
      <c r="A396" s="2" t="str">
        <f xml:space="preserve"> IF( 'From SvanPC++'!A396= "", "", ('From SvanPC++'!A396))</f>
        <v/>
      </c>
      <c r="C396" s="6" t="s">
        <v>10</v>
      </c>
      <c r="G396" s="38" t="str">
        <f t="shared" si="30"/>
        <v/>
      </c>
      <c r="H396" s="141" t="str">
        <f t="shared" si="31"/>
        <v/>
      </c>
      <c r="J396" s="141" t="str">
        <f t="shared" si="32"/>
        <v/>
      </c>
      <c r="K396" s="141" t="str">
        <f t="shared" si="33"/>
        <v/>
      </c>
      <c r="L396" s="141" t="str">
        <f t="shared" si="34"/>
        <v/>
      </c>
    </row>
    <row r="397" spans="1:12" x14ac:dyDescent="0.3">
      <c r="A397" s="2" t="str">
        <f xml:space="preserve"> IF( 'From SvanPC++'!A397= "", "", ('From SvanPC++'!A397))</f>
        <v/>
      </c>
      <c r="C397" s="6" t="s">
        <v>10</v>
      </c>
      <c r="G397" s="38" t="str">
        <f t="shared" si="30"/>
        <v/>
      </c>
      <c r="H397" s="141" t="str">
        <f t="shared" si="31"/>
        <v/>
      </c>
      <c r="J397" s="141" t="str">
        <f t="shared" si="32"/>
        <v/>
      </c>
      <c r="K397" s="141" t="str">
        <f t="shared" si="33"/>
        <v/>
      </c>
      <c r="L397" s="141" t="str">
        <f t="shared" si="34"/>
        <v/>
      </c>
    </row>
    <row r="398" spans="1:12" x14ac:dyDescent="0.3">
      <c r="A398" s="2" t="str">
        <f xml:space="preserve"> IF( 'From SvanPC++'!A398= "", "", ('From SvanPC++'!A398))</f>
        <v/>
      </c>
      <c r="C398" s="6" t="s">
        <v>10</v>
      </c>
      <c r="G398" s="38" t="str">
        <f t="shared" si="30"/>
        <v/>
      </c>
      <c r="H398" s="141" t="str">
        <f t="shared" si="31"/>
        <v/>
      </c>
      <c r="J398" s="141" t="str">
        <f t="shared" si="32"/>
        <v/>
      </c>
      <c r="K398" s="141" t="str">
        <f t="shared" si="33"/>
        <v/>
      </c>
      <c r="L398" s="141" t="str">
        <f t="shared" si="34"/>
        <v/>
      </c>
    </row>
    <row r="399" spans="1:12" x14ac:dyDescent="0.3">
      <c r="A399" s="2" t="str">
        <f xml:space="preserve"> IF( 'From SvanPC++'!A399= "", "", ('From SvanPC++'!A399))</f>
        <v/>
      </c>
      <c r="C399" s="6" t="s">
        <v>10</v>
      </c>
      <c r="G399" s="38" t="str">
        <f t="shared" si="30"/>
        <v/>
      </c>
      <c r="H399" s="141" t="str">
        <f t="shared" si="31"/>
        <v/>
      </c>
      <c r="J399" s="141" t="str">
        <f t="shared" si="32"/>
        <v/>
      </c>
      <c r="K399" s="141" t="str">
        <f t="shared" si="33"/>
        <v/>
      </c>
      <c r="L399" s="141" t="str">
        <f t="shared" si="34"/>
        <v/>
      </c>
    </row>
    <row r="400" spans="1:12" x14ac:dyDescent="0.3">
      <c r="A400" s="2" t="str">
        <f xml:space="preserve"> IF( 'From SvanPC++'!A400= "", "", ('From SvanPC++'!A400))</f>
        <v/>
      </c>
      <c r="C400" s="6" t="s">
        <v>10</v>
      </c>
      <c r="G400" s="38" t="str">
        <f t="shared" si="30"/>
        <v/>
      </c>
      <c r="H400" s="141" t="str">
        <f t="shared" si="31"/>
        <v/>
      </c>
      <c r="J400" s="141" t="str">
        <f t="shared" si="32"/>
        <v/>
      </c>
      <c r="K400" s="141" t="str">
        <f t="shared" si="33"/>
        <v/>
      </c>
      <c r="L400" s="141" t="str">
        <f t="shared" si="34"/>
        <v/>
      </c>
    </row>
    <row r="401" spans="1:12" x14ac:dyDescent="0.3">
      <c r="A401" s="2" t="str">
        <f xml:space="preserve"> IF( 'From SvanPC++'!A401= "", "", ('From SvanPC++'!A401))</f>
        <v/>
      </c>
      <c r="C401" s="6" t="s">
        <v>10</v>
      </c>
      <c r="G401" s="38" t="str">
        <f t="shared" si="30"/>
        <v/>
      </c>
      <c r="H401" s="141" t="str">
        <f t="shared" si="31"/>
        <v/>
      </c>
      <c r="J401" s="141" t="str">
        <f t="shared" si="32"/>
        <v/>
      </c>
      <c r="K401" s="141" t="str">
        <f t="shared" si="33"/>
        <v/>
      </c>
      <c r="L401" s="141" t="str">
        <f t="shared" si="34"/>
        <v/>
      </c>
    </row>
    <row r="402" spans="1:12" x14ac:dyDescent="0.3">
      <c r="A402" s="2" t="str">
        <f xml:space="preserve"> IF( 'From SvanPC++'!A402= "", "", ('From SvanPC++'!A402))</f>
        <v/>
      </c>
      <c r="C402" s="6" t="s">
        <v>10</v>
      </c>
      <c r="G402" s="38" t="str">
        <f t="shared" si="30"/>
        <v/>
      </c>
      <c r="H402" s="141" t="str">
        <f t="shared" si="31"/>
        <v/>
      </c>
      <c r="J402" s="141" t="str">
        <f t="shared" si="32"/>
        <v/>
      </c>
      <c r="K402" s="141" t="str">
        <f t="shared" si="33"/>
        <v/>
      </c>
      <c r="L402" s="141" t="str">
        <f t="shared" si="34"/>
        <v/>
      </c>
    </row>
    <row r="403" spans="1:12" x14ac:dyDescent="0.3">
      <c r="A403" s="2" t="str">
        <f xml:space="preserve"> IF( 'From SvanPC++'!A403= "", "", ('From SvanPC++'!A403))</f>
        <v/>
      </c>
      <c r="C403" s="6" t="s">
        <v>10</v>
      </c>
      <c r="G403" s="38" t="str">
        <f t="shared" si="30"/>
        <v/>
      </c>
      <c r="H403" s="141" t="str">
        <f t="shared" si="31"/>
        <v/>
      </c>
      <c r="J403" s="141" t="str">
        <f t="shared" si="32"/>
        <v/>
      </c>
      <c r="K403" s="141" t="str">
        <f t="shared" si="33"/>
        <v/>
      </c>
      <c r="L403" s="141" t="str">
        <f t="shared" si="34"/>
        <v/>
      </c>
    </row>
    <row r="404" spans="1:12" x14ac:dyDescent="0.3">
      <c r="A404" s="2" t="str">
        <f xml:space="preserve"> IF( 'From SvanPC++'!A404= "", "", ('From SvanPC++'!A404))</f>
        <v/>
      </c>
      <c r="C404" s="6" t="s">
        <v>10</v>
      </c>
      <c r="G404" s="38" t="str">
        <f t="shared" si="30"/>
        <v/>
      </c>
      <c r="H404" s="141" t="str">
        <f t="shared" si="31"/>
        <v/>
      </c>
      <c r="J404" s="141" t="str">
        <f t="shared" si="32"/>
        <v/>
      </c>
      <c r="K404" s="141" t="str">
        <f t="shared" si="33"/>
        <v/>
      </c>
      <c r="L404" s="141" t="str">
        <f t="shared" si="34"/>
        <v/>
      </c>
    </row>
    <row r="405" spans="1:12" x14ac:dyDescent="0.3">
      <c r="A405" s="2" t="str">
        <f xml:space="preserve"> IF( 'From SvanPC++'!A405= "", "", ('From SvanPC++'!A405))</f>
        <v/>
      </c>
      <c r="C405" s="6" t="s">
        <v>10</v>
      </c>
      <c r="G405" s="38" t="str">
        <f t="shared" si="30"/>
        <v/>
      </c>
      <c r="H405" s="141" t="str">
        <f t="shared" si="31"/>
        <v/>
      </c>
      <c r="J405" s="141" t="str">
        <f t="shared" si="32"/>
        <v/>
      </c>
      <c r="K405" s="141" t="str">
        <f t="shared" si="33"/>
        <v/>
      </c>
      <c r="L405" s="141" t="str">
        <f t="shared" si="34"/>
        <v/>
      </c>
    </row>
    <row r="406" spans="1:12" x14ac:dyDescent="0.3">
      <c r="A406" s="2" t="str">
        <f xml:space="preserve"> IF( 'From SvanPC++'!A406= "", "", ('From SvanPC++'!A406))</f>
        <v/>
      </c>
      <c r="C406" s="6" t="s">
        <v>10</v>
      </c>
      <c r="G406" s="38" t="str">
        <f t="shared" si="30"/>
        <v/>
      </c>
      <c r="H406" s="141" t="str">
        <f t="shared" si="31"/>
        <v/>
      </c>
      <c r="J406" s="141" t="str">
        <f t="shared" si="32"/>
        <v/>
      </c>
      <c r="K406" s="141" t="str">
        <f t="shared" si="33"/>
        <v/>
      </c>
      <c r="L406" s="141" t="str">
        <f t="shared" si="34"/>
        <v/>
      </c>
    </row>
    <row r="407" spans="1:12" x14ac:dyDescent="0.3">
      <c r="A407" s="2" t="str">
        <f xml:space="preserve"> IF( 'From SvanPC++'!A407= "", "", ('From SvanPC++'!A407))</f>
        <v/>
      </c>
      <c r="C407" s="6" t="s">
        <v>10</v>
      </c>
      <c r="G407" s="38" t="str">
        <f t="shared" si="30"/>
        <v/>
      </c>
      <c r="H407" s="141" t="str">
        <f t="shared" si="31"/>
        <v/>
      </c>
      <c r="J407" s="141" t="str">
        <f t="shared" si="32"/>
        <v/>
      </c>
      <c r="K407" s="141" t="str">
        <f t="shared" si="33"/>
        <v/>
      </c>
      <c r="L407" s="141" t="str">
        <f t="shared" si="34"/>
        <v/>
      </c>
    </row>
    <row r="408" spans="1:12" x14ac:dyDescent="0.3">
      <c r="A408" s="2" t="str">
        <f xml:space="preserve"> IF( 'From SvanPC++'!A408= "", "", ('From SvanPC++'!A408))</f>
        <v/>
      </c>
      <c r="C408" s="6" t="s">
        <v>10</v>
      </c>
      <c r="G408" s="38" t="str">
        <f t="shared" si="30"/>
        <v/>
      </c>
      <c r="H408" s="141" t="str">
        <f t="shared" si="31"/>
        <v/>
      </c>
      <c r="J408" s="141" t="str">
        <f t="shared" si="32"/>
        <v/>
      </c>
      <c r="K408" s="141" t="str">
        <f t="shared" si="33"/>
        <v/>
      </c>
      <c r="L408" s="141" t="str">
        <f t="shared" si="34"/>
        <v/>
      </c>
    </row>
    <row r="409" spans="1:12" x14ac:dyDescent="0.3">
      <c r="A409" s="2" t="str">
        <f xml:space="preserve"> IF( 'From SvanPC++'!A409= "", "", ('From SvanPC++'!A409))</f>
        <v/>
      </c>
      <c r="C409" s="6" t="s">
        <v>10</v>
      </c>
      <c r="G409" s="38" t="str">
        <f t="shared" si="30"/>
        <v/>
      </c>
      <c r="H409" s="141" t="str">
        <f t="shared" si="31"/>
        <v/>
      </c>
      <c r="J409" s="141" t="str">
        <f t="shared" si="32"/>
        <v/>
      </c>
      <c r="K409" s="141" t="str">
        <f t="shared" si="33"/>
        <v/>
      </c>
      <c r="L409" s="141" t="str">
        <f t="shared" si="34"/>
        <v/>
      </c>
    </row>
    <row r="410" spans="1:12" x14ac:dyDescent="0.3">
      <c r="A410" s="2" t="str">
        <f xml:space="preserve"> IF( 'From SvanPC++'!A410= "", "", ('From SvanPC++'!A410))</f>
        <v/>
      </c>
      <c r="C410" s="6" t="s">
        <v>10</v>
      </c>
      <c r="G410" s="38" t="str">
        <f t="shared" si="30"/>
        <v/>
      </c>
      <c r="H410" s="141" t="str">
        <f t="shared" si="31"/>
        <v/>
      </c>
      <c r="J410" s="141" t="str">
        <f t="shared" si="32"/>
        <v/>
      </c>
      <c r="K410" s="141" t="str">
        <f t="shared" si="33"/>
        <v/>
      </c>
      <c r="L410" s="141" t="str">
        <f t="shared" si="34"/>
        <v/>
      </c>
    </row>
    <row r="411" spans="1:12" x14ac:dyDescent="0.3">
      <c r="A411" s="2" t="str">
        <f xml:space="preserve"> IF( 'From SvanPC++'!A411= "", "", ('From SvanPC++'!A411))</f>
        <v/>
      </c>
      <c r="C411" s="6" t="s">
        <v>10</v>
      </c>
      <c r="G411" s="38" t="str">
        <f t="shared" si="30"/>
        <v/>
      </c>
      <c r="H411" s="141" t="str">
        <f t="shared" si="31"/>
        <v/>
      </c>
      <c r="J411" s="141" t="str">
        <f t="shared" si="32"/>
        <v/>
      </c>
      <c r="K411" s="141" t="str">
        <f t="shared" si="33"/>
        <v/>
      </c>
      <c r="L411" s="141" t="str">
        <f t="shared" si="34"/>
        <v/>
      </c>
    </row>
    <row r="412" spans="1:12" x14ac:dyDescent="0.3">
      <c r="A412" s="2" t="str">
        <f xml:space="preserve"> IF( 'From SvanPC++'!A412= "", "", ('From SvanPC++'!A412))</f>
        <v/>
      </c>
      <c r="C412" s="6" t="s">
        <v>10</v>
      </c>
      <c r="G412" s="38" t="str">
        <f t="shared" si="30"/>
        <v/>
      </c>
      <c r="H412" s="141" t="str">
        <f t="shared" si="31"/>
        <v/>
      </c>
      <c r="J412" s="141" t="str">
        <f t="shared" si="32"/>
        <v/>
      </c>
      <c r="K412" s="141" t="str">
        <f t="shared" si="33"/>
        <v/>
      </c>
      <c r="L412" s="141" t="str">
        <f t="shared" si="34"/>
        <v/>
      </c>
    </row>
    <row r="413" spans="1:12" x14ac:dyDescent="0.3">
      <c r="A413" s="2" t="str">
        <f xml:space="preserve"> IF( 'From SvanPC++'!A413= "", "", ('From SvanPC++'!A413))</f>
        <v/>
      </c>
      <c r="C413" s="6" t="s">
        <v>10</v>
      </c>
      <c r="G413" s="38" t="str">
        <f t="shared" si="30"/>
        <v/>
      </c>
      <c r="H413" s="141" t="str">
        <f t="shared" si="31"/>
        <v/>
      </c>
      <c r="J413" s="141" t="str">
        <f t="shared" si="32"/>
        <v/>
      </c>
      <c r="K413" s="141" t="str">
        <f t="shared" si="33"/>
        <v/>
      </c>
      <c r="L413" s="141" t="str">
        <f t="shared" si="34"/>
        <v/>
      </c>
    </row>
    <row r="414" spans="1:12" x14ac:dyDescent="0.3">
      <c r="A414" s="2" t="str">
        <f xml:space="preserve"> IF( 'From SvanPC++'!A414= "", "", ('From SvanPC++'!A414))</f>
        <v/>
      </c>
      <c r="C414" s="6" t="s">
        <v>10</v>
      </c>
      <c r="G414" s="38" t="str">
        <f t="shared" si="30"/>
        <v/>
      </c>
      <c r="H414" s="141" t="str">
        <f t="shared" si="31"/>
        <v/>
      </c>
      <c r="J414" s="141" t="str">
        <f t="shared" si="32"/>
        <v/>
      </c>
      <c r="K414" s="141" t="str">
        <f t="shared" si="33"/>
        <v/>
      </c>
      <c r="L414" s="141" t="str">
        <f t="shared" si="34"/>
        <v/>
      </c>
    </row>
    <row r="415" spans="1:12" x14ac:dyDescent="0.3">
      <c r="A415" s="2" t="str">
        <f xml:space="preserve"> IF( 'From SvanPC++'!A415= "", "", ('From SvanPC++'!A415))</f>
        <v/>
      </c>
      <c r="C415" s="6" t="s">
        <v>10</v>
      </c>
      <c r="G415" s="38" t="str">
        <f t="shared" si="30"/>
        <v/>
      </c>
      <c r="H415" s="141" t="str">
        <f t="shared" si="31"/>
        <v/>
      </c>
      <c r="J415" s="141" t="str">
        <f t="shared" si="32"/>
        <v/>
      </c>
      <c r="K415" s="141" t="str">
        <f t="shared" si="33"/>
        <v/>
      </c>
      <c r="L415" s="141" t="str">
        <f t="shared" si="34"/>
        <v/>
      </c>
    </row>
    <row r="416" spans="1:12" x14ac:dyDescent="0.3">
      <c r="A416" s="2" t="str">
        <f xml:space="preserve"> IF( 'From SvanPC++'!A416= "", "", ('From SvanPC++'!A416))</f>
        <v/>
      </c>
      <c r="C416" s="6" t="s">
        <v>10</v>
      </c>
      <c r="G416" s="38" t="str">
        <f t="shared" si="30"/>
        <v/>
      </c>
      <c r="H416" s="141" t="str">
        <f t="shared" si="31"/>
        <v/>
      </c>
      <c r="J416" s="141" t="str">
        <f t="shared" si="32"/>
        <v/>
      </c>
      <c r="K416" s="141" t="str">
        <f t="shared" si="33"/>
        <v/>
      </c>
      <c r="L416" s="141" t="str">
        <f t="shared" si="34"/>
        <v/>
      </c>
    </row>
    <row r="417" spans="1:12" x14ac:dyDescent="0.3">
      <c r="A417" s="2" t="str">
        <f xml:space="preserve"> IF( 'From SvanPC++'!A417= "", "", ('From SvanPC++'!A417))</f>
        <v/>
      </c>
      <c r="C417" s="6" t="s">
        <v>10</v>
      </c>
      <c r="G417" s="38" t="str">
        <f t="shared" si="30"/>
        <v/>
      </c>
      <c r="H417" s="141" t="str">
        <f t="shared" si="31"/>
        <v/>
      </c>
      <c r="J417" s="141" t="str">
        <f t="shared" si="32"/>
        <v/>
      </c>
      <c r="K417" s="141" t="str">
        <f t="shared" si="33"/>
        <v/>
      </c>
      <c r="L417" s="141" t="str">
        <f t="shared" si="34"/>
        <v/>
      </c>
    </row>
    <row r="418" spans="1:12" x14ac:dyDescent="0.3">
      <c r="A418" s="2" t="str">
        <f xml:space="preserve"> IF( 'From SvanPC++'!A418= "", "", ('From SvanPC++'!A418))</f>
        <v/>
      </c>
      <c r="C418" s="6" t="s">
        <v>10</v>
      </c>
      <c r="G418" s="38" t="str">
        <f t="shared" si="30"/>
        <v/>
      </c>
      <c r="H418" s="141" t="str">
        <f t="shared" si="31"/>
        <v/>
      </c>
      <c r="J418" s="141" t="str">
        <f t="shared" si="32"/>
        <v/>
      </c>
      <c r="K418" s="141" t="str">
        <f t="shared" si="33"/>
        <v/>
      </c>
      <c r="L418" s="141" t="str">
        <f t="shared" si="34"/>
        <v/>
      </c>
    </row>
    <row r="419" spans="1:12" x14ac:dyDescent="0.3">
      <c r="A419" s="2" t="str">
        <f xml:space="preserve"> IF( 'From SvanPC++'!A419= "", "", ('From SvanPC++'!A419))</f>
        <v/>
      </c>
      <c r="C419" s="6" t="s">
        <v>10</v>
      </c>
      <c r="G419" s="38" t="str">
        <f t="shared" si="30"/>
        <v/>
      </c>
      <c r="H419" s="141" t="str">
        <f t="shared" si="31"/>
        <v/>
      </c>
      <c r="J419" s="141" t="str">
        <f t="shared" si="32"/>
        <v/>
      </c>
      <c r="K419" s="141" t="str">
        <f t="shared" si="33"/>
        <v/>
      </c>
      <c r="L419" s="141" t="str">
        <f t="shared" si="34"/>
        <v/>
      </c>
    </row>
    <row r="420" spans="1:12" x14ac:dyDescent="0.3">
      <c r="A420" s="2" t="str">
        <f xml:space="preserve"> IF( 'From SvanPC++'!A420= "", "", ('From SvanPC++'!A420))</f>
        <v/>
      </c>
      <c r="C420" s="6" t="s">
        <v>10</v>
      </c>
      <c r="G420" s="38" t="str">
        <f t="shared" si="30"/>
        <v/>
      </c>
      <c r="H420" s="141" t="str">
        <f t="shared" si="31"/>
        <v/>
      </c>
      <c r="J420" s="141" t="str">
        <f t="shared" si="32"/>
        <v/>
      </c>
      <c r="K420" s="141" t="str">
        <f t="shared" si="33"/>
        <v/>
      </c>
      <c r="L420" s="141" t="str">
        <f t="shared" si="34"/>
        <v/>
      </c>
    </row>
    <row r="421" spans="1:12" x14ac:dyDescent="0.3">
      <c r="A421" s="2" t="str">
        <f xml:space="preserve"> IF( 'From SvanPC++'!A421= "", "", ('From SvanPC++'!A421))</f>
        <v/>
      </c>
      <c r="C421" s="6" t="s">
        <v>10</v>
      </c>
      <c r="G421" s="38" t="str">
        <f t="shared" si="30"/>
        <v/>
      </c>
      <c r="H421" s="141" t="str">
        <f t="shared" si="31"/>
        <v/>
      </c>
      <c r="J421" s="141" t="str">
        <f t="shared" si="32"/>
        <v/>
      </c>
      <c r="K421" s="141" t="str">
        <f t="shared" si="33"/>
        <v/>
      </c>
      <c r="L421" s="141" t="str">
        <f t="shared" si="34"/>
        <v/>
      </c>
    </row>
    <row r="422" spans="1:12" x14ac:dyDescent="0.3">
      <c r="A422" s="2" t="str">
        <f xml:space="preserve"> IF( 'From SvanPC++'!A422= "", "", ('From SvanPC++'!A422))</f>
        <v/>
      </c>
      <c r="C422" s="6" t="s">
        <v>10</v>
      </c>
      <c r="G422" s="38" t="str">
        <f t="shared" si="30"/>
        <v/>
      </c>
      <c r="H422" s="141" t="str">
        <f t="shared" si="31"/>
        <v/>
      </c>
      <c r="J422" s="141" t="str">
        <f t="shared" si="32"/>
        <v/>
      </c>
      <c r="K422" s="141" t="str">
        <f t="shared" si="33"/>
        <v/>
      </c>
      <c r="L422" s="141" t="str">
        <f t="shared" si="34"/>
        <v/>
      </c>
    </row>
    <row r="423" spans="1:12" x14ac:dyDescent="0.3">
      <c r="A423" s="2" t="str">
        <f xml:space="preserve"> IF( 'From SvanPC++'!A423= "", "", ('From SvanPC++'!A423))</f>
        <v/>
      </c>
      <c r="C423" s="6" t="s">
        <v>10</v>
      </c>
      <c r="G423" s="38" t="str">
        <f t="shared" si="30"/>
        <v/>
      </c>
      <c r="H423" s="141" t="str">
        <f t="shared" si="31"/>
        <v/>
      </c>
      <c r="J423" s="141" t="str">
        <f t="shared" si="32"/>
        <v/>
      </c>
      <c r="K423" s="141" t="str">
        <f t="shared" si="33"/>
        <v/>
      </c>
      <c r="L423" s="141" t="str">
        <f t="shared" si="34"/>
        <v/>
      </c>
    </row>
    <row r="424" spans="1:12" x14ac:dyDescent="0.3">
      <c r="A424" s="2" t="str">
        <f xml:space="preserve"> IF( 'From SvanPC++'!A424= "", "", ('From SvanPC++'!A424))</f>
        <v/>
      </c>
      <c r="C424" s="6" t="s">
        <v>10</v>
      </c>
      <c r="G424" s="38" t="str">
        <f t="shared" si="30"/>
        <v/>
      </c>
      <c r="H424" s="141" t="str">
        <f t="shared" si="31"/>
        <v/>
      </c>
      <c r="J424" s="141" t="str">
        <f t="shared" si="32"/>
        <v/>
      </c>
      <c r="K424" s="141" t="str">
        <f t="shared" si="33"/>
        <v/>
      </c>
      <c r="L424" s="141" t="str">
        <f t="shared" si="34"/>
        <v/>
      </c>
    </row>
    <row r="425" spans="1:12" x14ac:dyDescent="0.3">
      <c r="A425" s="2" t="str">
        <f xml:space="preserve"> IF( 'From SvanPC++'!A425= "", "", ('From SvanPC++'!A425))</f>
        <v/>
      </c>
      <c r="C425" s="6" t="s">
        <v>10</v>
      </c>
      <c r="G425" s="38" t="str">
        <f t="shared" si="30"/>
        <v/>
      </c>
      <c r="H425" s="141" t="str">
        <f t="shared" si="31"/>
        <v/>
      </c>
      <c r="J425" s="141" t="str">
        <f t="shared" si="32"/>
        <v/>
      </c>
      <c r="K425" s="141" t="str">
        <f t="shared" si="33"/>
        <v/>
      </c>
      <c r="L425" s="141" t="str">
        <f t="shared" si="34"/>
        <v/>
      </c>
    </row>
    <row r="426" spans="1:12" x14ac:dyDescent="0.3">
      <c r="A426" s="2" t="str">
        <f xml:space="preserve"> IF( 'From SvanPC++'!A426= "", "", ('From SvanPC++'!A426))</f>
        <v/>
      </c>
      <c r="C426" s="6" t="s">
        <v>10</v>
      </c>
      <c r="G426" s="38" t="str">
        <f t="shared" si="30"/>
        <v/>
      </c>
      <c r="H426" s="141" t="str">
        <f t="shared" si="31"/>
        <v/>
      </c>
      <c r="J426" s="141" t="str">
        <f t="shared" si="32"/>
        <v/>
      </c>
      <c r="K426" s="141" t="str">
        <f t="shared" si="33"/>
        <v/>
      </c>
      <c r="L426" s="141" t="str">
        <f t="shared" si="34"/>
        <v/>
      </c>
    </row>
    <row r="427" spans="1:12" x14ac:dyDescent="0.3">
      <c r="A427" s="2" t="str">
        <f xml:space="preserve"> IF( 'From SvanPC++'!A427= "", "", ('From SvanPC++'!A427))</f>
        <v/>
      </c>
      <c r="C427" s="6" t="s">
        <v>10</v>
      </c>
      <c r="G427" s="38" t="str">
        <f t="shared" si="30"/>
        <v/>
      </c>
      <c r="H427" s="141" t="str">
        <f t="shared" si="31"/>
        <v/>
      </c>
      <c r="J427" s="141" t="str">
        <f t="shared" si="32"/>
        <v/>
      </c>
      <c r="K427" s="141" t="str">
        <f t="shared" si="33"/>
        <v/>
      </c>
      <c r="L427" s="141" t="str">
        <f t="shared" si="34"/>
        <v/>
      </c>
    </row>
    <row r="428" spans="1:12" x14ac:dyDescent="0.3">
      <c r="A428" s="2" t="str">
        <f xml:space="preserve"> IF( 'From SvanPC++'!A428= "", "", ('From SvanPC++'!A428))</f>
        <v/>
      </c>
      <c r="C428" s="6" t="s">
        <v>10</v>
      </c>
      <c r="G428" s="38" t="str">
        <f t="shared" si="30"/>
        <v/>
      </c>
      <c r="H428" s="141" t="str">
        <f t="shared" si="31"/>
        <v/>
      </c>
      <c r="J428" s="141" t="str">
        <f t="shared" si="32"/>
        <v/>
      </c>
      <c r="K428" s="141" t="str">
        <f t="shared" si="33"/>
        <v/>
      </c>
      <c r="L428" s="141" t="str">
        <f t="shared" si="34"/>
        <v/>
      </c>
    </row>
    <row r="429" spans="1:12" x14ac:dyDescent="0.3">
      <c r="A429" s="2" t="str">
        <f xml:space="preserve"> IF( 'From SvanPC++'!A429= "", "", ('From SvanPC++'!A429))</f>
        <v/>
      </c>
      <c r="C429" s="6" t="s">
        <v>10</v>
      </c>
      <c r="G429" s="38" t="str">
        <f t="shared" si="30"/>
        <v/>
      </c>
      <c r="H429" s="141" t="str">
        <f t="shared" si="31"/>
        <v/>
      </c>
      <c r="J429" s="141" t="str">
        <f t="shared" si="32"/>
        <v/>
      </c>
      <c r="K429" s="141" t="str">
        <f t="shared" si="33"/>
        <v/>
      </c>
      <c r="L429" s="141" t="str">
        <f t="shared" si="34"/>
        <v/>
      </c>
    </row>
    <row r="430" spans="1:12" x14ac:dyDescent="0.3">
      <c r="A430" s="2" t="str">
        <f xml:space="preserve"> IF( 'From SvanPC++'!A430= "", "", ('From SvanPC++'!A430))</f>
        <v/>
      </c>
      <c r="C430" s="6" t="s">
        <v>10</v>
      </c>
      <c r="G430" s="38" t="str">
        <f t="shared" si="30"/>
        <v/>
      </c>
      <c r="H430" s="141" t="str">
        <f t="shared" si="31"/>
        <v/>
      </c>
      <c r="J430" s="141" t="str">
        <f t="shared" si="32"/>
        <v/>
      </c>
      <c r="K430" s="141" t="str">
        <f t="shared" si="33"/>
        <v/>
      </c>
      <c r="L430" s="141" t="str">
        <f t="shared" si="34"/>
        <v/>
      </c>
    </row>
    <row r="431" spans="1:12" x14ac:dyDescent="0.3">
      <c r="A431" s="2" t="str">
        <f xml:space="preserve"> IF( 'From SvanPC++'!A431= "", "", ('From SvanPC++'!A431))</f>
        <v/>
      </c>
      <c r="C431" s="6" t="s">
        <v>10</v>
      </c>
      <c r="G431" s="38" t="str">
        <f t="shared" si="30"/>
        <v/>
      </c>
      <c r="H431" s="141" t="str">
        <f t="shared" si="31"/>
        <v/>
      </c>
      <c r="J431" s="141" t="str">
        <f t="shared" si="32"/>
        <v/>
      </c>
      <c r="K431" s="141" t="str">
        <f t="shared" si="33"/>
        <v/>
      </c>
      <c r="L431" s="141" t="str">
        <f t="shared" si="34"/>
        <v/>
      </c>
    </row>
    <row r="432" spans="1:12" x14ac:dyDescent="0.3">
      <c r="A432" s="2" t="str">
        <f xml:space="preserve"> IF( 'From SvanPC++'!A432= "", "", ('From SvanPC++'!A432))</f>
        <v/>
      </c>
      <c r="C432" s="6" t="s">
        <v>10</v>
      </c>
      <c r="G432" s="38" t="str">
        <f t="shared" si="30"/>
        <v/>
      </c>
      <c r="H432" s="141" t="str">
        <f t="shared" si="31"/>
        <v/>
      </c>
      <c r="J432" s="141" t="str">
        <f t="shared" si="32"/>
        <v/>
      </c>
      <c r="K432" s="141" t="str">
        <f t="shared" si="33"/>
        <v/>
      </c>
      <c r="L432" s="141" t="str">
        <f t="shared" si="34"/>
        <v/>
      </c>
    </row>
    <row r="433" spans="1:12" x14ac:dyDescent="0.3">
      <c r="A433" s="2" t="str">
        <f xml:space="preserve"> IF( 'From SvanPC++'!A433= "", "", ('From SvanPC++'!A433))</f>
        <v/>
      </c>
      <c r="C433" s="6" t="s">
        <v>10</v>
      </c>
      <c r="G433" s="38" t="str">
        <f t="shared" si="30"/>
        <v/>
      </c>
      <c r="H433" s="141" t="str">
        <f t="shared" si="31"/>
        <v/>
      </c>
      <c r="J433" s="141" t="str">
        <f t="shared" si="32"/>
        <v/>
      </c>
      <c r="K433" s="141" t="str">
        <f t="shared" si="33"/>
        <v/>
      </c>
      <c r="L433" s="141" t="str">
        <f t="shared" si="34"/>
        <v/>
      </c>
    </row>
    <row r="434" spans="1:12" x14ac:dyDescent="0.3">
      <c r="A434" s="2" t="str">
        <f xml:space="preserve"> IF( 'From SvanPC++'!A434= "", "", ('From SvanPC++'!A434))</f>
        <v/>
      </c>
      <c r="C434" s="6" t="s">
        <v>10</v>
      </c>
      <c r="G434" s="38" t="str">
        <f t="shared" si="30"/>
        <v/>
      </c>
      <c r="H434" s="141" t="str">
        <f t="shared" si="31"/>
        <v/>
      </c>
      <c r="J434" s="141" t="str">
        <f t="shared" si="32"/>
        <v/>
      </c>
      <c r="K434" s="141" t="str">
        <f t="shared" si="33"/>
        <v/>
      </c>
      <c r="L434" s="141" t="str">
        <f t="shared" si="34"/>
        <v/>
      </c>
    </row>
    <row r="435" spans="1:12" x14ac:dyDescent="0.3">
      <c r="A435" s="2" t="str">
        <f xml:space="preserve"> IF( 'From SvanPC++'!A435= "", "", ('From SvanPC++'!A435))</f>
        <v/>
      </c>
      <c r="C435" s="6" t="s">
        <v>10</v>
      </c>
      <c r="G435" s="38" t="str">
        <f t="shared" si="30"/>
        <v/>
      </c>
      <c r="H435" s="141" t="str">
        <f t="shared" si="31"/>
        <v/>
      </c>
      <c r="J435" s="141" t="str">
        <f t="shared" si="32"/>
        <v/>
      </c>
      <c r="K435" s="141" t="str">
        <f t="shared" si="33"/>
        <v/>
      </c>
      <c r="L435" s="141" t="str">
        <f t="shared" si="34"/>
        <v/>
      </c>
    </row>
    <row r="436" spans="1:12" x14ac:dyDescent="0.3">
      <c r="A436" s="2" t="str">
        <f xml:space="preserve"> IF( 'From SvanPC++'!A436= "", "", ('From SvanPC++'!A436))</f>
        <v/>
      </c>
      <c r="C436" s="6" t="s">
        <v>10</v>
      </c>
      <c r="G436" s="38" t="str">
        <f t="shared" si="30"/>
        <v/>
      </c>
      <c r="H436" s="141" t="str">
        <f t="shared" si="31"/>
        <v/>
      </c>
      <c r="J436" s="141" t="str">
        <f t="shared" si="32"/>
        <v/>
      </c>
      <c r="K436" s="141" t="str">
        <f t="shared" si="33"/>
        <v/>
      </c>
      <c r="L436" s="141" t="str">
        <f t="shared" si="34"/>
        <v/>
      </c>
    </row>
    <row r="437" spans="1:12" x14ac:dyDescent="0.3">
      <c r="A437" s="2" t="str">
        <f xml:space="preserve"> IF( 'From SvanPC++'!A437= "", "", ('From SvanPC++'!A437))</f>
        <v/>
      </c>
      <c r="C437" s="6" t="s">
        <v>10</v>
      </c>
      <c r="G437" s="38" t="str">
        <f t="shared" si="30"/>
        <v/>
      </c>
      <c r="H437" s="141" t="str">
        <f t="shared" si="31"/>
        <v/>
      </c>
      <c r="J437" s="141" t="str">
        <f t="shared" si="32"/>
        <v/>
      </c>
      <c r="K437" s="141" t="str">
        <f t="shared" si="33"/>
        <v/>
      </c>
      <c r="L437" s="141" t="str">
        <f t="shared" si="34"/>
        <v/>
      </c>
    </row>
    <row r="438" spans="1:12" x14ac:dyDescent="0.3">
      <c r="A438" s="2" t="str">
        <f xml:space="preserve"> IF( 'From SvanPC++'!A438= "", "", ('From SvanPC++'!A438))</f>
        <v/>
      </c>
      <c r="C438" s="6" t="s">
        <v>10</v>
      </c>
      <c r="G438" s="38" t="str">
        <f t="shared" si="30"/>
        <v/>
      </c>
      <c r="H438" s="141" t="str">
        <f t="shared" si="31"/>
        <v/>
      </c>
      <c r="J438" s="141" t="str">
        <f t="shared" si="32"/>
        <v/>
      </c>
      <c r="K438" s="141" t="str">
        <f t="shared" si="33"/>
        <v/>
      </c>
      <c r="L438" s="141" t="str">
        <f t="shared" si="34"/>
        <v/>
      </c>
    </row>
    <row r="439" spans="1:12" x14ac:dyDescent="0.3">
      <c r="A439" s="2" t="str">
        <f xml:space="preserve"> IF( 'From SvanPC++'!A439= "", "", ('From SvanPC++'!A439))</f>
        <v/>
      </c>
      <c r="C439" s="6" t="s">
        <v>10</v>
      </c>
      <c r="G439" s="38" t="str">
        <f t="shared" si="30"/>
        <v/>
      </c>
      <c r="H439" s="141" t="str">
        <f t="shared" si="31"/>
        <v/>
      </c>
      <c r="J439" s="141" t="str">
        <f t="shared" si="32"/>
        <v/>
      </c>
      <c r="K439" s="141" t="str">
        <f t="shared" si="33"/>
        <v/>
      </c>
      <c r="L439" s="141" t="str">
        <f t="shared" si="34"/>
        <v/>
      </c>
    </row>
    <row r="440" spans="1:12" x14ac:dyDescent="0.3">
      <c r="A440" s="2" t="str">
        <f xml:space="preserve"> IF( 'From SvanPC++'!A440= "", "", ('From SvanPC++'!A440))</f>
        <v/>
      </c>
      <c r="C440" s="6" t="s">
        <v>10</v>
      </c>
      <c r="G440" s="38" t="str">
        <f t="shared" si="30"/>
        <v/>
      </c>
      <c r="H440" s="141" t="str">
        <f t="shared" si="31"/>
        <v/>
      </c>
      <c r="J440" s="141" t="str">
        <f t="shared" si="32"/>
        <v/>
      </c>
      <c r="K440" s="141" t="str">
        <f t="shared" si="33"/>
        <v/>
      </c>
      <c r="L440" s="141" t="str">
        <f t="shared" si="34"/>
        <v/>
      </c>
    </row>
    <row r="441" spans="1:12" x14ac:dyDescent="0.3">
      <c r="A441" s="2" t="str">
        <f xml:space="preserve"> IF( 'From SvanPC++'!A441= "", "", ('From SvanPC++'!A441))</f>
        <v/>
      </c>
      <c r="C441" s="6" t="s">
        <v>10</v>
      </c>
      <c r="G441" s="38" t="str">
        <f t="shared" si="30"/>
        <v/>
      </c>
      <c r="H441" s="141" t="str">
        <f t="shared" si="31"/>
        <v/>
      </c>
      <c r="J441" s="141" t="str">
        <f t="shared" si="32"/>
        <v/>
      </c>
      <c r="K441" s="141" t="str">
        <f t="shared" si="33"/>
        <v/>
      </c>
      <c r="L441" s="141" t="str">
        <f t="shared" si="34"/>
        <v/>
      </c>
    </row>
    <row r="442" spans="1:12" x14ac:dyDescent="0.3">
      <c r="A442" s="2" t="str">
        <f xml:space="preserve"> IF( 'From SvanPC++'!A442= "", "", ('From SvanPC++'!A442))</f>
        <v/>
      </c>
      <c r="C442" s="6" t="s">
        <v>10</v>
      </c>
      <c r="G442" s="38" t="str">
        <f t="shared" si="30"/>
        <v/>
      </c>
      <c r="H442" s="141" t="str">
        <f t="shared" si="31"/>
        <v/>
      </c>
      <c r="J442" s="141" t="str">
        <f t="shared" si="32"/>
        <v/>
      </c>
      <c r="K442" s="141" t="str">
        <f t="shared" si="33"/>
        <v/>
      </c>
      <c r="L442" s="141" t="str">
        <f t="shared" si="34"/>
        <v/>
      </c>
    </row>
    <row r="443" spans="1:12" x14ac:dyDescent="0.3">
      <c r="A443" s="2" t="str">
        <f xml:space="preserve"> IF( 'From SvanPC++'!A443= "", "", ('From SvanPC++'!A443))</f>
        <v/>
      </c>
      <c r="C443" s="6" t="s">
        <v>10</v>
      </c>
      <c r="G443" s="38" t="str">
        <f t="shared" si="30"/>
        <v/>
      </c>
      <c r="H443" s="141" t="str">
        <f t="shared" si="31"/>
        <v/>
      </c>
      <c r="J443" s="141" t="str">
        <f t="shared" si="32"/>
        <v/>
      </c>
      <c r="K443" s="141" t="str">
        <f t="shared" si="33"/>
        <v/>
      </c>
      <c r="L443" s="141" t="str">
        <f t="shared" si="34"/>
        <v/>
      </c>
    </row>
    <row r="444" spans="1:12" x14ac:dyDescent="0.3">
      <c r="A444" s="2" t="str">
        <f xml:space="preserve"> IF( 'From SvanPC++'!A444= "", "", ('From SvanPC++'!A444))</f>
        <v/>
      </c>
      <c r="C444" s="6" t="s">
        <v>10</v>
      </c>
      <c r="G444" s="38" t="str">
        <f t="shared" si="30"/>
        <v/>
      </c>
      <c r="H444" s="141" t="str">
        <f t="shared" si="31"/>
        <v/>
      </c>
      <c r="J444" s="141" t="str">
        <f t="shared" si="32"/>
        <v/>
      </c>
      <c r="K444" s="141" t="str">
        <f t="shared" si="33"/>
        <v/>
      </c>
      <c r="L444" s="141" t="str">
        <f t="shared" si="34"/>
        <v/>
      </c>
    </row>
    <row r="445" spans="1:12" x14ac:dyDescent="0.3">
      <c r="A445" s="2" t="str">
        <f xml:space="preserve"> IF( 'From SvanPC++'!A445= "", "", ('From SvanPC++'!A445))</f>
        <v/>
      </c>
      <c r="C445" s="6" t="s">
        <v>10</v>
      </c>
      <c r="G445" s="38" t="str">
        <f t="shared" si="30"/>
        <v/>
      </c>
      <c r="H445" s="141" t="str">
        <f t="shared" si="31"/>
        <v/>
      </c>
      <c r="J445" s="141" t="str">
        <f t="shared" si="32"/>
        <v/>
      </c>
      <c r="K445" s="141" t="str">
        <f t="shared" si="33"/>
        <v/>
      </c>
      <c r="L445" s="141" t="str">
        <f t="shared" si="34"/>
        <v/>
      </c>
    </row>
    <row r="446" spans="1:12" x14ac:dyDescent="0.3">
      <c r="A446" s="2" t="str">
        <f xml:space="preserve"> IF( 'From SvanPC++'!A446= "", "", ('From SvanPC++'!A446))</f>
        <v/>
      </c>
      <c r="C446" s="6" t="s">
        <v>10</v>
      </c>
      <c r="G446" s="38" t="str">
        <f t="shared" si="30"/>
        <v/>
      </c>
      <c r="H446" s="141" t="str">
        <f t="shared" si="31"/>
        <v/>
      </c>
      <c r="J446" s="141" t="str">
        <f t="shared" si="32"/>
        <v/>
      </c>
      <c r="K446" s="141" t="str">
        <f t="shared" si="33"/>
        <v/>
      </c>
      <c r="L446" s="141" t="str">
        <f t="shared" si="34"/>
        <v/>
      </c>
    </row>
    <row r="447" spans="1:12" x14ac:dyDescent="0.3">
      <c r="A447" s="2" t="str">
        <f xml:space="preserve"> IF( 'From SvanPC++'!A447= "", "", ('From SvanPC++'!A447))</f>
        <v/>
      </c>
      <c r="C447" s="6" t="s">
        <v>10</v>
      </c>
      <c r="G447" s="38" t="str">
        <f t="shared" si="30"/>
        <v/>
      </c>
      <c r="H447" s="141" t="str">
        <f t="shared" si="31"/>
        <v/>
      </c>
      <c r="J447" s="141" t="str">
        <f t="shared" si="32"/>
        <v/>
      </c>
      <c r="K447" s="141" t="str">
        <f t="shared" si="33"/>
        <v/>
      </c>
      <c r="L447" s="141" t="str">
        <f t="shared" si="34"/>
        <v/>
      </c>
    </row>
    <row r="448" spans="1:12" x14ac:dyDescent="0.3">
      <c r="A448" s="2" t="str">
        <f xml:space="preserve"> IF( 'From SvanPC++'!A448= "", "", ('From SvanPC++'!A448))</f>
        <v/>
      </c>
      <c r="C448" s="6" t="s">
        <v>10</v>
      </c>
      <c r="G448" s="38" t="str">
        <f t="shared" si="30"/>
        <v/>
      </c>
      <c r="H448" s="141" t="str">
        <f t="shared" si="31"/>
        <v/>
      </c>
      <c r="J448" s="141" t="str">
        <f t="shared" si="32"/>
        <v/>
      </c>
      <c r="K448" s="141" t="str">
        <f t="shared" si="33"/>
        <v/>
      </c>
      <c r="L448" s="141" t="str">
        <f t="shared" si="34"/>
        <v/>
      </c>
    </row>
    <row r="449" spans="1:12" x14ac:dyDescent="0.3">
      <c r="A449" s="2" t="str">
        <f xml:space="preserve"> IF( 'From SvanPC++'!A449= "", "", ('From SvanPC++'!A449))</f>
        <v/>
      </c>
      <c r="C449" s="6" t="s">
        <v>10</v>
      </c>
      <c r="G449" s="38" t="str">
        <f t="shared" si="30"/>
        <v/>
      </c>
      <c r="H449" s="141" t="str">
        <f t="shared" si="31"/>
        <v/>
      </c>
      <c r="J449" s="141" t="str">
        <f t="shared" si="32"/>
        <v/>
      </c>
      <c r="K449" s="141" t="str">
        <f t="shared" si="33"/>
        <v/>
      </c>
      <c r="L449" s="141" t="str">
        <f t="shared" si="34"/>
        <v/>
      </c>
    </row>
    <row r="450" spans="1:12" x14ac:dyDescent="0.3">
      <c r="A450" s="2" t="str">
        <f xml:space="preserve"> IF( 'From SvanPC++'!A450= "", "", ('From SvanPC++'!A450))</f>
        <v/>
      </c>
      <c r="C450" s="6" t="s">
        <v>10</v>
      </c>
      <c r="G450" s="38" t="str">
        <f t="shared" si="30"/>
        <v/>
      </c>
      <c r="H450" s="141" t="str">
        <f t="shared" si="31"/>
        <v/>
      </c>
      <c r="J450" s="141" t="str">
        <f t="shared" si="32"/>
        <v/>
      </c>
      <c r="K450" s="141" t="str">
        <f t="shared" si="33"/>
        <v/>
      </c>
      <c r="L450" s="141" t="str">
        <f t="shared" si="34"/>
        <v/>
      </c>
    </row>
    <row r="451" spans="1:12" x14ac:dyDescent="0.3">
      <c r="A451" s="2" t="str">
        <f xml:space="preserve"> IF( 'From SvanPC++'!A451= "", "", ('From SvanPC++'!A451))</f>
        <v/>
      </c>
      <c r="C451" s="6" t="s">
        <v>10</v>
      </c>
      <c r="G451" s="38" t="str">
        <f t="shared" si="30"/>
        <v/>
      </c>
      <c r="H451" s="141" t="str">
        <f t="shared" si="31"/>
        <v/>
      </c>
      <c r="J451" s="141" t="str">
        <f t="shared" si="32"/>
        <v/>
      </c>
      <c r="K451" s="141" t="str">
        <f t="shared" si="33"/>
        <v/>
      </c>
      <c r="L451" s="141" t="str">
        <f t="shared" si="34"/>
        <v/>
      </c>
    </row>
    <row r="452" spans="1:12" x14ac:dyDescent="0.3">
      <c r="A452" s="2" t="str">
        <f xml:space="preserve"> IF( 'From SvanPC++'!A452= "", "", ('From SvanPC++'!A452))</f>
        <v/>
      </c>
      <c r="C452" s="6" t="s">
        <v>10</v>
      </c>
      <c r="G452" s="38" t="str">
        <f t="shared" si="30"/>
        <v/>
      </c>
      <c r="H452" s="141" t="str">
        <f t="shared" si="31"/>
        <v/>
      </c>
      <c r="J452" s="141" t="str">
        <f t="shared" si="32"/>
        <v/>
      </c>
      <c r="K452" s="141" t="str">
        <f t="shared" si="33"/>
        <v/>
      </c>
      <c r="L452" s="141" t="str">
        <f t="shared" si="34"/>
        <v/>
      </c>
    </row>
    <row r="453" spans="1:12" x14ac:dyDescent="0.3">
      <c r="A453" s="2" t="str">
        <f xml:space="preserve"> IF( 'From SvanPC++'!A453= "", "", ('From SvanPC++'!A453))</f>
        <v/>
      </c>
      <c r="C453" s="6" t="s">
        <v>10</v>
      </c>
      <c r="G453" s="38" t="str">
        <f t="shared" si="30"/>
        <v/>
      </c>
      <c r="H453" s="141" t="str">
        <f t="shared" si="31"/>
        <v/>
      </c>
      <c r="J453" s="141" t="str">
        <f t="shared" si="32"/>
        <v/>
      </c>
      <c r="K453" s="141" t="str">
        <f t="shared" si="33"/>
        <v/>
      </c>
      <c r="L453" s="141" t="str">
        <f t="shared" si="34"/>
        <v/>
      </c>
    </row>
    <row r="454" spans="1:12" x14ac:dyDescent="0.3">
      <c r="A454" s="2" t="str">
        <f xml:space="preserve"> IF( 'From SvanPC++'!A454= "", "", ('From SvanPC++'!A454))</f>
        <v/>
      </c>
      <c r="C454" s="6" t="s">
        <v>10</v>
      </c>
      <c r="G454" s="38" t="str">
        <f t="shared" si="30"/>
        <v/>
      </c>
      <c r="H454" s="141" t="str">
        <f t="shared" si="31"/>
        <v/>
      </c>
      <c r="J454" s="141" t="str">
        <f t="shared" si="32"/>
        <v/>
      </c>
      <c r="K454" s="141" t="str">
        <f t="shared" si="33"/>
        <v/>
      </c>
      <c r="L454" s="141" t="str">
        <f t="shared" si="34"/>
        <v/>
      </c>
    </row>
    <row r="455" spans="1:12" x14ac:dyDescent="0.3">
      <c r="A455" s="2" t="str">
        <f xml:space="preserve"> IF( 'From SvanPC++'!A455= "", "", ('From SvanPC++'!A455))</f>
        <v/>
      </c>
      <c r="C455" s="6" t="s">
        <v>10</v>
      </c>
      <c r="G455" s="38" t="str">
        <f t="shared" ref="G455:G518" si="35" xml:space="preserve"> IF( D455= "", "", ( IF( AND( D455 &gt;= TIMEVALUE( "07:00:01" ), D455 &lt; TIMEVALUE( "08:00:01" ) ) = TRUE, (G454+1), (G454+0) )))</f>
        <v/>
      </c>
      <c r="H455" s="141" t="str">
        <f t="shared" ref="H455:H518" si="36" xml:space="preserve"> IF( D455= "", "", (
IF( AND( D455 &gt;= TIMEVALUE( "07:00:01" ), D455 &lt;= TIMEVALUE( "18:00:00" ), WEEKDAY( C455,1+N("            Weekday Day Period              ")) &gt;=2, ( WEEKDAY( C455,1) &lt;=6) ) = TRUE, "Day",
IF( AND( D455 &gt;= TIMEVALUE( "18:00:01" ), D455 &lt;= TIMEVALUE( "22:00:00" ), WEEKDAY( C455,1+N("            Weekday Evening Period          ")) &gt;=2, ( WEEKDAY( C455,1) &lt;=6) ) = TRUE, "Evening",
IF( AND( D455 &gt;= TIMEVALUE( "22:00:01" ), D455 &lt;= TIMEVALUE( "23:59:59" ), WEEKDAY( C455,1+N("            Weekday Night Period            ")) &gt;=2, ( WEEKDAY( C455,1) &lt;=6) ) = TRUE, "Night",
IF( AND( D455 &gt;= TIMEVALUE( "00:00:00" ), D455 &lt;= TIMEVALUE( "07:00:00" ), WEEKDAY( C455,1+N("            Weekday Night Period            ")) &gt;=2, ( WEEKDAY( C455,1) &lt;=6) ) = TRUE, "Night",
IF( AND( D455 &gt;= TIMEVALUE( "07:00:01" ), D455 &lt;= TIMEVALUE( "18:00:00" ), WEEKDAY( C455) =(7+N("         Saturday Day Period             ")) ) = TRUE, "Day",
IF( AND( D455 &gt;= TIMEVALUE( "18:00:01" ), D455 &lt;= TIMEVALUE( "22:00:00" ), WEEKDAY( C455) =(7+N("         Saturday Evening Period         ")) ) = TRUE, "Evening",
IF( AND( D455 &gt;= TIMEVALUE( "22:00:01" ), D455 &lt;= TIMEVALUE( "23:59:59" ), WEEKDAY( C455) =(7+N("         Saturday Night Period           ")) ) = TRUE, "Night",
IF( AND( D455 &gt;= TIMEVALUE( "00:00:00" ), D455 &lt;= TIMEVALUE( "07:00:00" ), WEEKDAY( C455) =(7+N("         Saturday Night Period           ")) ) = TRUE, "Night",
IF( AND( D455 &gt;= TIMEVALUE( "07:00:01" ), D455 &lt;= TIMEVALUE( "22:00:00" ), WEEKDAY( C455) =(1+N("         Sunday Evening Period           ")) ) = TRUE, "Evening",
IF( AND( D455 &gt;= TIMEVALUE( "20:00:01" ), D455 &lt;= TIMEVALUE( "23:59:59" ), WEEKDAY( C455) =(1+N("         Sunday Night Period             ")) ) = TRUE, "Night",
IF( AND( D455 &gt;= TIMEVALUE( "00:00:00" ), D455 &lt;= TIMEVALUE( "07:00:00" ), WEEKDAY( C455) =(1+N("         Sunday Night Period             ")) ) = TRUE, "Night",
)))))))))))))</f>
        <v/>
      </c>
      <c r="J455" s="141" t="str">
        <f t="shared" si="32"/>
        <v/>
      </c>
      <c r="K455" s="141" t="str">
        <f t="shared" si="33"/>
        <v/>
      </c>
      <c r="L455" s="141" t="str">
        <f t="shared" si="34"/>
        <v/>
      </c>
    </row>
    <row r="456" spans="1:12" x14ac:dyDescent="0.3">
      <c r="A456" s="2" t="str">
        <f xml:space="preserve"> IF( 'From SvanPC++'!A456= "", "", ('From SvanPC++'!A456))</f>
        <v/>
      </c>
      <c r="C456" s="6" t="s">
        <v>10</v>
      </c>
      <c r="G456" s="38" t="str">
        <f t="shared" si="35"/>
        <v/>
      </c>
      <c r="H456" s="141" t="str">
        <f t="shared" si="36"/>
        <v/>
      </c>
      <c r="J456" s="141" t="str">
        <f t="shared" ref="J456:J519" si="37" xml:space="preserve"> IF( ISERROR( IF( D456= "", "", ( IF( G456= (G455+1), ( AVERAGEIFS( E456:E600, G456:G600, G456, H456:H600, "Day" )), "" )))), "",( IF( D456= "", "", ( IF( G456= (G455+1), ( AVERAGEIFS( E456:E600, G456:G600, G456, H456:H600, "Day" )), "" )))))</f>
        <v/>
      </c>
      <c r="K456" s="141" t="str">
        <f t="shared" ref="K456:K519" si="38" xml:space="preserve"> IF( ISERROR( IF( D456= "", "", ( IF( G456= (G455+1), ( AVERAGEIFS( E456:E600, G456:G600, G456, H456:H600, "Evening" )), "" )))), "",( IF( D456= "", "", ( IF( G456= (G455+1), ( AVERAGEIFS( E456:E600, G456:G600, G456, H456:H600, "Evening" )), "" )))))</f>
        <v/>
      </c>
      <c r="L456" s="141" t="str">
        <f t="shared" ref="L456:L519" si="39" xml:space="preserve"> IF( ISERROR( IF( D456= "", "", ( IF( G456= (G455+1), ( AVERAGEIFS( E456:E600, G456:G600, G456, H456:H600, "Night" )), "" )))), "",( IF( D456= "", "", ( IF( G456= (G455+1), ( AVERAGEIFS( E456:E600, G456:G600, G456, H456:H600, "Night" )), "" )))))</f>
        <v/>
      </c>
    </row>
    <row r="457" spans="1:12" x14ac:dyDescent="0.3">
      <c r="A457" s="2" t="str">
        <f xml:space="preserve"> IF( 'From SvanPC++'!A457= "", "", ('From SvanPC++'!A457))</f>
        <v/>
      </c>
      <c r="C457" s="6" t="s">
        <v>10</v>
      </c>
      <c r="G457" s="38" t="str">
        <f t="shared" si="35"/>
        <v/>
      </c>
      <c r="H457" s="141" t="str">
        <f t="shared" si="36"/>
        <v/>
      </c>
      <c r="J457" s="141" t="str">
        <f t="shared" si="37"/>
        <v/>
      </c>
      <c r="K457" s="141" t="str">
        <f t="shared" si="38"/>
        <v/>
      </c>
      <c r="L457" s="141" t="str">
        <f t="shared" si="39"/>
        <v/>
      </c>
    </row>
    <row r="458" spans="1:12" x14ac:dyDescent="0.3">
      <c r="A458" s="2" t="str">
        <f xml:space="preserve"> IF( 'From SvanPC++'!A458= "", "", ('From SvanPC++'!A458))</f>
        <v/>
      </c>
      <c r="C458" s="6" t="s">
        <v>10</v>
      </c>
      <c r="G458" s="38" t="str">
        <f t="shared" si="35"/>
        <v/>
      </c>
      <c r="H458" s="141" t="str">
        <f t="shared" si="36"/>
        <v/>
      </c>
      <c r="J458" s="141" t="str">
        <f t="shared" si="37"/>
        <v/>
      </c>
      <c r="K458" s="141" t="str">
        <f t="shared" si="38"/>
        <v/>
      </c>
      <c r="L458" s="141" t="str">
        <f t="shared" si="39"/>
        <v/>
      </c>
    </row>
    <row r="459" spans="1:12" x14ac:dyDescent="0.3">
      <c r="A459" s="2" t="str">
        <f xml:space="preserve"> IF( 'From SvanPC++'!A459= "", "", ('From SvanPC++'!A459))</f>
        <v/>
      </c>
      <c r="C459" s="6" t="s">
        <v>10</v>
      </c>
      <c r="G459" s="38" t="str">
        <f t="shared" si="35"/>
        <v/>
      </c>
      <c r="H459" s="141" t="str">
        <f t="shared" si="36"/>
        <v/>
      </c>
      <c r="J459" s="141" t="str">
        <f t="shared" si="37"/>
        <v/>
      </c>
      <c r="K459" s="141" t="str">
        <f t="shared" si="38"/>
        <v/>
      </c>
      <c r="L459" s="141" t="str">
        <f t="shared" si="39"/>
        <v/>
      </c>
    </row>
    <row r="460" spans="1:12" x14ac:dyDescent="0.3">
      <c r="A460" s="2" t="str">
        <f xml:space="preserve"> IF( 'From SvanPC++'!A460= "", "", ('From SvanPC++'!A460))</f>
        <v/>
      </c>
      <c r="C460" s="6" t="s">
        <v>10</v>
      </c>
      <c r="G460" s="38" t="str">
        <f t="shared" si="35"/>
        <v/>
      </c>
      <c r="H460" s="141" t="str">
        <f t="shared" si="36"/>
        <v/>
      </c>
      <c r="J460" s="141" t="str">
        <f t="shared" si="37"/>
        <v/>
      </c>
      <c r="K460" s="141" t="str">
        <f t="shared" si="38"/>
        <v/>
      </c>
      <c r="L460" s="141" t="str">
        <f t="shared" si="39"/>
        <v/>
      </c>
    </row>
    <row r="461" spans="1:12" x14ac:dyDescent="0.3">
      <c r="A461" s="2" t="str">
        <f xml:space="preserve"> IF( 'From SvanPC++'!A461= "", "", ('From SvanPC++'!A461))</f>
        <v/>
      </c>
      <c r="C461" s="6" t="s">
        <v>10</v>
      </c>
      <c r="G461" s="38" t="str">
        <f t="shared" si="35"/>
        <v/>
      </c>
      <c r="H461" s="141" t="str">
        <f t="shared" si="36"/>
        <v/>
      </c>
      <c r="J461" s="141" t="str">
        <f t="shared" si="37"/>
        <v/>
      </c>
      <c r="K461" s="141" t="str">
        <f t="shared" si="38"/>
        <v/>
      </c>
      <c r="L461" s="141" t="str">
        <f t="shared" si="39"/>
        <v/>
      </c>
    </row>
    <row r="462" spans="1:12" x14ac:dyDescent="0.3">
      <c r="A462" s="2" t="str">
        <f xml:space="preserve"> IF( 'From SvanPC++'!A462= "", "", ('From SvanPC++'!A462))</f>
        <v/>
      </c>
      <c r="C462" s="6" t="s">
        <v>10</v>
      </c>
      <c r="G462" s="38" t="str">
        <f t="shared" si="35"/>
        <v/>
      </c>
      <c r="H462" s="141" t="str">
        <f t="shared" si="36"/>
        <v/>
      </c>
      <c r="J462" s="141" t="str">
        <f t="shared" si="37"/>
        <v/>
      </c>
      <c r="K462" s="141" t="str">
        <f t="shared" si="38"/>
        <v/>
      </c>
      <c r="L462" s="141" t="str">
        <f t="shared" si="39"/>
        <v/>
      </c>
    </row>
    <row r="463" spans="1:12" x14ac:dyDescent="0.3">
      <c r="A463" s="2" t="str">
        <f xml:space="preserve"> IF( 'From SvanPC++'!A463= "", "", ('From SvanPC++'!A463))</f>
        <v/>
      </c>
      <c r="C463" s="6" t="s">
        <v>10</v>
      </c>
      <c r="G463" s="38" t="str">
        <f t="shared" si="35"/>
        <v/>
      </c>
      <c r="H463" s="141" t="str">
        <f t="shared" si="36"/>
        <v/>
      </c>
      <c r="J463" s="141" t="str">
        <f t="shared" si="37"/>
        <v/>
      </c>
      <c r="K463" s="141" t="str">
        <f t="shared" si="38"/>
        <v/>
      </c>
      <c r="L463" s="141" t="str">
        <f t="shared" si="39"/>
        <v/>
      </c>
    </row>
    <row r="464" spans="1:12" x14ac:dyDescent="0.3">
      <c r="A464" s="2" t="str">
        <f xml:space="preserve"> IF( 'From SvanPC++'!A464= "", "", ('From SvanPC++'!A464))</f>
        <v/>
      </c>
      <c r="C464" s="6" t="s">
        <v>10</v>
      </c>
      <c r="G464" s="38" t="str">
        <f t="shared" si="35"/>
        <v/>
      </c>
      <c r="H464" s="141" t="str">
        <f t="shared" si="36"/>
        <v/>
      </c>
      <c r="J464" s="141" t="str">
        <f t="shared" si="37"/>
        <v/>
      </c>
      <c r="K464" s="141" t="str">
        <f t="shared" si="38"/>
        <v/>
      </c>
      <c r="L464" s="141" t="str">
        <f t="shared" si="39"/>
        <v/>
      </c>
    </row>
    <row r="465" spans="1:12" x14ac:dyDescent="0.3">
      <c r="A465" s="2" t="str">
        <f xml:space="preserve"> IF( 'From SvanPC++'!A465= "", "", ('From SvanPC++'!A465))</f>
        <v/>
      </c>
      <c r="C465" s="6" t="s">
        <v>10</v>
      </c>
      <c r="G465" s="38" t="str">
        <f t="shared" si="35"/>
        <v/>
      </c>
      <c r="H465" s="141" t="str">
        <f t="shared" si="36"/>
        <v/>
      </c>
      <c r="J465" s="141" t="str">
        <f t="shared" si="37"/>
        <v/>
      </c>
      <c r="K465" s="141" t="str">
        <f t="shared" si="38"/>
        <v/>
      </c>
      <c r="L465" s="141" t="str">
        <f t="shared" si="39"/>
        <v/>
      </c>
    </row>
    <row r="466" spans="1:12" x14ac:dyDescent="0.3">
      <c r="A466" s="2" t="str">
        <f xml:space="preserve"> IF( 'From SvanPC++'!A466= "", "", ('From SvanPC++'!A466))</f>
        <v/>
      </c>
      <c r="C466" s="6" t="s">
        <v>10</v>
      </c>
      <c r="G466" s="38" t="str">
        <f t="shared" si="35"/>
        <v/>
      </c>
      <c r="H466" s="141" t="str">
        <f t="shared" si="36"/>
        <v/>
      </c>
      <c r="J466" s="141" t="str">
        <f t="shared" si="37"/>
        <v/>
      </c>
      <c r="K466" s="141" t="str">
        <f t="shared" si="38"/>
        <v/>
      </c>
      <c r="L466" s="141" t="str">
        <f t="shared" si="39"/>
        <v/>
      </c>
    </row>
    <row r="467" spans="1:12" x14ac:dyDescent="0.3">
      <c r="A467" s="2" t="str">
        <f xml:space="preserve"> IF( 'From SvanPC++'!A467= "", "", ('From SvanPC++'!A467))</f>
        <v/>
      </c>
      <c r="C467" s="6" t="s">
        <v>10</v>
      </c>
      <c r="G467" s="38" t="str">
        <f t="shared" si="35"/>
        <v/>
      </c>
      <c r="H467" s="141" t="str">
        <f t="shared" si="36"/>
        <v/>
      </c>
      <c r="J467" s="141" t="str">
        <f t="shared" si="37"/>
        <v/>
      </c>
      <c r="K467" s="141" t="str">
        <f t="shared" si="38"/>
        <v/>
      </c>
      <c r="L467" s="141" t="str">
        <f t="shared" si="39"/>
        <v/>
      </c>
    </row>
    <row r="468" spans="1:12" x14ac:dyDescent="0.3">
      <c r="A468" s="2" t="str">
        <f xml:space="preserve"> IF( 'From SvanPC++'!A468= "", "", ('From SvanPC++'!A468))</f>
        <v/>
      </c>
      <c r="C468" s="6" t="s">
        <v>10</v>
      </c>
      <c r="G468" s="38" t="str">
        <f t="shared" si="35"/>
        <v/>
      </c>
      <c r="H468" s="141" t="str">
        <f t="shared" si="36"/>
        <v/>
      </c>
      <c r="J468" s="141" t="str">
        <f t="shared" si="37"/>
        <v/>
      </c>
      <c r="K468" s="141" t="str">
        <f t="shared" si="38"/>
        <v/>
      </c>
      <c r="L468" s="141" t="str">
        <f t="shared" si="39"/>
        <v/>
      </c>
    </row>
    <row r="469" spans="1:12" x14ac:dyDescent="0.3">
      <c r="A469" s="2" t="str">
        <f xml:space="preserve"> IF( 'From SvanPC++'!A469= "", "", ('From SvanPC++'!A469))</f>
        <v/>
      </c>
      <c r="C469" s="6" t="s">
        <v>10</v>
      </c>
      <c r="G469" s="38" t="str">
        <f t="shared" si="35"/>
        <v/>
      </c>
      <c r="H469" s="141" t="str">
        <f t="shared" si="36"/>
        <v/>
      </c>
      <c r="J469" s="141" t="str">
        <f t="shared" si="37"/>
        <v/>
      </c>
      <c r="K469" s="141" t="str">
        <f t="shared" si="38"/>
        <v/>
      </c>
      <c r="L469" s="141" t="str">
        <f t="shared" si="39"/>
        <v/>
      </c>
    </row>
    <row r="470" spans="1:12" x14ac:dyDescent="0.3">
      <c r="A470" s="2" t="str">
        <f xml:space="preserve"> IF( 'From SvanPC++'!A470= "", "", ('From SvanPC++'!A470))</f>
        <v/>
      </c>
      <c r="C470" s="6" t="s">
        <v>10</v>
      </c>
      <c r="G470" s="38" t="str">
        <f t="shared" si="35"/>
        <v/>
      </c>
      <c r="H470" s="141" t="str">
        <f t="shared" si="36"/>
        <v/>
      </c>
      <c r="J470" s="141" t="str">
        <f t="shared" si="37"/>
        <v/>
      </c>
      <c r="K470" s="141" t="str">
        <f t="shared" si="38"/>
        <v/>
      </c>
      <c r="L470" s="141" t="str">
        <f t="shared" si="39"/>
        <v/>
      </c>
    </row>
    <row r="471" spans="1:12" x14ac:dyDescent="0.3">
      <c r="A471" s="2" t="str">
        <f xml:space="preserve"> IF( 'From SvanPC++'!A471= "", "", ('From SvanPC++'!A471))</f>
        <v/>
      </c>
      <c r="C471" s="6" t="s">
        <v>10</v>
      </c>
      <c r="G471" s="38" t="str">
        <f t="shared" si="35"/>
        <v/>
      </c>
      <c r="H471" s="141" t="str">
        <f t="shared" si="36"/>
        <v/>
      </c>
      <c r="J471" s="141" t="str">
        <f t="shared" si="37"/>
        <v/>
      </c>
      <c r="K471" s="141" t="str">
        <f t="shared" si="38"/>
        <v/>
      </c>
      <c r="L471" s="141" t="str">
        <f t="shared" si="39"/>
        <v/>
      </c>
    </row>
    <row r="472" spans="1:12" x14ac:dyDescent="0.3">
      <c r="A472" s="2" t="str">
        <f xml:space="preserve"> IF( 'From SvanPC++'!A472= "", "", ('From SvanPC++'!A472))</f>
        <v/>
      </c>
      <c r="C472" s="6" t="s">
        <v>10</v>
      </c>
      <c r="G472" s="38" t="str">
        <f t="shared" si="35"/>
        <v/>
      </c>
      <c r="H472" s="141" t="str">
        <f t="shared" si="36"/>
        <v/>
      </c>
      <c r="J472" s="141" t="str">
        <f t="shared" si="37"/>
        <v/>
      </c>
      <c r="K472" s="141" t="str">
        <f t="shared" si="38"/>
        <v/>
      </c>
      <c r="L472" s="141" t="str">
        <f t="shared" si="39"/>
        <v/>
      </c>
    </row>
    <row r="473" spans="1:12" x14ac:dyDescent="0.3">
      <c r="A473" s="2" t="str">
        <f xml:space="preserve"> IF( 'From SvanPC++'!A473= "", "", ('From SvanPC++'!A473))</f>
        <v/>
      </c>
      <c r="C473" s="6" t="s">
        <v>10</v>
      </c>
      <c r="G473" s="38" t="str">
        <f t="shared" si="35"/>
        <v/>
      </c>
      <c r="H473" s="141" t="str">
        <f t="shared" si="36"/>
        <v/>
      </c>
      <c r="J473" s="141" t="str">
        <f t="shared" si="37"/>
        <v/>
      </c>
      <c r="K473" s="141" t="str">
        <f t="shared" si="38"/>
        <v/>
      </c>
      <c r="L473" s="141" t="str">
        <f t="shared" si="39"/>
        <v/>
      </c>
    </row>
    <row r="474" spans="1:12" x14ac:dyDescent="0.3">
      <c r="A474" s="2" t="str">
        <f xml:space="preserve"> IF( 'From SvanPC++'!A474= "", "", ('From SvanPC++'!A474))</f>
        <v/>
      </c>
      <c r="C474" s="6" t="s">
        <v>10</v>
      </c>
      <c r="G474" s="38" t="str">
        <f t="shared" si="35"/>
        <v/>
      </c>
      <c r="H474" s="141" t="str">
        <f t="shared" si="36"/>
        <v/>
      </c>
      <c r="J474" s="141" t="str">
        <f t="shared" si="37"/>
        <v/>
      </c>
      <c r="K474" s="141" t="str">
        <f t="shared" si="38"/>
        <v/>
      </c>
      <c r="L474" s="141" t="str">
        <f t="shared" si="39"/>
        <v/>
      </c>
    </row>
    <row r="475" spans="1:12" x14ac:dyDescent="0.3">
      <c r="A475" s="2" t="str">
        <f xml:space="preserve"> IF( 'From SvanPC++'!A475= "", "", ('From SvanPC++'!A475))</f>
        <v/>
      </c>
      <c r="C475" s="6" t="s">
        <v>10</v>
      </c>
      <c r="G475" s="38" t="str">
        <f t="shared" si="35"/>
        <v/>
      </c>
      <c r="H475" s="141" t="str">
        <f t="shared" si="36"/>
        <v/>
      </c>
      <c r="J475" s="141" t="str">
        <f t="shared" si="37"/>
        <v/>
      </c>
      <c r="K475" s="141" t="str">
        <f t="shared" si="38"/>
        <v/>
      </c>
      <c r="L475" s="141" t="str">
        <f t="shared" si="39"/>
        <v/>
      </c>
    </row>
    <row r="476" spans="1:12" x14ac:dyDescent="0.3">
      <c r="A476" s="2" t="str">
        <f xml:space="preserve"> IF( 'From SvanPC++'!A476= "", "", ('From SvanPC++'!A476))</f>
        <v/>
      </c>
      <c r="C476" s="6" t="s">
        <v>10</v>
      </c>
      <c r="G476" s="38" t="str">
        <f t="shared" si="35"/>
        <v/>
      </c>
      <c r="H476" s="141" t="str">
        <f t="shared" si="36"/>
        <v/>
      </c>
      <c r="J476" s="141" t="str">
        <f t="shared" si="37"/>
        <v/>
      </c>
      <c r="K476" s="141" t="str">
        <f t="shared" si="38"/>
        <v/>
      </c>
      <c r="L476" s="141" t="str">
        <f t="shared" si="39"/>
        <v/>
      </c>
    </row>
    <row r="477" spans="1:12" x14ac:dyDescent="0.3">
      <c r="A477" s="2" t="str">
        <f xml:space="preserve"> IF( 'From SvanPC++'!A477= "", "", ('From SvanPC++'!A477))</f>
        <v/>
      </c>
      <c r="C477" s="6" t="s">
        <v>10</v>
      </c>
      <c r="G477" s="38" t="str">
        <f t="shared" si="35"/>
        <v/>
      </c>
      <c r="H477" s="141" t="str">
        <f t="shared" si="36"/>
        <v/>
      </c>
      <c r="J477" s="141" t="str">
        <f t="shared" si="37"/>
        <v/>
      </c>
      <c r="K477" s="141" t="str">
        <f t="shared" si="38"/>
        <v/>
      </c>
      <c r="L477" s="141" t="str">
        <f t="shared" si="39"/>
        <v/>
      </c>
    </row>
    <row r="478" spans="1:12" x14ac:dyDescent="0.3">
      <c r="A478" s="2" t="str">
        <f xml:space="preserve"> IF( 'From SvanPC++'!A478= "", "", ('From SvanPC++'!A478))</f>
        <v/>
      </c>
      <c r="C478" s="6" t="s">
        <v>10</v>
      </c>
      <c r="G478" s="38" t="str">
        <f t="shared" si="35"/>
        <v/>
      </c>
      <c r="H478" s="141" t="str">
        <f t="shared" si="36"/>
        <v/>
      </c>
      <c r="J478" s="141" t="str">
        <f t="shared" si="37"/>
        <v/>
      </c>
      <c r="K478" s="141" t="str">
        <f t="shared" si="38"/>
        <v/>
      </c>
      <c r="L478" s="141" t="str">
        <f t="shared" si="39"/>
        <v/>
      </c>
    </row>
    <row r="479" spans="1:12" x14ac:dyDescent="0.3">
      <c r="A479" s="2" t="str">
        <f xml:space="preserve"> IF( 'From SvanPC++'!A479= "", "", ('From SvanPC++'!A479))</f>
        <v/>
      </c>
      <c r="C479" s="6" t="s">
        <v>10</v>
      </c>
      <c r="G479" s="38" t="str">
        <f t="shared" si="35"/>
        <v/>
      </c>
      <c r="H479" s="141" t="str">
        <f t="shared" si="36"/>
        <v/>
      </c>
      <c r="J479" s="141" t="str">
        <f t="shared" si="37"/>
        <v/>
      </c>
      <c r="K479" s="141" t="str">
        <f t="shared" si="38"/>
        <v/>
      </c>
      <c r="L479" s="141" t="str">
        <f t="shared" si="39"/>
        <v/>
      </c>
    </row>
    <row r="480" spans="1:12" x14ac:dyDescent="0.3">
      <c r="A480" s="2" t="str">
        <f xml:space="preserve"> IF( 'From SvanPC++'!A480= "", "", ('From SvanPC++'!A480))</f>
        <v/>
      </c>
      <c r="C480" s="6" t="s">
        <v>10</v>
      </c>
      <c r="G480" s="38" t="str">
        <f t="shared" si="35"/>
        <v/>
      </c>
      <c r="H480" s="141" t="str">
        <f t="shared" si="36"/>
        <v/>
      </c>
      <c r="J480" s="141" t="str">
        <f t="shared" si="37"/>
        <v/>
      </c>
      <c r="K480" s="141" t="str">
        <f t="shared" si="38"/>
        <v/>
      </c>
      <c r="L480" s="141" t="str">
        <f t="shared" si="39"/>
        <v/>
      </c>
    </row>
    <row r="481" spans="1:12" x14ac:dyDescent="0.3">
      <c r="A481" s="2" t="str">
        <f xml:space="preserve"> IF( 'From SvanPC++'!A481= "", "", ('From SvanPC++'!A481))</f>
        <v/>
      </c>
      <c r="C481" s="6" t="s">
        <v>10</v>
      </c>
      <c r="G481" s="38" t="str">
        <f t="shared" si="35"/>
        <v/>
      </c>
      <c r="H481" s="141" t="str">
        <f t="shared" si="36"/>
        <v/>
      </c>
      <c r="J481" s="141" t="str">
        <f t="shared" si="37"/>
        <v/>
      </c>
      <c r="K481" s="141" t="str">
        <f t="shared" si="38"/>
        <v/>
      </c>
      <c r="L481" s="141" t="str">
        <f t="shared" si="39"/>
        <v/>
      </c>
    </row>
    <row r="482" spans="1:12" x14ac:dyDescent="0.3">
      <c r="A482" s="2" t="str">
        <f xml:space="preserve"> IF( 'From SvanPC++'!A482= "", "", ('From SvanPC++'!A482))</f>
        <v/>
      </c>
      <c r="C482" s="6" t="s">
        <v>10</v>
      </c>
      <c r="G482" s="38" t="str">
        <f t="shared" si="35"/>
        <v/>
      </c>
      <c r="H482" s="141" t="str">
        <f t="shared" si="36"/>
        <v/>
      </c>
      <c r="J482" s="141" t="str">
        <f t="shared" si="37"/>
        <v/>
      </c>
      <c r="K482" s="141" t="str">
        <f t="shared" si="38"/>
        <v/>
      </c>
      <c r="L482" s="141" t="str">
        <f t="shared" si="39"/>
        <v/>
      </c>
    </row>
    <row r="483" spans="1:12" x14ac:dyDescent="0.3">
      <c r="A483" s="2" t="str">
        <f xml:space="preserve"> IF( 'From SvanPC++'!A483= "", "", ('From SvanPC++'!A483))</f>
        <v/>
      </c>
      <c r="C483" s="6" t="s">
        <v>10</v>
      </c>
      <c r="G483" s="38" t="str">
        <f t="shared" si="35"/>
        <v/>
      </c>
      <c r="H483" s="141" t="str">
        <f t="shared" si="36"/>
        <v/>
      </c>
      <c r="J483" s="141" t="str">
        <f t="shared" si="37"/>
        <v/>
      </c>
      <c r="K483" s="141" t="str">
        <f t="shared" si="38"/>
        <v/>
      </c>
      <c r="L483" s="141" t="str">
        <f t="shared" si="39"/>
        <v/>
      </c>
    </row>
    <row r="484" spans="1:12" x14ac:dyDescent="0.3">
      <c r="A484" s="2" t="str">
        <f xml:space="preserve"> IF( 'From SvanPC++'!A484= "", "", ('From SvanPC++'!A484))</f>
        <v/>
      </c>
      <c r="C484" s="6" t="s">
        <v>10</v>
      </c>
      <c r="G484" s="38" t="str">
        <f t="shared" si="35"/>
        <v/>
      </c>
      <c r="H484" s="141" t="str">
        <f t="shared" si="36"/>
        <v/>
      </c>
      <c r="J484" s="141" t="str">
        <f t="shared" si="37"/>
        <v/>
      </c>
      <c r="K484" s="141" t="str">
        <f t="shared" si="38"/>
        <v/>
      </c>
      <c r="L484" s="141" t="str">
        <f t="shared" si="39"/>
        <v/>
      </c>
    </row>
    <row r="485" spans="1:12" x14ac:dyDescent="0.3">
      <c r="A485" s="2" t="str">
        <f xml:space="preserve"> IF( 'From SvanPC++'!A485= "", "", ('From SvanPC++'!A485))</f>
        <v/>
      </c>
      <c r="C485" s="6" t="s">
        <v>10</v>
      </c>
      <c r="G485" s="38" t="str">
        <f t="shared" si="35"/>
        <v/>
      </c>
      <c r="H485" s="141" t="str">
        <f t="shared" si="36"/>
        <v/>
      </c>
      <c r="J485" s="141" t="str">
        <f t="shared" si="37"/>
        <v/>
      </c>
      <c r="K485" s="141" t="str">
        <f t="shared" si="38"/>
        <v/>
      </c>
      <c r="L485" s="141" t="str">
        <f t="shared" si="39"/>
        <v/>
      </c>
    </row>
    <row r="486" spans="1:12" x14ac:dyDescent="0.3">
      <c r="A486" s="2" t="str">
        <f xml:space="preserve"> IF( 'From SvanPC++'!A486= "", "", ('From SvanPC++'!A486))</f>
        <v/>
      </c>
      <c r="C486" s="6" t="s">
        <v>10</v>
      </c>
      <c r="G486" s="38" t="str">
        <f t="shared" si="35"/>
        <v/>
      </c>
      <c r="H486" s="141" t="str">
        <f t="shared" si="36"/>
        <v/>
      </c>
      <c r="J486" s="141" t="str">
        <f t="shared" si="37"/>
        <v/>
      </c>
      <c r="K486" s="141" t="str">
        <f t="shared" si="38"/>
        <v/>
      </c>
      <c r="L486" s="141" t="str">
        <f t="shared" si="39"/>
        <v/>
      </c>
    </row>
    <row r="487" spans="1:12" x14ac:dyDescent="0.3">
      <c r="A487" s="2" t="str">
        <f xml:space="preserve"> IF( 'From SvanPC++'!A487= "", "", ('From SvanPC++'!A487))</f>
        <v/>
      </c>
      <c r="C487" s="6" t="s">
        <v>10</v>
      </c>
      <c r="G487" s="38" t="str">
        <f t="shared" si="35"/>
        <v/>
      </c>
      <c r="H487" s="141" t="str">
        <f t="shared" si="36"/>
        <v/>
      </c>
      <c r="J487" s="141" t="str">
        <f t="shared" si="37"/>
        <v/>
      </c>
      <c r="K487" s="141" t="str">
        <f t="shared" si="38"/>
        <v/>
      </c>
      <c r="L487" s="141" t="str">
        <f t="shared" si="39"/>
        <v/>
      </c>
    </row>
    <row r="488" spans="1:12" x14ac:dyDescent="0.3">
      <c r="A488" s="2" t="str">
        <f xml:space="preserve"> IF( 'From SvanPC++'!A488= "", "", ('From SvanPC++'!A488))</f>
        <v/>
      </c>
      <c r="C488" s="6" t="s">
        <v>10</v>
      </c>
      <c r="G488" s="38" t="str">
        <f t="shared" si="35"/>
        <v/>
      </c>
      <c r="H488" s="141" t="str">
        <f t="shared" si="36"/>
        <v/>
      </c>
      <c r="J488" s="141" t="str">
        <f t="shared" si="37"/>
        <v/>
      </c>
      <c r="K488" s="141" t="str">
        <f t="shared" si="38"/>
        <v/>
      </c>
      <c r="L488" s="141" t="str">
        <f t="shared" si="39"/>
        <v/>
      </c>
    </row>
    <row r="489" spans="1:12" x14ac:dyDescent="0.3">
      <c r="A489" s="2" t="str">
        <f xml:space="preserve"> IF( 'From SvanPC++'!A489= "", "", ('From SvanPC++'!A489))</f>
        <v/>
      </c>
      <c r="C489" s="6" t="s">
        <v>10</v>
      </c>
      <c r="G489" s="38" t="str">
        <f t="shared" si="35"/>
        <v/>
      </c>
      <c r="H489" s="141" t="str">
        <f t="shared" si="36"/>
        <v/>
      </c>
      <c r="J489" s="141" t="str">
        <f t="shared" si="37"/>
        <v/>
      </c>
      <c r="K489" s="141" t="str">
        <f t="shared" si="38"/>
        <v/>
      </c>
      <c r="L489" s="141" t="str">
        <f t="shared" si="39"/>
        <v/>
      </c>
    </row>
    <row r="490" spans="1:12" x14ac:dyDescent="0.3">
      <c r="A490" s="2" t="str">
        <f xml:space="preserve"> IF( 'From SvanPC++'!A490= "", "", ('From SvanPC++'!A490))</f>
        <v/>
      </c>
      <c r="C490" s="6" t="s">
        <v>10</v>
      </c>
      <c r="G490" s="38" t="str">
        <f t="shared" si="35"/>
        <v/>
      </c>
      <c r="H490" s="141" t="str">
        <f t="shared" si="36"/>
        <v/>
      </c>
      <c r="J490" s="141" t="str">
        <f t="shared" si="37"/>
        <v/>
      </c>
      <c r="K490" s="141" t="str">
        <f t="shared" si="38"/>
        <v/>
      </c>
      <c r="L490" s="141" t="str">
        <f t="shared" si="39"/>
        <v/>
      </c>
    </row>
    <row r="491" spans="1:12" x14ac:dyDescent="0.3">
      <c r="A491" s="2" t="str">
        <f xml:space="preserve"> IF( 'From SvanPC++'!A491= "", "", ('From SvanPC++'!A491))</f>
        <v/>
      </c>
      <c r="C491" s="6" t="s">
        <v>10</v>
      </c>
      <c r="G491" s="38" t="str">
        <f t="shared" si="35"/>
        <v/>
      </c>
      <c r="H491" s="141" t="str">
        <f t="shared" si="36"/>
        <v/>
      </c>
      <c r="J491" s="141" t="str">
        <f t="shared" si="37"/>
        <v/>
      </c>
      <c r="K491" s="141" t="str">
        <f t="shared" si="38"/>
        <v/>
      </c>
      <c r="L491" s="141" t="str">
        <f t="shared" si="39"/>
        <v/>
      </c>
    </row>
    <row r="492" spans="1:12" x14ac:dyDescent="0.3">
      <c r="A492" s="2" t="str">
        <f xml:space="preserve"> IF( 'From SvanPC++'!A492= "", "", ('From SvanPC++'!A492))</f>
        <v/>
      </c>
      <c r="C492" s="6" t="s">
        <v>10</v>
      </c>
      <c r="G492" s="38" t="str">
        <f t="shared" si="35"/>
        <v/>
      </c>
      <c r="H492" s="141" t="str">
        <f t="shared" si="36"/>
        <v/>
      </c>
      <c r="J492" s="141" t="str">
        <f t="shared" si="37"/>
        <v/>
      </c>
      <c r="K492" s="141" t="str">
        <f t="shared" si="38"/>
        <v/>
      </c>
      <c r="L492" s="141" t="str">
        <f t="shared" si="39"/>
        <v/>
      </c>
    </row>
    <row r="493" spans="1:12" x14ac:dyDescent="0.3">
      <c r="A493" s="2" t="str">
        <f xml:space="preserve"> IF( 'From SvanPC++'!A493= "", "", ('From SvanPC++'!A493))</f>
        <v/>
      </c>
      <c r="C493" s="6" t="s">
        <v>10</v>
      </c>
      <c r="G493" s="38" t="str">
        <f t="shared" si="35"/>
        <v/>
      </c>
      <c r="H493" s="141" t="str">
        <f t="shared" si="36"/>
        <v/>
      </c>
      <c r="J493" s="141" t="str">
        <f t="shared" si="37"/>
        <v/>
      </c>
      <c r="K493" s="141" t="str">
        <f t="shared" si="38"/>
        <v/>
      </c>
      <c r="L493" s="141" t="str">
        <f t="shared" si="39"/>
        <v/>
      </c>
    </row>
    <row r="494" spans="1:12" x14ac:dyDescent="0.3">
      <c r="A494" s="2" t="str">
        <f xml:space="preserve"> IF( 'From SvanPC++'!A494= "", "", ('From SvanPC++'!A494))</f>
        <v/>
      </c>
      <c r="C494" s="6" t="s">
        <v>10</v>
      </c>
      <c r="G494" s="38" t="str">
        <f t="shared" si="35"/>
        <v/>
      </c>
      <c r="H494" s="141" t="str">
        <f t="shared" si="36"/>
        <v/>
      </c>
      <c r="J494" s="141" t="str">
        <f t="shared" si="37"/>
        <v/>
      </c>
      <c r="K494" s="141" t="str">
        <f t="shared" si="38"/>
        <v/>
      </c>
      <c r="L494" s="141" t="str">
        <f t="shared" si="39"/>
        <v/>
      </c>
    </row>
    <row r="495" spans="1:12" x14ac:dyDescent="0.3">
      <c r="A495" s="2" t="str">
        <f xml:space="preserve"> IF( 'From SvanPC++'!A495= "", "", ('From SvanPC++'!A495))</f>
        <v/>
      </c>
      <c r="C495" s="6" t="s">
        <v>10</v>
      </c>
      <c r="G495" s="38" t="str">
        <f t="shared" si="35"/>
        <v/>
      </c>
      <c r="H495" s="141" t="str">
        <f t="shared" si="36"/>
        <v/>
      </c>
      <c r="J495" s="141" t="str">
        <f t="shared" si="37"/>
        <v/>
      </c>
      <c r="K495" s="141" t="str">
        <f t="shared" si="38"/>
        <v/>
      </c>
      <c r="L495" s="141" t="str">
        <f t="shared" si="39"/>
        <v/>
      </c>
    </row>
    <row r="496" spans="1:12" x14ac:dyDescent="0.3">
      <c r="A496" s="2" t="str">
        <f xml:space="preserve"> IF( 'From SvanPC++'!A496= "", "", ('From SvanPC++'!A496))</f>
        <v/>
      </c>
      <c r="C496" s="6" t="s">
        <v>10</v>
      </c>
      <c r="G496" s="38" t="str">
        <f t="shared" si="35"/>
        <v/>
      </c>
      <c r="H496" s="141" t="str">
        <f t="shared" si="36"/>
        <v/>
      </c>
      <c r="J496" s="141" t="str">
        <f t="shared" si="37"/>
        <v/>
      </c>
      <c r="K496" s="141" t="str">
        <f t="shared" si="38"/>
        <v/>
      </c>
      <c r="L496" s="141" t="str">
        <f t="shared" si="39"/>
        <v/>
      </c>
    </row>
    <row r="497" spans="1:12" x14ac:dyDescent="0.3">
      <c r="A497" s="2" t="str">
        <f xml:space="preserve"> IF( 'From SvanPC++'!A497= "", "", ('From SvanPC++'!A497))</f>
        <v/>
      </c>
      <c r="C497" s="6" t="s">
        <v>10</v>
      </c>
      <c r="G497" s="38" t="str">
        <f t="shared" si="35"/>
        <v/>
      </c>
      <c r="H497" s="141" t="str">
        <f t="shared" si="36"/>
        <v/>
      </c>
      <c r="J497" s="141" t="str">
        <f t="shared" si="37"/>
        <v/>
      </c>
      <c r="K497" s="141" t="str">
        <f t="shared" si="38"/>
        <v/>
      </c>
      <c r="L497" s="141" t="str">
        <f t="shared" si="39"/>
        <v/>
      </c>
    </row>
    <row r="498" spans="1:12" x14ac:dyDescent="0.3">
      <c r="A498" s="2" t="str">
        <f xml:space="preserve"> IF( 'From SvanPC++'!A498= "", "", ('From SvanPC++'!A498))</f>
        <v/>
      </c>
      <c r="C498" s="6" t="s">
        <v>10</v>
      </c>
      <c r="G498" s="38" t="str">
        <f t="shared" si="35"/>
        <v/>
      </c>
      <c r="H498" s="141" t="str">
        <f t="shared" si="36"/>
        <v/>
      </c>
      <c r="J498" s="141" t="str">
        <f t="shared" si="37"/>
        <v/>
      </c>
      <c r="K498" s="141" t="str">
        <f t="shared" si="38"/>
        <v/>
      </c>
      <c r="L498" s="141" t="str">
        <f t="shared" si="39"/>
        <v/>
      </c>
    </row>
    <row r="499" spans="1:12" x14ac:dyDescent="0.3">
      <c r="A499" s="2" t="str">
        <f xml:space="preserve"> IF( 'From SvanPC++'!A499= "", "", ('From SvanPC++'!A499))</f>
        <v/>
      </c>
      <c r="C499" s="6" t="s">
        <v>10</v>
      </c>
      <c r="G499" s="38" t="str">
        <f t="shared" si="35"/>
        <v/>
      </c>
      <c r="H499" s="141" t="str">
        <f t="shared" si="36"/>
        <v/>
      </c>
      <c r="J499" s="141" t="str">
        <f t="shared" si="37"/>
        <v/>
      </c>
      <c r="K499" s="141" t="str">
        <f t="shared" si="38"/>
        <v/>
      </c>
      <c r="L499" s="141" t="str">
        <f t="shared" si="39"/>
        <v/>
      </c>
    </row>
    <row r="500" spans="1:12" x14ac:dyDescent="0.3">
      <c r="A500" s="2" t="str">
        <f xml:space="preserve"> IF( 'From SvanPC++'!A500= "", "", ('From SvanPC++'!A500))</f>
        <v/>
      </c>
      <c r="C500" s="6" t="s">
        <v>10</v>
      </c>
      <c r="G500" s="38" t="str">
        <f t="shared" si="35"/>
        <v/>
      </c>
      <c r="H500" s="141" t="str">
        <f t="shared" si="36"/>
        <v/>
      </c>
      <c r="J500" s="141" t="str">
        <f t="shared" si="37"/>
        <v/>
      </c>
      <c r="K500" s="141" t="str">
        <f t="shared" si="38"/>
        <v/>
      </c>
      <c r="L500" s="141" t="str">
        <f t="shared" si="39"/>
        <v/>
      </c>
    </row>
    <row r="501" spans="1:12" x14ac:dyDescent="0.3">
      <c r="A501" s="2" t="str">
        <f xml:space="preserve"> IF( 'From SvanPC++'!A501= "", "", ('From SvanPC++'!A501))</f>
        <v/>
      </c>
      <c r="C501" s="6" t="s">
        <v>10</v>
      </c>
      <c r="G501" s="38" t="str">
        <f t="shared" si="35"/>
        <v/>
      </c>
      <c r="H501" s="141" t="str">
        <f t="shared" si="36"/>
        <v/>
      </c>
      <c r="J501" s="141" t="str">
        <f t="shared" si="37"/>
        <v/>
      </c>
      <c r="K501" s="141" t="str">
        <f t="shared" si="38"/>
        <v/>
      </c>
      <c r="L501" s="141" t="str">
        <f t="shared" si="39"/>
        <v/>
      </c>
    </row>
    <row r="502" spans="1:12" x14ac:dyDescent="0.3">
      <c r="A502" s="2" t="str">
        <f xml:space="preserve"> IF( 'From SvanPC++'!A502= "", "", ('From SvanPC++'!A502))</f>
        <v/>
      </c>
      <c r="C502" s="6" t="s">
        <v>10</v>
      </c>
      <c r="G502" s="38" t="str">
        <f t="shared" si="35"/>
        <v/>
      </c>
      <c r="H502" s="141" t="str">
        <f t="shared" si="36"/>
        <v/>
      </c>
      <c r="J502" s="141" t="str">
        <f t="shared" si="37"/>
        <v/>
      </c>
      <c r="K502" s="141" t="str">
        <f t="shared" si="38"/>
        <v/>
      </c>
      <c r="L502" s="141" t="str">
        <f t="shared" si="39"/>
        <v/>
      </c>
    </row>
    <row r="503" spans="1:12" x14ac:dyDescent="0.3">
      <c r="A503" s="2" t="str">
        <f xml:space="preserve"> IF( 'From SvanPC++'!A503= "", "", ('From SvanPC++'!A503))</f>
        <v/>
      </c>
      <c r="C503" s="6" t="s">
        <v>10</v>
      </c>
      <c r="G503" s="38" t="str">
        <f t="shared" si="35"/>
        <v/>
      </c>
      <c r="H503" s="141" t="str">
        <f t="shared" si="36"/>
        <v/>
      </c>
      <c r="J503" s="141" t="str">
        <f t="shared" si="37"/>
        <v/>
      </c>
      <c r="K503" s="141" t="str">
        <f t="shared" si="38"/>
        <v/>
      </c>
      <c r="L503" s="141" t="str">
        <f t="shared" si="39"/>
        <v/>
      </c>
    </row>
    <row r="504" spans="1:12" x14ac:dyDescent="0.3">
      <c r="A504" s="2" t="str">
        <f xml:space="preserve"> IF( 'From SvanPC++'!A504= "", "", ('From SvanPC++'!A504))</f>
        <v/>
      </c>
      <c r="C504" s="6" t="s">
        <v>10</v>
      </c>
      <c r="G504" s="38" t="str">
        <f t="shared" si="35"/>
        <v/>
      </c>
      <c r="H504" s="141" t="str">
        <f t="shared" si="36"/>
        <v/>
      </c>
      <c r="J504" s="141" t="str">
        <f t="shared" si="37"/>
        <v/>
      </c>
      <c r="K504" s="141" t="str">
        <f t="shared" si="38"/>
        <v/>
      </c>
      <c r="L504" s="141" t="str">
        <f t="shared" si="39"/>
        <v/>
      </c>
    </row>
    <row r="505" spans="1:12" x14ac:dyDescent="0.3">
      <c r="A505" s="2" t="str">
        <f xml:space="preserve"> IF( 'From SvanPC++'!A505= "", "", ('From SvanPC++'!A505))</f>
        <v/>
      </c>
      <c r="C505" s="6" t="s">
        <v>10</v>
      </c>
      <c r="G505" s="38" t="str">
        <f t="shared" si="35"/>
        <v/>
      </c>
      <c r="H505" s="141" t="str">
        <f t="shared" si="36"/>
        <v/>
      </c>
      <c r="J505" s="141" t="str">
        <f t="shared" si="37"/>
        <v/>
      </c>
      <c r="K505" s="141" t="str">
        <f t="shared" si="38"/>
        <v/>
      </c>
      <c r="L505" s="141" t="str">
        <f t="shared" si="39"/>
        <v/>
      </c>
    </row>
    <row r="506" spans="1:12" x14ac:dyDescent="0.3">
      <c r="A506" s="2" t="str">
        <f xml:space="preserve"> IF( 'From SvanPC++'!A506= "", "", ('From SvanPC++'!A506))</f>
        <v/>
      </c>
      <c r="C506" s="6" t="s">
        <v>10</v>
      </c>
      <c r="G506" s="38" t="str">
        <f t="shared" si="35"/>
        <v/>
      </c>
      <c r="H506" s="141" t="str">
        <f t="shared" si="36"/>
        <v/>
      </c>
      <c r="J506" s="141" t="str">
        <f t="shared" si="37"/>
        <v/>
      </c>
      <c r="K506" s="141" t="str">
        <f t="shared" si="38"/>
        <v/>
      </c>
      <c r="L506" s="141" t="str">
        <f t="shared" si="39"/>
        <v/>
      </c>
    </row>
    <row r="507" spans="1:12" x14ac:dyDescent="0.3">
      <c r="A507" s="2" t="str">
        <f xml:space="preserve"> IF( 'From SvanPC++'!A507= "", "", ('From SvanPC++'!A507))</f>
        <v/>
      </c>
      <c r="C507" s="6" t="s">
        <v>10</v>
      </c>
      <c r="G507" s="38" t="str">
        <f t="shared" si="35"/>
        <v/>
      </c>
      <c r="H507" s="141" t="str">
        <f t="shared" si="36"/>
        <v/>
      </c>
      <c r="J507" s="141" t="str">
        <f t="shared" si="37"/>
        <v/>
      </c>
      <c r="K507" s="141" t="str">
        <f t="shared" si="38"/>
        <v/>
      </c>
      <c r="L507" s="141" t="str">
        <f t="shared" si="39"/>
        <v/>
      </c>
    </row>
    <row r="508" spans="1:12" x14ac:dyDescent="0.3">
      <c r="A508" s="2" t="str">
        <f xml:space="preserve"> IF( 'From SvanPC++'!A508= "", "", ('From SvanPC++'!A508))</f>
        <v/>
      </c>
      <c r="C508" s="6" t="s">
        <v>10</v>
      </c>
      <c r="G508" s="38" t="str">
        <f t="shared" si="35"/>
        <v/>
      </c>
      <c r="H508" s="141" t="str">
        <f t="shared" si="36"/>
        <v/>
      </c>
      <c r="J508" s="141" t="str">
        <f t="shared" si="37"/>
        <v/>
      </c>
      <c r="K508" s="141" t="str">
        <f t="shared" si="38"/>
        <v/>
      </c>
      <c r="L508" s="141" t="str">
        <f t="shared" si="39"/>
        <v/>
      </c>
    </row>
    <row r="509" spans="1:12" x14ac:dyDescent="0.3">
      <c r="A509" s="2" t="str">
        <f xml:space="preserve"> IF( 'From SvanPC++'!A509= "", "", ('From SvanPC++'!A509))</f>
        <v/>
      </c>
      <c r="C509" s="6" t="s">
        <v>10</v>
      </c>
      <c r="G509" s="38" t="str">
        <f t="shared" si="35"/>
        <v/>
      </c>
      <c r="H509" s="141" t="str">
        <f t="shared" si="36"/>
        <v/>
      </c>
      <c r="J509" s="141" t="str">
        <f t="shared" si="37"/>
        <v/>
      </c>
      <c r="K509" s="141" t="str">
        <f t="shared" si="38"/>
        <v/>
      </c>
      <c r="L509" s="141" t="str">
        <f t="shared" si="39"/>
        <v/>
      </c>
    </row>
    <row r="510" spans="1:12" x14ac:dyDescent="0.3">
      <c r="A510" s="2" t="str">
        <f xml:space="preserve"> IF( 'From SvanPC++'!A510= "", "", ('From SvanPC++'!A510))</f>
        <v/>
      </c>
      <c r="C510" s="6" t="s">
        <v>10</v>
      </c>
      <c r="G510" s="38" t="str">
        <f t="shared" si="35"/>
        <v/>
      </c>
      <c r="H510" s="141" t="str">
        <f t="shared" si="36"/>
        <v/>
      </c>
      <c r="J510" s="141" t="str">
        <f t="shared" si="37"/>
        <v/>
      </c>
      <c r="K510" s="141" t="str">
        <f t="shared" si="38"/>
        <v/>
      </c>
      <c r="L510" s="141" t="str">
        <f t="shared" si="39"/>
        <v/>
      </c>
    </row>
    <row r="511" spans="1:12" x14ac:dyDescent="0.3">
      <c r="A511" s="2" t="str">
        <f xml:space="preserve"> IF( 'From SvanPC++'!A511= "", "", ('From SvanPC++'!A511))</f>
        <v/>
      </c>
      <c r="C511" s="6" t="s">
        <v>10</v>
      </c>
      <c r="G511" s="38" t="str">
        <f t="shared" si="35"/>
        <v/>
      </c>
      <c r="H511" s="141" t="str">
        <f t="shared" si="36"/>
        <v/>
      </c>
      <c r="J511" s="141" t="str">
        <f t="shared" si="37"/>
        <v/>
      </c>
      <c r="K511" s="141" t="str">
        <f t="shared" si="38"/>
        <v/>
      </c>
      <c r="L511" s="141" t="str">
        <f t="shared" si="39"/>
        <v/>
      </c>
    </row>
    <row r="512" spans="1:12" x14ac:dyDescent="0.3">
      <c r="A512" s="2" t="str">
        <f xml:space="preserve"> IF( 'From SvanPC++'!A512= "", "", ('From SvanPC++'!A512))</f>
        <v/>
      </c>
      <c r="C512" s="6" t="s">
        <v>10</v>
      </c>
      <c r="G512" s="38" t="str">
        <f t="shared" si="35"/>
        <v/>
      </c>
      <c r="H512" s="141" t="str">
        <f t="shared" si="36"/>
        <v/>
      </c>
      <c r="J512" s="141" t="str">
        <f t="shared" si="37"/>
        <v/>
      </c>
      <c r="K512" s="141" t="str">
        <f t="shared" si="38"/>
        <v/>
      </c>
      <c r="L512" s="141" t="str">
        <f t="shared" si="39"/>
        <v/>
      </c>
    </row>
    <row r="513" spans="1:12" x14ac:dyDescent="0.3">
      <c r="A513" s="2" t="str">
        <f xml:space="preserve"> IF( 'From SvanPC++'!A513= "", "", ('From SvanPC++'!A513))</f>
        <v/>
      </c>
      <c r="C513" s="6" t="s">
        <v>10</v>
      </c>
      <c r="G513" s="38" t="str">
        <f t="shared" si="35"/>
        <v/>
      </c>
      <c r="H513" s="141" t="str">
        <f t="shared" si="36"/>
        <v/>
      </c>
      <c r="J513" s="141" t="str">
        <f t="shared" si="37"/>
        <v/>
      </c>
      <c r="K513" s="141" t="str">
        <f t="shared" si="38"/>
        <v/>
      </c>
      <c r="L513" s="141" t="str">
        <f t="shared" si="39"/>
        <v/>
      </c>
    </row>
    <row r="514" spans="1:12" x14ac:dyDescent="0.3">
      <c r="A514" s="2" t="str">
        <f xml:space="preserve"> IF( 'From SvanPC++'!A514= "", "", ('From SvanPC++'!A514))</f>
        <v/>
      </c>
      <c r="C514" s="6" t="s">
        <v>10</v>
      </c>
      <c r="G514" s="38" t="str">
        <f t="shared" si="35"/>
        <v/>
      </c>
      <c r="H514" s="141" t="str">
        <f t="shared" si="36"/>
        <v/>
      </c>
      <c r="J514" s="141" t="str">
        <f t="shared" si="37"/>
        <v/>
      </c>
      <c r="K514" s="141" t="str">
        <f t="shared" si="38"/>
        <v/>
      </c>
      <c r="L514" s="141" t="str">
        <f t="shared" si="39"/>
        <v/>
      </c>
    </row>
    <row r="515" spans="1:12" x14ac:dyDescent="0.3">
      <c r="A515" s="2" t="str">
        <f xml:space="preserve"> IF( 'From SvanPC++'!A515= "", "", ('From SvanPC++'!A515))</f>
        <v/>
      </c>
      <c r="C515" s="6" t="s">
        <v>10</v>
      </c>
      <c r="G515" s="38" t="str">
        <f t="shared" si="35"/>
        <v/>
      </c>
      <c r="H515" s="141" t="str">
        <f t="shared" si="36"/>
        <v/>
      </c>
      <c r="J515" s="141" t="str">
        <f t="shared" si="37"/>
        <v/>
      </c>
      <c r="K515" s="141" t="str">
        <f t="shared" si="38"/>
        <v/>
      </c>
      <c r="L515" s="141" t="str">
        <f t="shared" si="39"/>
        <v/>
      </c>
    </row>
    <row r="516" spans="1:12" x14ac:dyDescent="0.3">
      <c r="A516" s="2" t="str">
        <f xml:space="preserve"> IF( 'From SvanPC++'!A516= "", "", ('From SvanPC++'!A516))</f>
        <v/>
      </c>
      <c r="C516" s="6" t="s">
        <v>10</v>
      </c>
      <c r="G516" s="38" t="str">
        <f t="shared" si="35"/>
        <v/>
      </c>
      <c r="H516" s="141" t="str">
        <f t="shared" si="36"/>
        <v/>
      </c>
      <c r="J516" s="141" t="str">
        <f t="shared" si="37"/>
        <v/>
      </c>
      <c r="K516" s="141" t="str">
        <f t="shared" si="38"/>
        <v/>
      </c>
      <c r="L516" s="141" t="str">
        <f t="shared" si="39"/>
        <v/>
      </c>
    </row>
    <row r="517" spans="1:12" x14ac:dyDescent="0.3">
      <c r="A517" s="2" t="str">
        <f xml:space="preserve"> IF( 'From SvanPC++'!A517= "", "", ('From SvanPC++'!A517))</f>
        <v/>
      </c>
      <c r="C517" s="6" t="s">
        <v>10</v>
      </c>
      <c r="G517" s="38" t="str">
        <f t="shared" si="35"/>
        <v/>
      </c>
      <c r="H517" s="141" t="str">
        <f t="shared" si="36"/>
        <v/>
      </c>
      <c r="J517" s="141" t="str">
        <f t="shared" si="37"/>
        <v/>
      </c>
      <c r="K517" s="141" t="str">
        <f t="shared" si="38"/>
        <v/>
      </c>
      <c r="L517" s="141" t="str">
        <f t="shared" si="39"/>
        <v/>
      </c>
    </row>
    <row r="518" spans="1:12" x14ac:dyDescent="0.3">
      <c r="A518" s="2" t="str">
        <f xml:space="preserve"> IF( 'From SvanPC++'!A518= "", "", ('From SvanPC++'!A518))</f>
        <v/>
      </c>
      <c r="C518" s="6" t="s">
        <v>10</v>
      </c>
      <c r="G518" s="38" t="str">
        <f t="shared" si="35"/>
        <v/>
      </c>
      <c r="H518" s="141" t="str">
        <f t="shared" si="36"/>
        <v/>
      </c>
      <c r="J518" s="141" t="str">
        <f t="shared" si="37"/>
        <v/>
      </c>
      <c r="K518" s="141" t="str">
        <f t="shared" si="38"/>
        <v/>
      </c>
      <c r="L518" s="141" t="str">
        <f t="shared" si="39"/>
        <v/>
      </c>
    </row>
    <row r="519" spans="1:12" x14ac:dyDescent="0.3">
      <c r="A519" s="2" t="str">
        <f xml:space="preserve"> IF( 'From SvanPC++'!A519= "", "", ('From SvanPC++'!A519))</f>
        <v/>
      </c>
      <c r="C519" s="6" t="s">
        <v>10</v>
      </c>
      <c r="G519" s="38" t="str">
        <f t="shared" ref="G519:G582" si="40" xml:space="preserve"> IF( D519= "", "", ( IF( AND( D519 &gt;= TIMEVALUE( "07:00:01" ), D519 &lt; TIMEVALUE( "08:00:01" ) ) = TRUE, (G518+1), (G518+0) )))</f>
        <v/>
      </c>
      <c r="H519" s="141" t="str">
        <f t="shared" ref="H519:H582" si="41" xml:space="preserve"> IF( D519= "", "", (
IF( AND( D519 &gt;= TIMEVALUE( "07:00:01" ), D519 &lt;= TIMEVALUE( "18:00:00" ), WEEKDAY( C519,1+N("            Weekday Day Period              ")) &gt;=2, ( WEEKDAY( C519,1) &lt;=6) ) = TRUE, "Day",
IF( AND( D519 &gt;= TIMEVALUE( "18:00:01" ), D519 &lt;= TIMEVALUE( "22:00:00" ), WEEKDAY( C519,1+N("            Weekday Evening Period          ")) &gt;=2, ( WEEKDAY( C519,1) &lt;=6) ) = TRUE, "Evening",
IF( AND( D519 &gt;= TIMEVALUE( "22:00:01" ), D519 &lt;= TIMEVALUE( "23:59:59" ), WEEKDAY( C519,1+N("            Weekday Night Period            ")) &gt;=2, ( WEEKDAY( C519,1) &lt;=6) ) = TRUE, "Night",
IF( AND( D519 &gt;= TIMEVALUE( "00:00:00" ), D519 &lt;= TIMEVALUE( "07:00:00" ), WEEKDAY( C519,1+N("            Weekday Night Period            ")) &gt;=2, ( WEEKDAY( C519,1) &lt;=6) ) = TRUE, "Night",
IF( AND( D519 &gt;= TIMEVALUE( "07:00:01" ), D519 &lt;= TIMEVALUE( "18:00:00" ), WEEKDAY( C519) =(7+N("         Saturday Day Period             ")) ) = TRUE, "Day",
IF( AND( D519 &gt;= TIMEVALUE( "18:00:01" ), D519 &lt;= TIMEVALUE( "22:00:00" ), WEEKDAY( C519) =(7+N("         Saturday Evening Period         ")) ) = TRUE, "Evening",
IF( AND( D519 &gt;= TIMEVALUE( "22:00:01" ), D519 &lt;= TIMEVALUE( "23:59:59" ), WEEKDAY( C519) =(7+N("         Saturday Night Period           ")) ) = TRUE, "Night",
IF( AND( D519 &gt;= TIMEVALUE( "00:00:00" ), D519 &lt;= TIMEVALUE( "07:00:00" ), WEEKDAY( C519) =(7+N("         Saturday Night Period           ")) ) = TRUE, "Night",
IF( AND( D519 &gt;= TIMEVALUE( "07:00:01" ), D519 &lt;= TIMEVALUE( "22:00:00" ), WEEKDAY( C519) =(1+N("         Sunday Evening Period           ")) ) = TRUE, "Evening",
IF( AND( D519 &gt;= TIMEVALUE( "20:00:01" ), D519 &lt;= TIMEVALUE( "23:59:59" ), WEEKDAY( C519) =(1+N("         Sunday Night Period             ")) ) = TRUE, "Night",
IF( AND( D519 &gt;= TIMEVALUE( "00:00:00" ), D519 &lt;= TIMEVALUE( "07:00:00" ), WEEKDAY( C519) =(1+N("         Sunday Night Period             ")) ) = TRUE, "Night",
)))))))))))))</f>
        <v/>
      </c>
      <c r="J519" s="141" t="str">
        <f t="shared" si="37"/>
        <v/>
      </c>
      <c r="K519" s="141" t="str">
        <f t="shared" si="38"/>
        <v/>
      </c>
      <c r="L519" s="141" t="str">
        <f t="shared" si="39"/>
        <v/>
      </c>
    </row>
    <row r="520" spans="1:12" x14ac:dyDescent="0.3">
      <c r="A520" s="2" t="str">
        <f xml:space="preserve"> IF( 'From SvanPC++'!A520= "", "", ('From SvanPC++'!A520))</f>
        <v/>
      </c>
      <c r="C520" s="6" t="s">
        <v>10</v>
      </c>
      <c r="G520" s="38" t="str">
        <f t="shared" si="40"/>
        <v/>
      </c>
      <c r="H520" s="141" t="str">
        <f t="shared" si="41"/>
        <v/>
      </c>
      <c r="J520" s="141" t="str">
        <f t="shared" ref="J520:J583" si="42" xml:space="preserve"> IF( ISERROR( IF( D520= "", "", ( IF( G520= (G519+1), ( AVERAGEIFS( E520:E664, G520:G664, G520, H520:H664, "Day" )), "" )))), "",( IF( D520= "", "", ( IF( G520= (G519+1), ( AVERAGEIFS( E520:E664, G520:G664, G520, H520:H664, "Day" )), "" )))))</f>
        <v/>
      </c>
      <c r="K520" s="141" t="str">
        <f t="shared" ref="K520:K583" si="43" xml:space="preserve"> IF( ISERROR( IF( D520= "", "", ( IF( G520= (G519+1), ( AVERAGEIFS( E520:E664, G520:G664, G520, H520:H664, "Evening" )), "" )))), "",( IF( D520= "", "", ( IF( G520= (G519+1), ( AVERAGEIFS( E520:E664, G520:G664, G520, H520:H664, "Evening" )), "" )))))</f>
        <v/>
      </c>
      <c r="L520" s="141" t="str">
        <f t="shared" ref="L520:L583" si="44" xml:space="preserve"> IF( ISERROR( IF( D520= "", "", ( IF( G520= (G519+1), ( AVERAGEIFS( E520:E664, G520:G664, G520, H520:H664, "Night" )), "" )))), "",( IF( D520= "", "", ( IF( G520= (G519+1), ( AVERAGEIFS( E520:E664, G520:G664, G520, H520:H664, "Night" )), "" )))))</f>
        <v/>
      </c>
    </row>
    <row r="521" spans="1:12" x14ac:dyDescent="0.3">
      <c r="A521" s="2" t="str">
        <f xml:space="preserve"> IF( 'From SvanPC++'!A521= "", "", ('From SvanPC++'!A521))</f>
        <v/>
      </c>
      <c r="C521" s="6" t="s">
        <v>10</v>
      </c>
      <c r="G521" s="38" t="str">
        <f t="shared" si="40"/>
        <v/>
      </c>
      <c r="H521" s="141" t="str">
        <f t="shared" si="41"/>
        <v/>
      </c>
      <c r="J521" s="141" t="str">
        <f t="shared" si="42"/>
        <v/>
      </c>
      <c r="K521" s="141" t="str">
        <f t="shared" si="43"/>
        <v/>
      </c>
      <c r="L521" s="141" t="str">
        <f t="shared" si="44"/>
        <v/>
      </c>
    </row>
    <row r="522" spans="1:12" x14ac:dyDescent="0.3">
      <c r="A522" s="2" t="str">
        <f xml:space="preserve"> IF( 'From SvanPC++'!A522= "", "", ('From SvanPC++'!A522))</f>
        <v/>
      </c>
      <c r="C522" s="6" t="s">
        <v>10</v>
      </c>
      <c r="G522" s="38" t="str">
        <f t="shared" si="40"/>
        <v/>
      </c>
      <c r="H522" s="141" t="str">
        <f t="shared" si="41"/>
        <v/>
      </c>
      <c r="J522" s="141" t="str">
        <f t="shared" si="42"/>
        <v/>
      </c>
      <c r="K522" s="141" t="str">
        <f t="shared" si="43"/>
        <v/>
      </c>
      <c r="L522" s="141" t="str">
        <f t="shared" si="44"/>
        <v/>
      </c>
    </row>
    <row r="523" spans="1:12" x14ac:dyDescent="0.3">
      <c r="A523" s="2" t="str">
        <f xml:space="preserve"> IF( 'From SvanPC++'!A523= "", "", ('From SvanPC++'!A523))</f>
        <v/>
      </c>
      <c r="C523" s="6" t="s">
        <v>10</v>
      </c>
      <c r="G523" s="38" t="str">
        <f t="shared" si="40"/>
        <v/>
      </c>
      <c r="H523" s="141" t="str">
        <f t="shared" si="41"/>
        <v/>
      </c>
      <c r="J523" s="141" t="str">
        <f t="shared" si="42"/>
        <v/>
      </c>
      <c r="K523" s="141" t="str">
        <f t="shared" si="43"/>
        <v/>
      </c>
      <c r="L523" s="141" t="str">
        <f t="shared" si="44"/>
        <v/>
      </c>
    </row>
    <row r="524" spans="1:12" x14ac:dyDescent="0.3">
      <c r="A524" s="2" t="str">
        <f xml:space="preserve"> IF( 'From SvanPC++'!A524= "", "", ('From SvanPC++'!A524))</f>
        <v/>
      </c>
      <c r="C524" s="6" t="s">
        <v>10</v>
      </c>
      <c r="G524" s="38" t="str">
        <f t="shared" si="40"/>
        <v/>
      </c>
      <c r="H524" s="141" t="str">
        <f t="shared" si="41"/>
        <v/>
      </c>
      <c r="J524" s="141" t="str">
        <f t="shared" si="42"/>
        <v/>
      </c>
      <c r="K524" s="141" t="str">
        <f t="shared" si="43"/>
        <v/>
      </c>
      <c r="L524" s="141" t="str">
        <f t="shared" si="44"/>
        <v/>
      </c>
    </row>
    <row r="525" spans="1:12" x14ac:dyDescent="0.3">
      <c r="A525" s="2" t="str">
        <f xml:space="preserve"> IF( 'From SvanPC++'!A525= "", "", ('From SvanPC++'!A525))</f>
        <v/>
      </c>
      <c r="C525" s="6" t="s">
        <v>10</v>
      </c>
      <c r="G525" s="38" t="str">
        <f t="shared" si="40"/>
        <v/>
      </c>
      <c r="H525" s="141" t="str">
        <f t="shared" si="41"/>
        <v/>
      </c>
      <c r="J525" s="141" t="str">
        <f t="shared" si="42"/>
        <v/>
      </c>
      <c r="K525" s="141" t="str">
        <f t="shared" si="43"/>
        <v/>
      </c>
      <c r="L525" s="141" t="str">
        <f t="shared" si="44"/>
        <v/>
      </c>
    </row>
    <row r="526" spans="1:12" x14ac:dyDescent="0.3">
      <c r="A526" s="2" t="str">
        <f xml:space="preserve"> IF( 'From SvanPC++'!A526= "", "", ('From SvanPC++'!A526))</f>
        <v/>
      </c>
      <c r="C526" s="6" t="s">
        <v>10</v>
      </c>
      <c r="G526" s="38" t="str">
        <f t="shared" si="40"/>
        <v/>
      </c>
      <c r="H526" s="141" t="str">
        <f t="shared" si="41"/>
        <v/>
      </c>
      <c r="J526" s="141" t="str">
        <f t="shared" si="42"/>
        <v/>
      </c>
      <c r="K526" s="141" t="str">
        <f t="shared" si="43"/>
        <v/>
      </c>
      <c r="L526" s="141" t="str">
        <f t="shared" si="44"/>
        <v/>
      </c>
    </row>
    <row r="527" spans="1:12" x14ac:dyDescent="0.3">
      <c r="A527" s="2" t="str">
        <f xml:space="preserve"> IF( 'From SvanPC++'!A527= "", "", ('From SvanPC++'!A527))</f>
        <v/>
      </c>
      <c r="C527" s="6" t="s">
        <v>10</v>
      </c>
      <c r="G527" s="38" t="str">
        <f t="shared" si="40"/>
        <v/>
      </c>
      <c r="H527" s="141" t="str">
        <f t="shared" si="41"/>
        <v/>
      </c>
      <c r="J527" s="141" t="str">
        <f t="shared" si="42"/>
        <v/>
      </c>
      <c r="K527" s="141" t="str">
        <f t="shared" si="43"/>
        <v/>
      </c>
      <c r="L527" s="141" t="str">
        <f t="shared" si="44"/>
        <v/>
      </c>
    </row>
    <row r="528" spans="1:12" x14ac:dyDescent="0.3">
      <c r="A528" s="2" t="str">
        <f xml:space="preserve"> IF( 'From SvanPC++'!A528= "", "", ('From SvanPC++'!A528))</f>
        <v/>
      </c>
      <c r="C528" s="6" t="s">
        <v>10</v>
      </c>
      <c r="G528" s="38" t="str">
        <f t="shared" si="40"/>
        <v/>
      </c>
      <c r="H528" s="141" t="str">
        <f t="shared" si="41"/>
        <v/>
      </c>
      <c r="J528" s="141" t="str">
        <f t="shared" si="42"/>
        <v/>
      </c>
      <c r="K528" s="141" t="str">
        <f t="shared" si="43"/>
        <v/>
      </c>
      <c r="L528" s="141" t="str">
        <f t="shared" si="44"/>
        <v/>
      </c>
    </row>
    <row r="529" spans="1:12" x14ac:dyDescent="0.3">
      <c r="A529" s="2" t="str">
        <f xml:space="preserve"> IF( 'From SvanPC++'!A529= "", "", ('From SvanPC++'!A529))</f>
        <v/>
      </c>
      <c r="C529" s="6" t="s">
        <v>10</v>
      </c>
      <c r="G529" s="38" t="str">
        <f t="shared" si="40"/>
        <v/>
      </c>
      <c r="H529" s="141" t="str">
        <f t="shared" si="41"/>
        <v/>
      </c>
      <c r="J529" s="141" t="str">
        <f t="shared" si="42"/>
        <v/>
      </c>
      <c r="K529" s="141" t="str">
        <f t="shared" si="43"/>
        <v/>
      </c>
      <c r="L529" s="141" t="str">
        <f t="shared" si="44"/>
        <v/>
      </c>
    </row>
    <row r="530" spans="1:12" x14ac:dyDescent="0.3">
      <c r="A530" s="2" t="str">
        <f xml:space="preserve"> IF( 'From SvanPC++'!A530= "", "", ('From SvanPC++'!A530))</f>
        <v/>
      </c>
      <c r="C530" s="6" t="s">
        <v>10</v>
      </c>
      <c r="G530" s="38" t="str">
        <f t="shared" si="40"/>
        <v/>
      </c>
      <c r="H530" s="141" t="str">
        <f t="shared" si="41"/>
        <v/>
      </c>
      <c r="J530" s="141" t="str">
        <f t="shared" si="42"/>
        <v/>
      </c>
      <c r="K530" s="141" t="str">
        <f t="shared" si="43"/>
        <v/>
      </c>
      <c r="L530" s="141" t="str">
        <f t="shared" si="44"/>
        <v/>
      </c>
    </row>
    <row r="531" spans="1:12" x14ac:dyDescent="0.3">
      <c r="A531" s="2" t="str">
        <f xml:space="preserve"> IF( 'From SvanPC++'!A531= "", "", ('From SvanPC++'!A531))</f>
        <v/>
      </c>
      <c r="C531" s="6" t="s">
        <v>10</v>
      </c>
      <c r="G531" s="38" t="str">
        <f t="shared" si="40"/>
        <v/>
      </c>
      <c r="H531" s="141" t="str">
        <f t="shared" si="41"/>
        <v/>
      </c>
      <c r="J531" s="141" t="str">
        <f t="shared" si="42"/>
        <v/>
      </c>
      <c r="K531" s="141" t="str">
        <f t="shared" si="43"/>
        <v/>
      </c>
      <c r="L531" s="141" t="str">
        <f t="shared" si="44"/>
        <v/>
      </c>
    </row>
    <row r="532" spans="1:12" x14ac:dyDescent="0.3">
      <c r="A532" s="2" t="str">
        <f xml:space="preserve"> IF( 'From SvanPC++'!A532= "", "", ('From SvanPC++'!A532))</f>
        <v/>
      </c>
      <c r="C532" s="6" t="s">
        <v>10</v>
      </c>
      <c r="G532" s="38" t="str">
        <f t="shared" si="40"/>
        <v/>
      </c>
      <c r="H532" s="141" t="str">
        <f t="shared" si="41"/>
        <v/>
      </c>
      <c r="J532" s="141" t="str">
        <f t="shared" si="42"/>
        <v/>
      </c>
      <c r="K532" s="141" t="str">
        <f t="shared" si="43"/>
        <v/>
      </c>
      <c r="L532" s="141" t="str">
        <f t="shared" si="44"/>
        <v/>
      </c>
    </row>
    <row r="533" spans="1:12" x14ac:dyDescent="0.3">
      <c r="A533" s="2" t="str">
        <f xml:space="preserve"> IF( 'From SvanPC++'!A533= "", "", ('From SvanPC++'!A533))</f>
        <v/>
      </c>
      <c r="C533" s="6" t="s">
        <v>10</v>
      </c>
      <c r="G533" s="38" t="str">
        <f t="shared" si="40"/>
        <v/>
      </c>
      <c r="H533" s="141" t="str">
        <f t="shared" si="41"/>
        <v/>
      </c>
      <c r="J533" s="141" t="str">
        <f t="shared" si="42"/>
        <v/>
      </c>
      <c r="K533" s="141" t="str">
        <f t="shared" si="43"/>
        <v/>
      </c>
      <c r="L533" s="141" t="str">
        <f t="shared" si="44"/>
        <v/>
      </c>
    </row>
    <row r="534" spans="1:12" x14ac:dyDescent="0.3">
      <c r="A534" s="2" t="str">
        <f xml:space="preserve"> IF( 'From SvanPC++'!A534= "", "", ('From SvanPC++'!A534))</f>
        <v/>
      </c>
      <c r="C534" s="6" t="s">
        <v>10</v>
      </c>
      <c r="G534" s="38" t="str">
        <f t="shared" si="40"/>
        <v/>
      </c>
      <c r="H534" s="141" t="str">
        <f t="shared" si="41"/>
        <v/>
      </c>
      <c r="J534" s="141" t="str">
        <f t="shared" si="42"/>
        <v/>
      </c>
      <c r="K534" s="141" t="str">
        <f t="shared" si="43"/>
        <v/>
      </c>
      <c r="L534" s="141" t="str">
        <f t="shared" si="44"/>
        <v/>
      </c>
    </row>
    <row r="535" spans="1:12" x14ac:dyDescent="0.3">
      <c r="A535" s="2" t="str">
        <f xml:space="preserve"> IF( 'From SvanPC++'!A535= "", "", ('From SvanPC++'!A535))</f>
        <v/>
      </c>
      <c r="C535" s="6" t="s">
        <v>10</v>
      </c>
      <c r="G535" s="38" t="str">
        <f t="shared" si="40"/>
        <v/>
      </c>
      <c r="H535" s="141" t="str">
        <f t="shared" si="41"/>
        <v/>
      </c>
      <c r="J535" s="141" t="str">
        <f t="shared" si="42"/>
        <v/>
      </c>
      <c r="K535" s="141" t="str">
        <f t="shared" si="43"/>
        <v/>
      </c>
      <c r="L535" s="141" t="str">
        <f t="shared" si="44"/>
        <v/>
      </c>
    </row>
    <row r="536" spans="1:12" x14ac:dyDescent="0.3">
      <c r="A536" s="2" t="str">
        <f xml:space="preserve"> IF( 'From SvanPC++'!A536= "", "", ('From SvanPC++'!A536))</f>
        <v/>
      </c>
      <c r="C536" s="6" t="s">
        <v>10</v>
      </c>
      <c r="G536" s="38" t="str">
        <f t="shared" si="40"/>
        <v/>
      </c>
      <c r="H536" s="141" t="str">
        <f t="shared" si="41"/>
        <v/>
      </c>
      <c r="J536" s="141" t="str">
        <f t="shared" si="42"/>
        <v/>
      </c>
      <c r="K536" s="141" t="str">
        <f t="shared" si="43"/>
        <v/>
      </c>
      <c r="L536" s="141" t="str">
        <f t="shared" si="44"/>
        <v/>
      </c>
    </row>
    <row r="537" spans="1:12" x14ac:dyDescent="0.3">
      <c r="A537" s="2" t="str">
        <f xml:space="preserve"> IF( 'From SvanPC++'!A537= "", "", ('From SvanPC++'!A537))</f>
        <v/>
      </c>
      <c r="C537" s="6" t="s">
        <v>10</v>
      </c>
      <c r="G537" s="38" t="str">
        <f t="shared" si="40"/>
        <v/>
      </c>
      <c r="H537" s="141" t="str">
        <f t="shared" si="41"/>
        <v/>
      </c>
      <c r="J537" s="141" t="str">
        <f t="shared" si="42"/>
        <v/>
      </c>
      <c r="K537" s="141" t="str">
        <f t="shared" si="43"/>
        <v/>
      </c>
      <c r="L537" s="141" t="str">
        <f t="shared" si="44"/>
        <v/>
      </c>
    </row>
    <row r="538" spans="1:12" x14ac:dyDescent="0.3">
      <c r="A538" s="2" t="str">
        <f xml:space="preserve"> IF( 'From SvanPC++'!A538= "", "", ('From SvanPC++'!A538))</f>
        <v/>
      </c>
      <c r="C538" s="6" t="s">
        <v>10</v>
      </c>
      <c r="G538" s="38" t="str">
        <f t="shared" si="40"/>
        <v/>
      </c>
      <c r="H538" s="141" t="str">
        <f t="shared" si="41"/>
        <v/>
      </c>
      <c r="J538" s="141" t="str">
        <f t="shared" si="42"/>
        <v/>
      </c>
      <c r="K538" s="141" t="str">
        <f t="shared" si="43"/>
        <v/>
      </c>
      <c r="L538" s="141" t="str">
        <f t="shared" si="44"/>
        <v/>
      </c>
    </row>
    <row r="539" spans="1:12" x14ac:dyDescent="0.3">
      <c r="A539" s="2" t="str">
        <f xml:space="preserve"> IF( 'From SvanPC++'!A539= "", "", ('From SvanPC++'!A539))</f>
        <v/>
      </c>
      <c r="C539" s="6" t="s">
        <v>10</v>
      </c>
      <c r="G539" s="38" t="str">
        <f t="shared" si="40"/>
        <v/>
      </c>
      <c r="H539" s="141" t="str">
        <f t="shared" si="41"/>
        <v/>
      </c>
      <c r="J539" s="141" t="str">
        <f t="shared" si="42"/>
        <v/>
      </c>
      <c r="K539" s="141" t="str">
        <f t="shared" si="43"/>
        <v/>
      </c>
      <c r="L539" s="141" t="str">
        <f t="shared" si="44"/>
        <v/>
      </c>
    </row>
    <row r="540" spans="1:12" x14ac:dyDescent="0.3">
      <c r="A540" s="2" t="str">
        <f xml:space="preserve"> IF( 'From SvanPC++'!A540= "", "", ('From SvanPC++'!A540))</f>
        <v/>
      </c>
      <c r="C540" s="6" t="s">
        <v>10</v>
      </c>
      <c r="G540" s="38" t="str">
        <f t="shared" si="40"/>
        <v/>
      </c>
      <c r="H540" s="141" t="str">
        <f t="shared" si="41"/>
        <v/>
      </c>
      <c r="J540" s="141" t="str">
        <f t="shared" si="42"/>
        <v/>
      </c>
      <c r="K540" s="141" t="str">
        <f t="shared" si="43"/>
        <v/>
      </c>
      <c r="L540" s="141" t="str">
        <f t="shared" si="44"/>
        <v/>
      </c>
    </row>
    <row r="541" spans="1:12" x14ac:dyDescent="0.3">
      <c r="A541" s="2" t="str">
        <f xml:space="preserve"> IF( 'From SvanPC++'!A541= "", "", ('From SvanPC++'!A541))</f>
        <v/>
      </c>
      <c r="C541" s="6" t="s">
        <v>10</v>
      </c>
      <c r="G541" s="38" t="str">
        <f t="shared" si="40"/>
        <v/>
      </c>
      <c r="H541" s="141" t="str">
        <f t="shared" si="41"/>
        <v/>
      </c>
      <c r="J541" s="141" t="str">
        <f t="shared" si="42"/>
        <v/>
      </c>
      <c r="K541" s="141" t="str">
        <f t="shared" si="43"/>
        <v/>
      </c>
      <c r="L541" s="141" t="str">
        <f t="shared" si="44"/>
        <v/>
      </c>
    </row>
    <row r="542" spans="1:12" x14ac:dyDescent="0.3">
      <c r="A542" s="2" t="str">
        <f xml:space="preserve"> IF( 'From SvanPC++'!A542= "", "", ('From SvanPC++'!A542))</f>
        <v/>
      </c>
      <c r="C542" s="6" t="s">
        <v>10</v>
      </c>
      <c r="G542" s="38" t="str">
        <f t="shared" si="40"/>
        <v/>
      </c>
      <c r="H542" s="141" t="str">
        <f t="shared" si="41"/>
        <v/>
      </c>
      <c r="J542" s="141" t="str">
        <f t="shared" si="42"/>
        <v/>
      </c>
      <c r="K542" s="141" t="str">
        <f t="shared" si="43"/>
        <v/>
      </c>
      <c r="L542" s="141" t="str">
        <f t="shared" si="44"/>
        <v/>
      </c>
    </row>
    <row r="543" spans="1:12" x14ac:dyDescent="0.3">
      <c r="A543" s="2" t="str">
        <f xml:space="preserve"> IF( 'From SvanPC++'!A543= "", "", ('From SvanPC++'!A543))</f>
        <v/>
      </c>
      <c r="C543" s="6" t="s">
        <v>10</v>
      </c>
      <c r="G543" s="38" t="str">
        <f t="shared" si="40"/>
        <v/>
      </c>
      <c r="H543" s="141" t="str">
        <f t="shared" si="41"/>
        <v/>
      </c>
      <c r="J543" s="141" t="str">
        <f t="shared" si="42"/>
        <v/>
      </c>
      <c r="K543" s="141" t="str">
        <f t="shared" si="43"/>
        <v/>
      </c>
      <c r="L543" s="141" t="str">
        <f t="shared" si="44"/>
        <v/>
      </c>
    </row>
    <row r="544" spans="1:12" x14ac:dyDescent="0.3">
      <c r="A544" s="2" t="str">
        <f xml:space="preserve"> IF( 'From SvanPC++'!A544= "", "", ('From SvanPC++'!A544))</f>
        <v/>
      </c>
      <c r="C544" s="6" t="s">
        <v>10</v>
      </c>
      <c r="G544" s="38" t="str">
        <f t="shared" si="40"/>
        <v/>
      </c>
      <c r="H544" s="141" t="str">
        <f t="shared" si="41"/>
        <v/>
      </c>
      <c r="J544" s="141" t="str">
        <f t="shared" si="42"/>
        <v/>
      </c>
      <c r="K544" s="141" t="str">
        <f t="shared" si="43"/>
        <v/>
      </c>
      <c r="L544" s="141" t="str">
        <f t="shared" si="44"/>
        <v/>
      </c>
    </row>
    <row r="545" spans="1:12" x14ac:dyDescent="0.3">
      <c r="A545" s="2" t="str">
        <f xml:space="preserve"> IF( 'From SvanPC++'!A545= "", "", ('From SvanPC++'!A545))</f>
        <v/>
      </c>
      <c r="C545" s="6" t="s">
        <v>10</v>
      </c>
      <c r="G545" s="38" t="str">
        <f t="shared" si="40"/>
        <v/>
      </c>
      <c r="H545" s="141" t="str">
        <f t="shared" si="41"/>
        <v/>
      </c>
      <c r="J545" s="141" t="str">
        <f t="shared" si="42"/>
        <v/>
      </c>
      <c r="K545" s="141" t="str">
        <f t="shared" si="43"/>
        <v/>
      </c>
      <c r="L545" s="141" t="str">
        <f t="shared" si="44"/>
        <v/>
      </c>
    </row>
    <row r="546" spans="1:12" x14ac:dyDescent="0.3">
      <c r="A546" s="2" t="str">
        <f xml:space="preserve"> IF( 'From SvanPC++'!A546= "", "", ('From SvanPC++'!A546))</f>
        <v/>
      </c>
      <c r="C546" s="6" t="s">
        <v>10</v>
      </c>
      <c r="G546" s="38" t="str">
        <f t="shared" si="40"/>
        <v/>
      </c>
      <c r="H546" s="141" t="str">
        <f t="shared" si="41"/>
        <v/>
      </c>
      <c r="J546" s="141" t="str">
        <f t="shared" si="42"/>
        <v/>
      </c>
      <c r="K546" s="141" t="str">
        <f t="shared" si="43"/>
        <v/>
      </c>
      <c r="L546" s="141" t="str">
        <f t="shared" si="44"/>
        <v/>
      </c>
    </row>
    <row r="547" spans="1:12" x14ac:dyDescent="0.3">
      <c r="A547" s="2" t="str">
        <f xml:space="preserve"> IF( 'From SvanPC++'!A547= "", "", ('From SvanPC++'!A547))</f>
        <v/>
      </c>
      <c r="C547" s="6" t="s">
        <v>10</v>
      </c>
      <c r="G547" s="38" t="str">
        <f t="shared" si="40"/>
        <v/>
      </c>
      <c r="H547" s="141" t="str">
        <f t="shared" si="41"/>
        <v/>
      </c>
      <c r="J547" s="141" t="str">
        <f t="shared" si="42"/>
        <v/>
      </c>
      <c r="K547" s="141" t="str">
        <f t="shared" si="43"/>
        <v/>
      </c>
      <c r="L547" s="141" t="str">
        <f t="shared" si="44"/>
        <v/>
      </c>
    </row>
    <row r="548" spans="1:12" x14ac:dyDescent="0.3">
      <c r="A548" s="2" t="str">
        <f xml:space="preserve"> IF( 'From SvanPC++'!A548= "", "", ('From SvanPC++'!A548))</f>
        <v/>
      </c>
      <c r="C548" s="6" t="s">
        <v>10</v>
      </c>
      <c r="G548" s="38" t="str">
        <f t="shared" si="40"/>
        <v/>
      </c>
      <c r="H548" s="141" t="str">
        <f t="shared" si="41"/>
        <v/>
      </c>
      <c r="J548" s="141" t="str">
        <f t="shared" si="42"/>
        <v/>
      </c>
      <c r="K548" s="141" t="str">
        <f t="shared" si="43"/>
        <v/>
      </c>
      <c r="L548" s="141" t="str">
        <f t="shared" si="44"/>
        <v/>
      </c>
    </row>
    <row r="549" spans="1:12" x14ac:dyDescent="0.3">
      <c r="A549" s="2" t="str">
        <f xml:space="preserve"> IF( 'From SvanPC++'!A549= "", "", ('From SvanPC++'!A549))</f>
        <v/>
      </c>
      <c r="C549" s="6" t="s">
        <v>10</v>
      </c>
      <c r="G549" s="38" t="str">
        <f t="shared" si="40"/>
        <v/>
      </c>
      <c r="H549" s="141" t="str">
        <f t="shared" si="41"/>
        <v/>
      </c>
      <c r="J549" s="141" t="str">
        <f t="shared" si="42"/>
        <v/>
      </c>
      <c r="K549" s="141" t="str">
        <f t="shared" si="43"/>
        <v/>
      </c>
      <c r="L549" s="141" t="str">
        <f t="shared" si="44"/>
        <v/>
      </c>
    </row>
    <row r="550" spans="1:12" x14ac:dyDescent="0.3">
      <c r="A550" s="2" t="str">
        <f xml:space="preserve"> IF( 'From SvanPC++'!A550= "", "", ('From SvanPC++'!A550))</f>
        <v/>
      </c>
      <c r="C550" s="6" t="s">
        <v>10</v>
      </c>
      <c r="G550" s="38" t="str">
        <f t="shared" si="40"/>
        <v/>
      </c>
      <c r="H550" s="141" t="str">
        <f t="shared" si="41"/>
        <v/>
      </c>
      <c r="J550" s="141" t="str">
        <f t="shared" si="42"/>
        <v/>
      </c>
      <c r="K550" s="141" t="str">
        <f t="shared" si="43"/>
        <v/>
      </c>
      <c r="L550" s="141" t="str">
        <f t="shared" si="44"/>
        <v/>
      </c>
    </row>
    <row r="551" spans="1:12" x14ac:dyDescent="0.3">
      <c r="A551" s="2" t="str">
        <f xml:space="preserve"> IF( 'From SvanPC++'!A551= "", "", ('From SvanPC++'!A551))</f>
        <v/>
      </c>
      <c r="C551" s="6" t="s">
        <v>10</v>
      </c>
      <c r="G551" s="38" t="str">
        <f t="shared" si="40"/>
        <v/>
      </c>
      <c r="H551" s="141" t="str">
        <f t="shared" si="41"/>
        <v/>
      </c>
      <c r="J551" s="141" t="str">
        <f t="shared" si="42"/>
        <v/>
      </c>
      <c r="K551" s="141" t="str">
        <f t="shared" si="43"/>
        <v/>
      </c>
      <c r="L551" s="141" t="str">
        <f t="shared" si="44"/>
        <v/>
      </c>
    </row>
    <row r="552" spans="1:12" x14ac:dyDescent="0.3">
      <c r="A552" s="2" t="str">
        <f xml:space="preserve"> IF( 'From SvanPC++'!A552= "", "", ('From SvanPC++'!A552))</f>
        <v/>
      </c>
      <c r="C552" s="6" t="s">
        <v>10</v>
      </c>
      <c r="G552" s="38" t="str">
        <f t="shared" si="40"/>
        <v/>
      </c>
      <c r="H552" s="141" t="str">
        <f t="shared" si="41"/>
        <v/>
      </c>
      <c r="J552" s="141" t="str">
        <f t="shared" si="42"/>
        <v/>
      </c>
      <c r="K552" s="141" t="str">
        <f t="shared" si="43"/>
        <v/>
      </c>
      <c r="L552" s="141" t="str">
        <f t="shared" si="44"/>
        <v/>
      </c>
    </row>
    <row r="553" spans="1:12" x14ac:dyDescent="0.3">
      <c r="A553" s="2" t="str">
        <f xml:space="preserve"> IF( 'From SvanPC++'!A553= "", "", ('From SvanPC++'!A553))</f>
        <v/>
      </c>
      <c r="C553" s="6" t="s">
        <v>10</v>
      </c>
      <c r="G553" s="38" t="str">
        <f t="shared" si="40"/>
        <v/>
      </c>
      <c r="H553" s="141" t="str">
        <f t="shared" si="41"/>
        <v/>
      </c>
      <c r="J553" s="141" t="str">
        <f t="shared" si="42"/>
        <v/>
      </c>
      <c r="K553" s="141" t="str">
        <f t="shared" si="43"/>
        <v/>
      </c>
      <c r="L553" s="141" t="str">
        <f t="shared" si="44"/>
        <v/>
      </c>
    </row>
    <row r="554" spans="1:12" x14ac:dyDescent="0.3">
      <c r="A554" s="2" t="str">
        <f xml:space="preserve"> IF( 'From SvanPC++'!A554= "", "", ('From SvanPC++'!A554))</f>
        <v/>
      </c>
      <c r="C554" s="6" t="s">
        <v>10</v>
      </c>
      <c r="G554" s="38" t="str">
        <f t="shared" si="40"/>
        <v/>
      </c>
      <c r="H554" s="141" t="str">
        <f t="shared" si="41"/>
        <v/>
      </c>
      <c r="J554" s="141" t="str">
        <f t="shared" si="42"/>
        <v/>
      </c>
      <c r="K554" s="141" t="str">
        <f t="shared" si="43"/>
        <v/>
      </c>
      <c r="L554" s="141" t="str">
        <f t="shared" si="44"/>
        <v/>
      </c>
    </row>
    <row r="555" spans="1:12" x14ac:dyDescent="0.3">
      <c r="A555" s="2" t="str">
        <f xml:space="preserve"> IF( 'From SvanPC++'!A555= "", "", ('From SvanPC++'!A555))</f>
        <v/>
      </c>
      <c r="C555" s="6" t="s">
        <v>10</v>
      </c>
      <c r="G555" s="38" t="str">
        <f t="shared" si="40"/>
        <v/>
      </c>
      <c r="H555" s="141" t="str">
        <f t="shared" si="41"/>
        <v/>
      </c>
      <c r="J555" s="141" t="str">
        <f t="shared" si="42"/>
        <v/>
      </c>
      <c r="K555" s="141" t="str">
        <f t="shared" si="43"/>
        <v/>
      </c>
      <c r="L555" s="141" t="str">
        <f t="shared" si="44"/>
        <v/>
      </c>
    </row>
    <row r="556" spans="1:12" x14ac:dyDescent="0.3">
      <c r="A556" s="2" t="str">
        <f xml:space="preserve"> IF( 'From SvanPC++'!A556= "", "", ('From SvanPC++'!A556))</f>
        <v/>
      </c>
      <c r="C556" s="6" t="s">
        <v>10</v>
      </c>
      <c r="G556" s="38" t="str">
        <f t="shared" si="40"/>
        <v/>
      </c>
      <c r="H556" s="141" t="str">
        <f t="shared" si="41"/>
        <v/>
      </c>
      <c r="J556" s="141" t="str">
        <f t="shared" si="42"/>
        <v/>
      </c>
      <c r="K556" s="141" t="str">
        <f t="shared" si="43"/>
        <v/>
      </c>
      <c r="L556" s="141" t="str">
        <f t="shared" si="44"/>
        <v/>
      </c>
    </row>
    <row r="557" spans="1:12" x14ac:dyDescent="0.3">
      <c r="A557" s="2" t="str">
        <f xml:space="preserve"> IF( 'From SvanPC++'!A557= "", "", ('From SvanPC++'!A557))</f>
        <v/>
      </c>
      <c r="C557" s="6" t="s">
        <v>10</v>
      </c>
      <c r="G557" s="38" t="str">
        <f t="shared" si="40"/>
        <v/>
      </c>
      <c r="H557" s="141" t="str">
        <f t="shared" si="41"/>
        <v/>
      </c>
      <c r="J557" s="141" t="str">
        <f t="shared" si="42"/>
        <v/>
      </c>
      <c r="K557" s="141" t="str">
        <f t="shared" si="43"/>
        <v/>
      </c>
      <c r="L557" s="141" t="str">
        <f t="shared" si="44"/>
        <v/>
      </c>
    </row>
    <row r="558" spans="1:12" x14ac:dyDescent="0.3">
      <c r="A558" s="2" t="str">
        <f xml:space="preserve"> IF( 'From SvanPC++'!A558= "", "", ('From SvanPC++'!A558))</f>
        <v/>
      </c>
      <c r="C558" s="6" t="s">
        <v>10</v>
      </c>
      <c r="G558" s="38" t="str">
        <f t="shared" si="40"/>
        <v/>
      </c>
      <c r="H558" s="141" t="str">
        <f t="shared" si="41"/>
        <v/>
      </c>
      <c r="J558" s="141" t="str">
        <f t="shared" si="42"/>
        <v/>
      </c>
      <c r="K558" s="141" t="str">
        <f t="shared" si="43"/>
        <v/>
      </c>
      <c r="L558" s="141" t="str">
        <f t="shared" si="44"/>
        <v/>
      </c>
    </row>
    <row r="559" spans="1:12" x14ac:dyDescent="0.3">
      <c r="A559" s="2" t="str">
        <f xml:space="preserve"> IF( 'From SvanPC++'!A559= "", "", ('From SvanPC++'!A559))</f>
        <v/>
      </c>
      <c r="C559" s="6" t="s">
        <v>10</v>
      </c>
      <c r="G559" s="38" t="str">
        <f t="shared" si="40"/>
        <v/>
      </c>
      <c r="H559" s="141" t="str">
        <f t="shared" si="41"/>
        <v/>
      </c>
      <c r="J559" s="141" t="str">
        <f t="shared" si="42"/>
        <v/>
      </c>
      <c r="K559" s="141" t="str">
        <f t="shared" si="43"/>
        <v/>
      </c>
      <c r="L559" s="141" t="str">
        <f t="shared" si="44"/>
        <v/>
      </c>
    </row>
    <row r="560" spans="1:12" x14ac:dyDescent="0.3">
      <c r="A560" s="2" t="str">
        <f xml:space="preserve"> IF( 'From SvanPC++'!A560= "", "", ('From SvanPC++'!A560))</f>
        <v/>
      </c>
      <c r="C560" s="6" t="s">
        <v>10</v>
      </c>
      <c r="G560" s="38" t="str">
        <f t="shared" si="40"/>
        <v/>
      </c>
      <c r="H560" s="141" t="str">
        <f t="shared" si="41"/>
        <v/>
      </c>
      <c r="J560" s="141" t="str">
        <f t="shared" si="42"/>
        <v/>
      </c>
      <c r="K560" s="141" t="str">
        <f t="shared" si="43"/>
        <v/>
      </c>
      <c r="L560" s="141" t="str">
        <f t="shared" si="44"/>
        <v/>
      </c>
    </row>
    <row r="561" spans="1:12" x14ac:dyDescent="0.3">
      <c r="A561" s="2" t="str">
        <f xml:space="preserve"> IF( 'From SvanPC++'!A561= "", "", ('From SvanPC++'!A561))</f>
        <v/>
      </c>
      <c r="C561" s="6" t="s">
        <v>10</v>
      </c>
      <c r="G561" s="38" t="str">
        <f t="shared" si="40"/>
        <v/>
      </c>
      <c r="H561" s="141" t="str">
        <f t="shared" si="41"/>
        <v/>
      </c>
      <c r="J561" s="141" t="str">
        <f t="shared" si="42"/>
        <v/>
      </c>
      <c r="K561" s="141" t="str">
        <f t="shared" si="43"/>
        <v/>
      </c>
      <c r="L561" s="141" t="str">
        <f t="shared" si="44"/>
        <v/>
      </c>
    </row>
    <row r="562" spans="1:12" x14ac:dyDescent="0.3">
      <c r="A562" s="2" t="str">
        <f xml:space="preserve"> IF( 'From SvanPC++'!A562= "", "", ('From SvanPC++'!A562))</f>
        <v/>
      </c>
      <c r="C562" s="6" t="s">
        <v>10</v>
      </c>
      <c r="G562" s="38" t="str">
        <f t="shared" si="40"/>
        <v/>
      </c>
      <c r="H562" s="141" t="str">
        <f t="shared" si="41"/>
        <v/>
      </c>
      <c r="J562" s="141" t="str">
        <f t="shared" si="42"/>
        <v/>
      </c>
      <c r="K562" s="141" t="str">
        <f t="shared" si="43"/>
        <v/>
      </c>
      <c r="L562" s="141" t="str">
        <f t="shared" si="44"/>
        <v/>
      </c>
    </row>
    <row r="563" spans="1:12" x14ac:dyDescent="0.3">
      <c r="A563" s="2" t="str">
        <f xml:space="preserve"> IF( 'From SvanPC++'!A563= "", "", ('From SvanPC++'!A563))</f>
        <v/>
      </c>
      <c r="C563" s="6" t="s">
        <v>10</v>
      </c>
      <c r="G563" s="38" t="str">
        <f t="shared" si="40"/>
        <v/>
      </c>
      <c r="H563" s="141" t="str">
        <f t="shared" si="41"/>
        <v/>
      </c>
      <c r="J563" s="141" t="str">
        <f t="shared" si="42"/>
        <v/>
      </c>
      <c r="K563" s="141" t="str">
        <f t="shared" si="43"/>
        <v/>
      </c>
      <c r="L563" s="141" t="str">
        <f t="shared" si="44"/>
        <v/>
      </c>
    </row>
    <row r="564" spans="1:12" x14ac:dyDescent="0.3">
      <c r="A564" s="2" t="str">
        <f xml:space="preserve"> IF( 'From SvanPC++'!A564= "", "", ('From SvanPC++'!A564))</f>
        <v/>
      </c>
      <c r="C564" s="6" t="s">
        <v>10</v>
      </c>
      <c r="G564" s="38" t="str">
        <f t="shared" si="40"/>
        <v/>
      </c>
      <c r="H564" s="141" t="str">
        <f t="shared" si="41"/>
        <v/>
      </c>
      <c r="J564" s="141" t="str">
        <f t="shared" si="42"/>
        <v/>
      </c>
      <c r="K564" s="141" t="str">
        <f t="shared" si="43"/>
        <v/>
      </c>
      <c r="L564" s="141" t="str">
        <f t="shared" si="44"/>
        <v/>
      </c>
    </row>
    <row r="565" spans="1:12" x14ac:dyDescent="0.3">
      <c r="A565" s="2" t="str">
        <f xml:space="preserve"> IF( 'From SvanPC++'!A565= "", "", ('From SvanPC++'!A565))</f>
        <v/>
      </c>
      <c r="C565" s="6" t="s">
        <v>10</v>
      </c>
      <c r="G565" s="38" t="str">
        <f t="shared" si="40"/>
        <v/>
      </c>
      <c r="H565" s="141" t="str">
        <f t="shared" si="41"/>
        <v/>
      </c>
      <c r="J565" s="141" t="str">
        <f t="shared" si="42"/>
        <v/>
      </c>
      <c r="K565" s="141" t="str">
        <f t="shared" si="43"/>
        <v/>
      </c>
      <c r="L565" s="141" t="str">
        <f t="shared" si="44"/>
        <v/>
      </c>
    </row>
    <row r="566" spans="1:12" x14ac:dyDescent="0.3">
      <c r="A566" s="2" t="str">
        <f xml:space="preserve"> IF( 'From SvanPC++'!A566= "", "", ('From SvanPC++'!A566))</f>
        <v/>
      </c>
      <c r="C566" s="6" t="s">
        <v>10</v>
      </c>
      <c r="G566" s="38" t="str">
        <f t="shared" si="40"/>
        <v/>
      </c>
      <c r="H566" s="141" t="str">
        <f t="shared" si="41"/>
        <v/>
      </c>
      <c r="J566" s="141" t="str">
        <f t="shared" si="42"/>
        <v/>
      </c>
      <c r="K566" s="141" t="str">
        <f t="shared" si="43"/>
        <v/>
      </c>
      <c r="L566" s="141" t="str">
        <f t="shared" si="44"/>
        <v/>
      </c>
    </row>
    <row r="567" spans="1:12" x14ac:dyDescent="0.3">
      <c r="A567" s="2" t="str">
        <f xml:space="preserve"> IF( 'From SvanPC++'!A567= "", "", ('From SvanPC++'!A567))</f>
        <v/>
      </c>
      <c r="C567" s="6" t="s">
        <v>10</v>
      </c>
      <c r="G567" s="38" t="str">
        <f t="shared" si="40"/>
        <v/>
      </c>
      <c r="H567" s="141" t="str">
        <f t="shared" si="41"/>
        <v/>
      </c>
      <c r="J567" s="141" t="str">
        <f t="shared" si="42"/>
        <v/>
      </c>
      <c r="K567" s="141" t="str">
        <f t="shared" si="43"/>
        <v/>
      </c>
      <c r="L567" s="141" t="str">
        <f t="shared" si="44"/>
        <v/>
      </c>
    </row>
    <row r="568" spans="1:12" x14ac:dyDescent="0.3">
      <c r="A568" s="2" t="str">
        <f xml:space="preserve"> IF( 'From SvanPC++'!A568= "", "", ('From SvanPC++'!A568))</f>
        <v/>
      </c>
      <c r="C568" s="6" t="s">
        <v>10</v>
      </c>
      <c r="G568" s="38" t="str">
        <f t="shared" si="40"/>
        <v/>
      </c>
      <c r="H568" s="141" t="str">
        <f t="shared" si="41"/>
        <v/>
      </c>
      <c r="J568" s="141" t="str">
        <f t="shared" si="42"/>
        <v/>
      </c>
      <c r="K568" s="141" t="str">
        <f t="shared" si="43"/>
        <v/>
      </c>
      <c r="L568" s="141" t="str">
        <f t="shared" si="44"/>
        <v/>
      </c>
    </row>
    <row r="569" spans="1:12" x14ac:dyDescent="0.3">
      <c r="A569" s="2" t="str">
        <f xml:space="preserve"> IF( 'From SvanPC++'!A569= "", "", ('From SvanPC++'!A569))</f>
        <v/>
      </c>
      <c r="C569" s="6" t="s">
        <v>10</v>
      </c>
      <c r="G569" s="38" t="str">
        <f t="shared" si="40"/>
        <v/>
      </c>
      <c r="H569" s="141" t="str">
        <f t="shared" si="41"/>
        <v/>
      </c>
      <c r="J569" s="141" t="str">
        <f t="shared" si="42"/>
        <v/>
      </c>
      <c r="K569" s="141" t="str">
        <f t="shared" si="43"/>
        <v/>
      </c>
      <c r="L569" s="141" t="str">
        <f t="shared" si="44"/>
        <v/>
      </c>
    </row>
    <row r="570" spans="1:12" x14ac:dyDescent="0.3">
      <c r="A570" s="2" t="str">
        <f xml:space="preserve"> IF( 'From SvanPC++'!A570= "", "", ('From SvanPC++'!A570))</f>
        <v/>
      </c>
      <c r="C570" s="6" t="s">
        <v>10</v>
      </c>
      <c r="G570" s="38" t="str">
        <f t="shared" si="40"/>
        <v/>
      </c>
      <c r="H570" s="141" t="str">
        <f t="shared" si="41"/>
        <v/>
      </c>
      <c r="J570" s="141" t="str">
        <f t="shared" si="42"/>
        <v/>
      </c>
      <c r="K570" s="141" t="str">
        <f t="shared" si="43"/>
        <v/>
      </c>
      <c r="L570" s="141" t="str">
        <f t="shared" si="44"/>
        <v/>
      </c>
    </row>
    <row r="571" spans="1:12" x14ac:dyDescent="0.3">
      <c r="A571" s="2" t="str">
        <f xml:space="preserve"> IF( 'From SvanPC++'!A571= "", "", ('From SvanPC++'!A571))</f>
        <v/>
      </c>
      <c r="C571" s="6" t="s">
        <v>10</v>
      </c>
      <c r="G571" s="38" t="str">
        <f t="shared" si="40"/>
        <v/>
      </c>
      <c r="H571" s="141" t="str">
        <f t="shared" si="41"/>
        <v/>
      </c>
      <c r="J571" s="141" t="str">
        <f t="shared" si="42"/>
        <v/>
      </c>
      <c r="K571" s="141" t="str">
        <f t="shared" si="43"/>
        <v/>
      </c>
      <c r="L571" s="141" t="str">
        <f t="shared" si="44"/>
        <v/>
      </c>
    </row>
    <row r="572" spans="1:12" x14ac:dyDescent="0.3">
      <c r="A572" s="2" t="str">
        <f xml:space="preserve"> IF( 'From SvanPC++'!A572= "", "", ('From SvanPC++'!A572))</f>
        <v/>
      </c>
      <c r="C572" s="6" t="s">
        <v>10</v>
      </c>
      <c r="G572" s="38" t="str">
        <f t="shared" si="40"/>
        <v/>
      </c>
      <c r="H572" s="141" t="str">
        <f t="shared" si="41"/>
        <v/>
      </c>
      <c r="J572" s="141" t="str">
        <f t="shared" si="42"/>
        <v/>
      </c>
      <c r="K572" s="141" t="str">
        <f t="shared" si="43"/>
        <v/>
      </c>
      <c r="L572" s="141" t="str">
        <f t="shared" si="44"/>
        <v/>
      </c>
    </row>
    <row r="573" spans="1:12" x14ac:dyDescent="0.3">
      <c r="A573" s="2" t="str">
        <f xml:space="preserve"> IF( 'From SvanPC++'!A573= "", "", ('From SvanPC++'!A573))</f>
        <v/>
      </c>
      <c r="C573" s="6" t="s">
        <v>10</v>
      </c>
      <c r="G573" s="38" t="str">
        <f t="shared" si="40"/>
        <v/>
      </c>
      <c r="H573" s="141" t="str">
        <f t="shared" si="41"/>
        <v/>
      </c>
      <c r="J573" s="141" t="str">
        <f t="shared" si="42"/>
        <v/>
      </c>
      <c r="K573" s="141" t="str">
        <f t="shared" si="43"/>
        <v/>
      </c>
      <c r="L573" s="141" t="str">
        <f t="shared" si="44"/>
        <v/>
      </c>
    </row>
    <row r="574" spans="1:12" x14ac:dyDescent="0.3">
      <c r="A574" s="2" t="str">
        <f xml:space="preserve"> IF( 'From SvanPC++'!A574= "", "", ('From SvanPC++'!A574))</f>
        <v/>
      </c>
      <c r="C574" s="6" t="s">
        <v>10</v>
      </c>
      <c r="G574" s="38" t="str">
        <f t="shared" si="40"/>
        <v/>
      </c>
      <c r="H574" s="141" t="str">
        <f t="shared" si="41"/>
        <v/>
      </c>
      <c r="J574" s="141" t="str">
        <f t="shared" si="42"/>
        <v/>
      </c>
      <c r="K574" s="141" t="str">
        <f t="shared" si="43"/>
        <v/>
      </c>
      <c r="L574" s="141" t="str">
        <f t="shared" si="44"/>
        <v/>
      </c>
    </row>
    <row r="575" spans="1:12" x14ac:dyDescent="0.3">
      <c r="A575" s="2" t="str">
        <f xml:space="preserve"> IF( 'From SvanPC++'!A575= "", "", ('From SvanPC++'!A575))</f>
        <v/>
      </c>
      <c r="C575" s="6" t="s">
        <v>10</v>
      </c>
      <c r="G575" s="38" t="str">
        <f t="shared" si="40"/>
        <v/>
      </c>
      <c r="H575" s="141" t="str">
        <f t="shared" si="41"/>
        <v/>
      </c>
      <c r="J575" s="141" t="str">
        <f t="shared" si="42"/>
        <v/>
      </c>
      <c r="K575" s="141" t="str">
        <f t="shared" si="43"/>
        <v/>
      </c>
      <c r="L575" s="141" t="str">
        <f t="shared" si="44"/>
        <v/>
      </c>
    </row>
    <row r="576" spans="1:12" x14ac:dyDescent="0.3">
      <c r="A576" s="2" t="str">
        <f xml:space="preserve"> IF( 'From SvanPC++'!A576= "", "", ('From SvanPC++'!A576))</f>
        <v/>
      </c>
      <c r="C576" s="6" t="s">
        <v>10</v>
      </c>
      <c r="G576" s="38" t="str">
        <f t="shared" si="40"/>
        <v/>
      </c>
      <c r="H576" s="141" t="str">
        <f t="shared" si="41"/>
        <v/>
      </c>
      <c r="J576" s="141" t="str">
        <f t="shared" si="42"/>
        <v/>
      </c>
      <c r="K576" s="141" t="str">
        <f t="shared" si="43"/>
        <v/>
      </c>
      <c r="L576" s="141" t="str">
        <f t="shared" si="44"/>
        <v/>
      </c>
    </row>
    <row r="577" spans="1:12" x14ac:dyDescent="0.3">
      <c r="A577" s="2" t="str">
        <f xml:space="preserve"> IF( 'From SvanPC++'!A577= "", "", ('From SvanPC++'!A577))</f>
        <v/>
      </c>
      <c r="C577" s="6" t="s">
        <v>10</v>
      </c>
      <c r="G577" s="38" t="str">
        <f t="shared" si="40"/>
        <v/>
      </c>
      <c r="H577" s="141" t="str">
        <f t="shared" si="41"/>
        <v/>
      </c>
      <c r="J577" s="141" t="str">
        <f t="shared" si="42"/>
        <v/>
      </c>
      <c r="K577" s="141" t="str">
        <f t="shared" si="43"/>
        <v/>
      </c>
      <c r="L577" s="141" t="str">
        <f t="shared" si="44"/>
        <v/>
      </c>
    </row>
    <row r="578" spans="1:12" x14ac:dyDescent="0.3">
      <c r="A578" s="2" t="str">
        <f xml:space="preserve"> IF( 'From SvanPC++'!A578= "", "", ('From SvanPC++'!A578))</f>
        <v/>
      </c>
      <c r="C578" s="6" t="s">
        <v>10</v>
      </c>
      <c r="G578" s="38" t="str">
        <f t="shared" si="40"/>
        <v/>
      </c>
      <c r="H578" s="141" t="str">
        <f t="shared" si="41"/>
        <v/>
      </c>
      <c r="J578" s="141" t="str">
        <f t="shared" si="42"/>
        <v/>
      </c>
      <c r="K578" s="141" t="str">
        <f t="shared" si="43"/>
        <v/>
      </c>
      <c r="L578" s="141" t="str">
        <f t="shared" si="44"/>
        <v/>
      </c>
    </row>
    <row r="579" spans="1:12" x14ac:dyDescent="0.3">
      <c r="A579" s="2" t="str">
        <f xml:space="preserve"> IF( 'From SvanPC++'!A579= "", "", ('From SvanPC++'!A579))</f>
        <v/>
      </c>
      <c r="C579" s="6" t="s">
        <v>10</v>
      </c>
      <c r="G579" s="38" t="str">
        <f t="shared" si="40"/>
        <v/>
      </c>
      <c r="H579" s="141" t="str">
        <f t="shared" si="41"/>
        <v/>
      </c>
      <c r="J579" s="141" t="str">
        <f t="shared" si="42"/>
        <v/>
      </c>
      <c r="K579" s="141" t="str">
        <f t="shared" si="43"/>
        <v/>
      </c>
      <c r="L579" s="141" t="str">
        <f t="shared" si="44"/>
        <v/>
      </c>
    </row>
    <row r="580" spans="1:12" x14ac:dyDescent="0.3">
      <c r="A580" s="2" t="str">
        <f xml:space="preserve"> IF( 'From SvanPC++'!A580= "", "", ('From SvanPC++'!A580))</f>
        <v/>
      </c>
      <c r="C580" s="6" t="s">
        <v>10</v>
      </c>
      <c r="G580" s="38" t="str">
        <f t="shared" si="40"/>
        <v/>
      </c>
      <c r="H580" s="141" t="str">
        <f t="shared" si="41"/>
        <v/>
      </c>
      <c r="J580" s="141" t="str">
        <f t="shared" si="42"/>
        <v/>
      </c>
      <c r="K580" s="141" t="str">
        <f t="shared" si="43"/>
        <v/>
      </c>
      <c r="L580" s="141" t="str">
        <f t="shared" si="44"/>
        <v/>
      </c>
    </row>
    <row r="581" spans="1:12" x14ac:dyDescent="0.3">
      <c r="A581" s="2" t="str">
        <f xml:space="preserve"> IF( 'From SvanPC++'!A581= "", "", ('From SvanPC++'!A581))</f>
        <v/>
      </c>
      <c r="C581" s="6" t="s">
        <v>10</v>
      </c>
      <c r="G581" s="38" t="str">
        <f t="shared" si="40"/>
        <v/>
      </c>
      <c r="H581" s="141" t="str">
        <f t="shared" si="41"/>
        <v/>
      </c>
      <c r="J581" s="141" t="str">
        <f t="shared" si="42"/>
        <v/>
      </c>
      <c r="K581" s="141" t="str">
        <f t="shared" si="43"/>
        <v/>
      </c>
      <c r="L581" s="141" t="str">
        <f t="shared" si="44"/>
        <v/>
      </c>
    </row>
    <row r="582" spans="1:12" x14ac:dyDescent="0.3">
      <c r="A582" s="2" t="str">
        <f xml:space="preserve"> IF( 'From SvanPC++'!A582= "", "", ('From SvanPC++'!A582))</f>
        <v/>
      </c>
      <c r="C582" s="6" t="s">
        <v>10</v>
      </c>
      <c r="G582" s="38" t="str">
        <f t="shared" si="40"/>
        <v/>
      </c>
      <c r="H582" s="141" t="str">
        <f t="shared" si="41"/>
        <v/>
      </c>
      <c r="J582" s="141" t="str">
        <f t="shared" si="42"/>
        <v/>
      </c>
      <c r="K582" s="141" t="str">
        <f t="shared" si="43"/>
        <v/>
      </c>
      <c r="L582" s="141" t="str">
        <f t="shared" si="44"/>
        <v/>
      </c>
    </row>
    <row r="583" spans="1:12" x14ac:dyDescent="0.3">
      <c r="A583" s="2" t="str">
        <f xml:space="preserve"> IF( 'From SvanPC++'!A583= "", "", ('From SvanPC++'!A583))</f>
        <v/>
      </c>
      <c r="C583" s="6" t="s">
        <v>10</v>
      </c>
      <c r="G583" s="38" t="str">
        <f t="shared" ref="G583:G646" si="45" xml:space="preserve"> IF( D583= "", "", ( IF( AND( D583 &gt;= TIMEVALUE( "07:00:01" ), D583 &lt; TIMEVALUE( "08:00:01" ) ) = TRUE, (G582+1), (G582+0) )))</f>
        <v/>
      </c>
      <c r="H583" s="141" t="str">
        <f t="shared" ref="H583:H646" si="46" xml:space="preserve"> IF( D583= "", "", (
IF( AND( D583 &gt;= TIMEVALUE( "07:00:01" ), D583 &lt;= TIMEVALUE( "18:00:00" ), WEEKDAY( C583,1+N("            Weekday Day Period              ")) &gt;=2, ( WEEKDAY( C583,1) &lt;=6) ) = TRUE, "Day",
IF( AND( D583 &gt;= TIMEVALUE( "18:00:01" ), D583 &lt;= TIMEVALUE( "22:00:00" ), WEEKDAY( C583,1+N("            Weekday Evening Period          ")) &gt;=2, ( WEEKDAY( C583,1) &lt;=6) ) = TRUE, "Evening",
IF( AND( D583 &gt;= TIMEVALUE( "22:00:01" ), D583 &lt;= TIMEVALUE( "23:59:59" ), WEEKDAY( C583,1+N("            Weekday Night Period            ")) &gt;=2, ( WEEKDAY( C583,1) &lt;=6) ) = TRUE, "Night",
IF( AND( D583 &gt;= TIMEVALUE( "00:00:00" ), D583 &lt;= TIMEVALUE( "07:00:00" ), WEEKDAY( C583,1+N("            Weekday Night Period            ")) &gt;=2, ( WEEKDAY( C583,1) &lt;=6) ) = TRUE, "Night",
IF( AND( D583 &gt;= TIMEVALUE( "07:00:01" ), D583 &lt;= TIMEVALUE( "18:00:00" ), WEEKDAY( C583) =(7+N("         Saturday Day Period             ")) ) = TRUE, "Day",
IF( AND( D583 &gt;= TIMEVALUE( "18:00:01" ), D583 &lt;= TIMEVALUE( "22:00:00" ), WEEKDAY( C583) =(7+N("         Saturday Evening Period         ")) ) = TRUE, "Evening",
IF( AND( D583 &gt;= TIMEVALUE( "22:00:01" ), D583 &lt;= TIMEVALUE( "23:59:59" ), WEEKDAY( C583) =(7+N("         Saturday Night Period           ")) ) = TRUE, "Night",
IF( AND( D583 &gt;= TIMEVALUE( "00:00:00" ), D583 &lt;= TIMEVALUE( "07:00:00" ), WEEKDAY( C583) =(7+N("         Saturday Night Period           ")) ) = TRUE, "Night",
IF( AND( D583 &gt;= TIMEVALUE( "07:00:01" ), D583 &lt;= TIMEVALUE( "22:00:00" ), WEEKDAY( C583) =(1+N("         Sunday Evening Period           ")) ) = TRUE, "Evening",
IF( AND( D583 &gt;= TIMEVALUE( "20:00:01" ), D583 &lt;= TIMEVALUE( "23:59:59" ), WEEKDAY( C583) =(1+N("         Sunday Night Period             ")) ) = TRUE, "Night",
IF( AND( D583 &gt;= TIMEVALUE( "00:00:00" ), D583 &lt;= TIMEVALUE( "07:00:00" ), WEEKDAY( C583) =(1+N("         Sunday Night Period             ")) ) = TRUE, "Night",
)))))))))))))</f>
        <v/>
      </c>
      <c r="J583" s="141" t="str">
        <f t="shared" si="42"/>
        <v/>
      </c>
      <c r="K583" s="141" t="str">
        <f t="shared" si="43"/>
        <v/>
      </c>
      <c r="L583" s="141" t="str">
        <f t="shared" si="44"/>
        <v/>
      </c>
    </row>
    <row r="584" spans="1:12" x14ac:dyDescent="0.3">
      <c r="A584" s="2" t="str">
        <f xml:space="preserve"> IF( 'From SvanPC++'!A584= "", "", ('From SvanPC++'!A584))</f>
        <v/>
      </c>
      <c r="C584" s="6" t="s">
        <v>10</v>
      </c>
      <c r="G584" s="38" t="str">
        <f t="shared" si="45"/>
        <v/>
      </c>
      <c r="H584" s="141" t="str">
        <f t="shared" si="46"/>
        <v/>
      </c>
      <c r="J584" s="141" t="str">
        <f t="shared" ref="J584:J647" si="47" xml:space="preserve"> IF( ISERROR( IF( D584= "", "", ( IF( G584= (G583+1), ( AVERAGEIFS( E584:E728, G584:G728, G584, H584:H728, "Day" )), "" )))), "",( IF( D584= "", "", ( IF( G584= (G583+1), ( AVERAGEIFS( E584:E728, G584:G728, G584, H584:H728, "Day" )), "" )))))</f>
        <v/>
      </c>
      <c r="K584" s="141" t="str">
        <f t="shared" ref="K584:K647" si="48" xml:space="preserve"> IF( ISERROR( IF( D584= "", "", ( IF( G584= (G583+1), ( AVERAGEIFS( E584:E728, G584:G728, G584, H584:H728, "Evening" )), "" )))), "",( IF( D584= "", "", ( IF( G584= (G583+1), ( AVERAGEIFS( E584:E728, G584:G728, G584, H584:H728, "Evening" )), "" )))))</f>
        <v/>
      </c>
      <c r="L584" s="141" t="str">
        <f t="shared" ref="L584:L647" si="49" xml:space="preserve"> IF( ISERROR( IF( D584= "", "", ( IF( G584= (G583+1), ( AVERAGEIFS( E584:E728, G584:G728, G584, H584:H728, "Night" )), "" )))), "",( IF( D584= "", "", ( IF( G584= (G583+1), ( AVERAGEIFS( E584:E728, G584:G728, G584, H584:H728, "Night" )), "" )))))</f>
        <v/>
      </c>
    </row>
    <row r="585" spans="1:12" x14ac:dyDescent="0.3">
      <c r="A585" s="2" t="str">
        <f xml:space="preserve"> IF( 'From SvanPC++'!A585= "", "", ('From SvanPC++'!A585))</f>
        <v/>
      </c>
      <c r="C585" s="6" t="s">
        <v>10</v>
      </c>
      <c r="G585" s="38" t="str">
        <f t="shared" si="45"/>
        <v/>
      </c>
      <c r="H585" s="141" t="str">
        <f t="shared" si="46"/>
        <v/>
      </c>
      <c r="J585" s="141" t="str">
        <f t="shared" si="47"/>
        <v/>
      </c>
      <c r="K585" s="141" t="str">
        <f t="shared" si="48"/>
        <v/>
      </c>
      <c r="L585" s="141" t="str">
        <f t="shared" si="49"/>
        <v/>
      </c>
    </row>
    <row r="586" spans="1:12" x14ac:dyDescent="0.3">
      <c r="A586" s="2" t="str">
        <f xml:space="preserve"> IF( 'From SvanPC++'!A586= "", "", ('From SvanPC++'!A586))</f>
        <v/>
      </c>
      <c r="C586" s="6" t="s">
        <v>10</v>
      </c>
      <c r="G586" s="38" t="str">
        <f t="shared" si="45"/>
        <v/>
      </c>
      <c r="H586" s="141" t="str">
        <f t="shared" si="46"/>
        <v/>
      </c>
      <c r="J586" s="141" t="str">
        <f t="shared" si="47"/>
        <v/>
      </c>
      <c r="K586" s="141" t="str">
        <f t="shared" si="48"/>
        <v/>
      </c>
      <c r="L586" s="141" t="str">
        <f t="shared" si="49"/>
        <v/>
      </c>
    </row>
    <row r="587" spans="1:12" x14ac:dyDescent="0.3">
      <c r="A587" s="2" t="str">
        <f xml:space="preserve"> IF( 'From SvanPC++'!A587= "", "", ('From SvanPC++'!A587))</f>
        <v/>
      </c>
      <c r="C587" s="6" t="s">
        <v>10</v>
      </c>
      <c r="G587" s="38" t="str">
        <f t="shared" si="45"/>
        <v/>
      </c>
      <c r="H587" s="141" t="str">
        <f t="shared" si="46"/>
        <v/>
      </c>
      <c r="J587" s="141" t="str">
        <f t="shared" si="47"/>
        <v/>
      </c>
      <c r="K587" s="141" t="str">
        <f t="shared" si="48"/>
        <v/>
      </c>
      <c r="L587" s="141" t="str">
        <f t="shared" si="49"/>
        <v/>
      </c>
    </row>
    <row r="588" spans="1:12" x14ac:dyDescent="0.3">
      <c r="A588" s="2" t="str">
        <f xml:space="preserve"> IF( 'From SvanPC++'!A588= "", "", ('From SvanPC++'!A588))</f>
        <v/>
      </c>
      <c r="C588" s="6" t="s">
        <v>10</v>
      </c>
      <c r="G588" s="38" t="str">
        <f t="shared" si="45"/>
        <v/>
      </c>
      <c r="H588" s="141" t="str">
        <f t="shared" si="46"/>
        <v/>
      </c>
      <c r="J588" s="141" t="str">
        <f t="shared" si="47"/>
        <v/>
      </c>
      <c r="K588" s="141" t="str">
        <f t="shared" si="48"/>
        <v/>
      </c>
      <c r="L588" s="141" t="str">
        <f t="shared" si="49"/>
        <v/>
      </c>
    </row>
    <row r="589" spans="1:12" x14ac:dyDescent="0.3">
      <c r="A589" s="2" t="str">
        <f xml:space="preserve"> IF( 'From SvanPC++'!A589= "", "", ('From SvanPC++'!A589))</f>
        <v/>
      </c>
      <c r="C589" s="6" t="s">
        <v>10</v>
      </c>
      <c r="G589" s="38" t="str">
        <f t="shared" si="45"/>
        <v/>
      </c>
      <c r="H589" s="141" t="str">
        <f t="shared" si="46"/>
        <v/>
      </c>
      <c r="J589" s="141" t="str">
        <f t="shared" si="47"/>
        <v/>
      </c>
      <c r="K589" s="141" t="str">
        <f t="shared" si="48"/>
        <v/>
      </c>
      <c r="L589" s="141" t="str">
        <f t="shared" si="49"/>
        <v/>
      </c>
    </row>
    <row r="590" spans="1:12" x14ac:dyDescent="0.3">
      <c r="A590" s="2" t="str">
        <f xml:space="preserve"> IF( 'From SvanPC++'!A590= "", "", ('From SvanPC++'!A590))</f>
        <v/>
      </c>
      <c r="C590" s="6" t="s">
        <v>10</v>
      </c>
      <c r="G590" s="38" t="str">
        <f t="shared" si="45"/>
        <v/>
      </c>
      <c r="H590" s="141" t="str">
        <f t="shared" si="46"/>
        <v/>
      </c>
      <c r="J590" s="141" t="str">
        <f t="shared" si="47"/>
        <v/>
      </c>
      <c r="K590" s="141" t="str">
        <f t="shared" si="48"/>
        <v/>
      </c>
      <c r="L590" s="141" t="str">
        <f t="shared" si="49"/>
        <v/>
      </c>
    </row>
    <row r="591" spans="1:12" x14ac:dyDescent="0.3">
      <c r="A591" s="2" t="str">
        <f xml:space="preserve"> IF( 'From SvanPC++'!A591= "", "", ('From SvanPC++'!A591))</f>
        <v/>
      </c>
      <c r="C591" s="6" t="s">
        <v>10</v>
      </c>
      <c r="G591" s="38" t="str">
        <f t="shared" si="45"/>
        <v/>
      </c>
      <c r="H591" s="141" t="str">
        <f t="shared" si="46"/>
        <v/>
      </c>
      <c r="J591" s="141" t="str">
        <f t="shared" si="47"/>
        <v/>
      </c>
      <c r="K591" s="141" t="str">
        <f t="shared" si="48"/>
        <v/>
      </c>
      <c r="L591" s="141" t="str">
        <f t="shared" si="49"/>
        <v/>
      </c>
    </row>
    <row r="592" spans="1:12" x14ac:dyDescent="0.3">
      <c r="A592" s="2" t="str">
        <f xml:space="preserve"> IF( 'From SvanPC++'!A592= "", "", ('From SvanPC++'!A592))</f>
        <v/>
      </c>
      <c r="C592" s="6" t="s">
        <v>10</v>
      </c>
      <c r="G592" s="38" t="str">
        <f t="shared" si="45"/>
        <v/>
      </c>
      <c r="H592" s="141" t="str">
        <f t="shared" si="46"/>
        <v/>
      </c>
      <c r="J592" s="141" t="str">
        <f t="shared" si="47"/>
        <v/>
      </c>
      <c r="K592" s="141" t="str">
        <f t="shared" si="48"/>
        <v/>
      </c>
      <c r="L592" s="141" t="str">
        <f t="shared" si="49"/>
        <v/>
      </c>
    </row>
    <row r="593" spans="1:12" x14ac:dyDescent="0.3">
      <c r="A593" s="2" t="str">
        <f xml:space="preserve"> IF( 'From SvanPC++'!A593= "", "", ('From SvanPC++'!A593))</f>
        <v/>
      </c>
      <c r="C593" s="6" t="s">
        <v>10</v>
      </c>
      <c r="G593" s="38" t="str">
        <f t="shared" si="45"/>
        <v/>
      </c>
      <c r="H593" s="141" t="str">
        <f t="shared" si="46"/>
        <v/>
      </c>
      <c r="J593" s="141" t="str">
        <f t="shared" si="47"/>
        <v/>
      </c>
      <c r="K593" s="141" t="str">
        <f t="shared" si="48"/>
        <v/>
      </c>
      <c r="L593" s="141" t="str">
        <f t="shared" si="49"/>
        <v/>
      </c>
    </row>
    <row r="594" spans="1:12" x14ac:dyDescent="0.3">
      <c r="A594" s="2" t="str">
        <f xml:space="preserve"> IF( 'From SvanPC++'!A594= "", "", ('From SvanPC++'!A594))</f>
        <v/>
      </c>
      <c r="C594" s="6" t="s">
        <v>10</v>
      </c>
      <c r="G594" s="38" t="str">
        <f t="shared" si="45"/>
        <v/>
      </c>
      <c r="H594" s="141" t="str">
        <f t="shared" si="46"/>
        <v/>
      </c>
      <c r="J594" s="141" t="str">
        <f t="shared" si="47"/>
        <v/>
      </c>
      <c r="K594" s="141" t="str">
        <f t="shared" si="48"/>
        <v/>
      </c>
      <c r="L594" s="141" t="str">
        <f t="shared" si="49"/>
        <v/>
      </c>
    </row>
    <row r="595" spans="1:12" x14ac:dyDescent="0.3">
      <c r="A595" s="2" t="str">
        <f xml:space="preserve"> IF( 'From SvanPC++'!A595= "", "", ('From SvanPC++'!A595))</f>
        <v/>
      </c>
      <c r="C595" s="6" t="s">
        <v>10</v>
      </c>
      <c r="G595" s="38" t="str">
        <f t="shared" si="45"/>
        <v/>
      </c>
      <c r="H595" s="141" t="str">
        <f t="shared" si="46"/>
        <v/>
      </c>
      <c r="J595" s="141" t="str">
        <f t="shared" si="47"/>
        <v/>
      </c>
      <c r="K595" s="141" t="str">
        <f t="shared" si="48"/>
        <v/>
      </c>
      <c r="L595" s="141" t="str">
        <f t="shared" si="49"/>
        <v/>
      </c>
    </row>
    <row r="596" spans="1:12" x14ac:dyDescent="0.3">
      <c r="A596" s="2" t="str">
        <f xml:space="preserve"> IF( 'From SvanPC++'!A596= "", "", ('From SvanPC++'!A596))</f>
        <v/>
      </c>
      <c r="C596" s="6" t="s">
        <v>10</v>
      </c>
      <c r="G596" s="38" t="str">
        <f t="shared" si="45"/>
        <v/>
      </c>
      <c r="H596" s="141" t="str">
        <f t="shared" si="46"/>
        <v/>
      </c>
      <c r="J596" s="141" t="str">
        <f t="shared" si="47"/>
        <v/>
      </c>
      <c r="K596" s="141" t="str">
        <f t="shared" si="48"/>
        <v/>
      </c>
      <c r="L596" s="141" t="str">
        <f t="shared" si="49"/>
        <v/>
      </c>
    </row>
    <row r="597" spans="1:12" x14ac:dyDescent="0.3">
      <c r="A597" s="2" t="str">
        <f xml:space="preserve"> IF( 'From SvanPC++'!A597= "", "", ('From SvanPC++'!A597))</f>
        <v/>
      </c>
      <c r="C597" s="6" t="s">
        <v>10</v>
      </c>
      <c r="G597" s="38" t="str">
        <f t="shared" si="45"/>
        <v/>
      </c>
      <c r="H597" s="141" t="str">
        <f t="shared" si="46"/>
        <v/>
      </c>
      <c r="J597" s="141" t="str">
        <f t="shared" si="47"/>
        <v/>
      </c>
      <c r="K597" s="141" t="str">
        <f t="shared" si="48"/>
        <v/>
      </c>
      <c r="L597" s="141" t="str">
        <f t="shared" si="49"/>
        <v/>
      </c>
    </row>
    <row r="598" spans="1:12" x14ac:dyDescent="0.3">
      <c r="A598" s="2" t="str">
        <f xml:space="preserve"> IF( 'From SvanPC++'!A598= "", "", ('From SvanPC++'!A598))</f>
        <v/>
      </c>
      <c r="C598" s="6" t="s">
        <v>10</v>
      </c>
      <c r="G598" s="38" t="str">
        <f t="shared" si="45"/>
        <v/>
      </c>
      <c r="H598" s="141" t="str">
        <f t="shared" si="46"/>
        <v/>
      </c>
      <c r="J598" s="141" t="str">
        <f t="shared" si="47"/>
        <v/>
      </c>
      <c r="K598" s="141" t="str">
        <f t="shared" si="48"/>
        <v/>
      </c>
      <c r="L598" s="141" t="str">
        <f t="shared" si="49"/>
        <v/>
      </c>
    </row>
    <row r="599" spans="1:12" x14ac:dyDescent="0.3">
      <c r="A599" s="2" t="str">
        <f xml:space="preserve"> IF( 'From SvanPC++'!A599= "", "", ('From SvanPC++'!A599))</f>
        <v/>
      </c>
      <c r="C599" s="6" t="s">
        <v>10</v>
      </c>
      <c r="G599" s="38" t="str">
        <f t="shared" si="45"/>
        <v/>
      </c>
      <c r="H599" s="141" t="str">
        <f t="shared" si="46"/>
        <v/>
      </c>
      <c r="J599" s="141" t="str">
        <f t="shared" si="47"/>
        <v/>
      </c>
      <c r="K599" s="141" t="str">
        <f t="shared" si="48"/>
        <v/>
      </c>
      <c r="L599" s="141" t="str">
        <f t="shared" si="49"/>
        <v/>
      </c>
    </row>
    <row r="600" spans="1:12" x14ac:dyDescent="0.3">
      <c r="A600" s="2" t="str">
        <f xml:space="preserve"> IF( 'From SvanPC++'!A600= "", "", ('From SvanPC++'!A600))</f>
        <v/>
      </c>
      <c r="C600" s="6" t="s">
        <v>10</v>
      </c>
      <c r="G600" s="38" t="str">
        <f t="shared" si="45"/>
        <v/>
      </c>
      <c r="H600" s="141" t="str">
        <f t="shared" si="46"/>
        <v/>
      </c>
      <c r="J600" s="141" t="str">
        <f t="shared" si="47"/>
        <v/>
      </c>
      <c r="K600" s="141" t="str">
        <f t="shared" si="48"/>
        <v/>
      </c>
      <c r="L600" s="141" t="str">
        <f t="shared" si="49"/>
        <v/>
      </c>
    </row>
    <row r="601" spans="1:12" x14ac:dyDescent="0.3">
      <c r="A601" s="2" t="str">
        <f xml:space="preserve"> IF( 'From SvanPC++'!A601= "", "", ('From SvanPC++'!A601))</f>
        <v/>
      </c>
      <c r="C601" s="6" t="s">
        <v>10</v>
      </c>
      <c r="G601" s="38" t="str">
        <f t="shared" si="45"/>
        <v/>
      </c>
      <c r="H601" s="141" t="str">
        <f t="shared" si="46"/>
        <v/>
      </c>
      <c r="J601" s="141" t="str">
        <f t="shared" si="47"/>
        <v/>
      </c>
      <c r="K601" s="141" t="str">
        <f t="shared" si="48"/>
        <v/>
      </c>
      <c r="L601" s="141" t="str">
        <f t="shared" si="49"/>
        <v/>
      </c>
    </row>
    <row r="602" spans="1:12" x14ac:dyDescent="0.3">
      <c r="A602" s="2" t="str">
        <f xml:space="preserve"> IF( 'From SvanPC++'!A602= "", "", ('From SvanPC++'!A602))</f>
        <v/>
      </c>
      <c r="C602" s="6" t="s">
        <v>10</v>
      </c>
      <c r="G602" s="38" t="str">
        <f t="shared" si="45"/>
        <v/>
      </c>
      <c r="H602" s="141" t="str">
        <f t="shared" si="46"/>
        <v/>
      </c>
      <c r="J602" s="141" t="str">
        <f t="shared" si="47"/>
        <v/>
      </c>
      <c r="K602" s="141" t="str">
        <f t="shared" si="48"/>
        <v/>
      </c>
      <c r="L602" s="141" t="str">
        <f t="shared" si="49"/>
        <v/>
      </c>
    </row>
    <row r="603" spans="1:12" x14ac:dyDescent="0.3">
      <c r="A603" s="2" t="str">
        <f xml:space="preserve"> IF( 'From SvanPC++'!A603= "", "", ('From SvanPC++'!A603))</f>
        <v/>
      </c>
      <c r="C603" s="6" t="s">
        <v>10</v>
      </c>
      <c r="G603" s="38" t="str">
        <f t="shared" si="45"/>
        <v/>
      </c>
      <c r="H603" s="141" t="str">
        <f t="shared" si="46"/>
        <v/>
      </c>
      <c r="J603" s="141" t="str">
        <f t="shared" si="47"/>
        <v/>
      </c>
      <c r="K603" s="141" t="str">
        <f t="shared" si="48"/>
        <v/>
      </c>
      <c r="L603" s="141" t="str">
        <f t="shared" si="49"/>
        <v/>
      </c>
    </row>
    <row r="604" spans="1:12" x14ac:dyDescent="0.3">
      <c r="A604" s="2" t="str">
        <f xml:space="preserve"> IF( 'From SvanPC++'!A604= "", "", ('From SvanPC++'!A604))</f>
        <v/>
      </c>
      <c r="C604" s="6" t="s">
        <v>10</v>
      </c>
      <c r="G604" s="38" t="str">
        <f t="shared" si="45"/>
        <v/>
      </c>
      <c r="H604" s="141" t="str">
        <f t="shared" si="46"/>
        <v/>
      </c>
      <c r="J604" s="141" t="str">
        <f t="shared" si="47"/>
        <v/>
      </c>
      <c r="K604" s="141" t="str">
        <f t="shared" si="48"/>
        <v/>
      </c>
      <c r="L604" s="141" t="str">
        <f t="shared" si="49"/>
        <v/>
      </c>
    </row>
    <row r="605" spans="1:12" x14ac:dyDescent="0.3">
      <c r="A605" s="2" t="str">
        <f xml:space="preserve"> IF( 'From SvanPC++'!A605= "", "", ('From SvanPC++'!A605))</f>
        <v/>
      </c>
      <c r="C605" s="6" t="s">
        <v>10</v>
      </c>
      <c r="G605" s="38" t="str">
        <f t="shared" si="45"/>
        <v/>
      </c>
      <c r="H605" s="141" t="str">
        <f t="shared" si="46"/>
        <v/>
      </c>
      <c r="J605" s="141" t="str">
        <f t="shared" si="47"/>
        <v/>
      </c>
      <c r="K605" s="141" t="str">
        <f t="shared" si="48"/>
        <v/>
      </c>
      <c r="L605" s="141" t="str">
        <f t="shared" si="49"/>
        <v/>
      </c>
    </row>
    <row r="606" spans="1:12" x14ac:dyDescent="0.3">
      <c r="A606" s="2" t="str">
        <f xml:space="preserve"> IF( 'From SvanPC++'!A606= "", "", ('From SvanPC++'!A606))</f>
        <v/>
      </c>
      <c r="C606" s="6" t="s">
        <v>10</v>
      </c>
      <c r="G606" s="38" t="str">
        <f t="shared" si="45"/>
        <v/>
      </c>
      <c r="H606" s="141" t="str">
        <f t="shared" si="46"/>
        <v/>
      </c>
      <c r="J606" s="141" t="str">
        <f t="shared" si="47"/>
        <v/>
      </c>
      <c r="K606" s="141" t="str">
        <f t="shared" si="48"/>
        <v/>
      </c>
      <c r="L606" s="141" t="str">
        <f t="shared" si="49"/>
        <v/>
      </c>
    </row>
    <row r="607" spans="1:12" x14ac:dyDescent="0.3">
      <c r="A607" s="2" t="str">
        <f xml:space="preserve"> IF( 'From SvanPC++'!A607= "", "", ('From SvanPC++'!A607))</f>
        <v/>
      </c>
      <c r="C607" s="6" t="s">
        <v>10</v>
      </c>
      <c r="G607" s="38" t="str">
        <f t="shared" si="45"/>
        <v/>
      </c>
      <c r="H607" s="141" t="str">
        <f t="shared" si="46"/>
        <v/>
      </c>
      <c r="J607" s="141" t="str">
        <f t="shared" si="47"/>
        <v/>
      </c>
      <c r="K607" s="141" t="str">
        <f t="shared" si="48"/>
        <v/>
      </c>
      <c r="L607" s="141" t="str">
        <f t="shared" si="49"/>
        <v/>
      </c>
    </row>
    <row r="608" spans="1:12" x14ac:dyDescent="0.3">
      <c r="A608" s="2" t="str">
        <f xml:space="preserve"> IF( 'From SvanPC++'!A608= "", "", ('From SvanPC++'!A608))</f>
        <v/>
      </c>
      <c r="C608" s="6" t="s">
        <v>10</v>
      </c>
      <c r="G608" s="38" t="str">
        <f t="shared" si="45"/>
        <v/>
      </c>
      <c r="H608" s="141" t="str">
        <f t="shared" si="46"/>
        <v/>
      </c>
      <c r="J608" s="141" t="str">
        <f t="shared" si="47"/>
        <v/>
      </c>
      <c r="K608" s="141" t="str">
        <f t="shared" si="48"/>
        <v/>
      </c>
      <c r="L608" s="141" t="str">
        <f t="shared" si="49"/>
        <v/>
      </c>
    </row>
    <row r="609" spans="1:12" x14ac:dyDescent="0.3">
      <c r="A609" s="2" t="str">
        <f xml:space="preserve"> IF( 'From SvanPC++'!A609= "", "", ('From SvanPC++'!A609))</f>
        <v/>
      </c>
      <c r="C609" s="6" t="s">
        <v>10</v>
      </c>
      <c r="G609" s="38" t="str">
        <f t="shared" si="45"/>
        <v/>
      </c>
      <c r="H609" s="141" t="str">
        <f t="shared" si="46"/>
        <v/>
      </c>
      <c r="J609" s="141" t="str">
        <f t="shared" si="47"/>
        <v/>
      </c>
      <c r="K609" s="141" t="str">
        <f t="shared" si="48"/>
        <v/>
      </c>
      <c r="L609" s="141" t="str">
        <f t="shared" si="49"/>
        <v/>
      </c>
    </row>
    <row r="610" spans="1:12" x14ac:dyDescent="0.3">
      <c r="A610" s="2" t="str">
        <f xml:space="preserve"> IF( 'From SvanPC++'!A610= "", "", ('From SvanPC++'!A610))</f>
        <v/>
      </c>
      <c r="C610" s="6" t="s">
        <v>10</v>
      </c>
      <c r="G610" s="38" t="str">
        <f t="shared" si="45"/>
        <v/>
      </c>
      <c r="H610" s="141" t="str">
        <f t="shared" si="46"/>
        <v/>
      </c>
      <c r="J610" s="141" t="str">
        <f t="shared" si="47"/>
        <v/>
      </c>
      <c r="K610" s="141" t="str">
        <f t="shared" si="48"/>
        <v/>
      </c>
      <c r="L610" s="141" t="str">
        <f t="shared" si="49"/>
        <v/>
      </c>
    </row>
    <row r="611" spans="1:12" x14ac:dyDescent="0.3">
      <c r="A611" s="2" t="str">
        <f xml:space="preserve"> IF( 'From SvanPC++'!A611= "", "", ('From SvanPC++'!A611))</f>
        <v/>
      </c>
      <c r="C611" s="6" t="s">
        <v>10</v>
      </c>
      <c r="G611" s="38" t="str">
        <f t="shared" si="45"/>
        <v/>
      </c>
      <c r="H611" s="141" t="str">
        <f t="shared" si="46"/>
        <v/>
      </c>
      <c r="J611" s="141" t="str">
        <f t="shared" si="47"/>
        <v/>
      </c>
      <c r="K611" s="141" t="str">
        <f t="shared" si="48"/>
        <v/>
      </c>
      <c r="L611" s="141" t="str">
        <f t="shared" si="49"/>
        <v/>
      </c>
    </row>
    <row r="612" spans="1:12" x14ac:dyDescent="0.3">
      <c r="A612" s="2" t="str">
        <f xml:space="preserve"> IF( 'From SvanPC++'!A612= "", "", ('From SvanPC++'!A612))</f>
        <v/>
      </c>
      <c r="C612" s="6" t="s">
        <v>10</v>
      </c>
      <c r="G612" s="38" t="str">
        <f t="shared" si="45"/>
        <v/>
      </c>
      <c r="H612" s="141" t="str">
        <f t="shared" si="46"/>
        <v/>
      </c>
      <c r="J612" s="141" t="str">
        <f t="shared" si="47"/>
        <v/>
      </c>
      <c r="K612" s="141" t="str">
        <f t="shared" si="48"/>
        <v/>
      </c>
      <c r="L612" s="141" t="str">
        <f t="shared" si="49"/>
        <v/>
      </c>
    </row>
    <row r="613" spans="1:12" x14ac:dyDescent="0.3">
      <c r="A613" s="2" t="str">
        <f xml:space="preserve"> IF( 'From SvanPC++'!A613= "", "", ('From SvanPC++'!A613))</f>
        <v/>
      </c>
      <c r="C613" s="6" t="s">
        <v>10</v>
      </c>
      <c r="G613" s="38" t="str">
        <f t="shared" si="45"/>
        <v/>
      </c>
      <c r="H613" s="141" t="str">
        <f t="shared" si="46"/>
        <v/>
      </c>
      <c r="J613" s="141" t="str">
        <f t="shared" si="47"/>
        <v/>
      </c>
      <c r="K613" s="141" t="str">
        <f t="shared" si="48"/>
        <v/>
      </c>
      <c r="L613" s="141" t="str">
        <f t="shared" si="49"/>
        <v/>
      </c>
    </row>
    <row r="614" spans="1:12" x14ac:dyDescent="0.3">
      <c r="A614" s="2" t="str">
        <f xml:space="preserve"> IF( 'From SvanPC++'!A614= "", "", ('From SvanPC++'!A614))</f>
        <v/>
      </c>
      <c r="C614" s="6" t="s">
        <v>10</v>
      </c>
      <c r="G614" s="38" t="str">
        <f t="shared" si="45"/>
        <v/>
      </c>
      <c r="H614" s="141" t="str">
        <f t="shared" si="46"/>
        <v/>
      </c>
      <c r="J614" s="141" t="str">
        <f t="shared" si="47"/>
        <v/>
      </c>
      <c r="K614" s="141" t="str">
        <f t="shared" si="48"/>
        <v/>
      </c>
      <c r="L614" s="141" t="str">
        <f t="shared" si="49"/>
        <v/>
      </c>
    </row>
    <row r="615" spans="1:12" x14ac:dyDescent="0.3">
      <c r="A615" s="2" t="str">
        <f xml:space="preserve"> IF( 'From SvanPC++'!A615= "", "", ('From SvanPC++'!A615))</f>
        <v/>
      </c>
      <c r="C615" s="6" t="s">
        <v>10</v>
      </c>
      <c r="G615" s="38" t="str">
        <f t="shared" si="45"/>
        <v/>
      </c>
      <c r="H615" s="141" t="str">
        <f t="shared" si="46"/>
        <v/>
      </c>
      <c r="J615" s="141" t="str">
        <f t="shared" si="47"/>
        <v/>
      </c>
      <c r="K615" s="141" t="str">
        <f t="shared" si="48"/>
        <v/>
      </c>
      <c r="L615" s="141" t="str">
        <f t="shared" si="49"/>
        <v/>
      </c>
    </row>
    <row r="616" spans="1:12" x14ac:dyDescent="0.3">
      <c r="A616" s="2" t="str">
        <f xml:space="preserve"> IF( 'From SvanPC++'!A616= "", "", ('From SvanPC++'!A616))</f>
        <v/>
      </c>
      <c r="C616" s="6" t="s">
        <v>10</v>
      </c>
      <c r="G616" s="38" t="str">
        <f t="shared" si="45"/>
        <v/>
      </c>
      <c r="H616" s="141" t="str">
        <f t="shared" si="46"/>
        <v/>
      </c>
      <c r="J616" s="141" t="str">
        <f t="shared" si="47"/>
        <v/>
      </c>
      <c r="K616" s="141" t="str">
        <f t="shared" si="48"/>
        <v/>
      </c>
      <c r="L616" s="141" t="str">
        <f t="shared" si="49"/>
        <v/>
      </c>
    </row>
    <row r="617" spans="1:12" x14ac:dyDescent="0.3">
      <c r="A617" s="2" t="str">
        <f xml:space="preserve"> IF( 'From SvanPC++'!A617= "", "", ('From SvanPC++'!A617))</f>
        <v/>
      </c>
      <c r="C617" s="6" t="s">
        <v>10</v>
      </c>
      <c r="G617" s="38" t="str">
        <f t="shared" si="45"/>
        <v/>
      </c>
      <c r="H617" s="141" t="str">
        <f t="shared" si="46"/>
        <v/>
      </c>
      <c r="J617" s="141" t="str">
        <f t="shared" si="47"/>
        <v/>
      </c>
      <c r="K617" s="141" t="str">
        <f t="shared" si="48"/>
        <v/>
      </c>
      <c r="L617" s="141" t="str">
        <f t="shared" si="49"/>
        <v/>
      </c>
    </row>
    <row r="618" spans="1:12" x14ac:dyDescent="0.3">
      <c r="A618" s="2" t="str">
        <f xml:space="preserve"> IF( 'From SvanPC++'!A618= "", "", ('From SvanPC++'!A618))</f>
        <v/>
      </c>
      <c r="C618" s="6" t="s">
        <v>10</v>
      </c>
      <c r="G618" s="38" t="str">
        <f t="shared" si="45"/>
        <v/>
      </c>
      <c r="H618" s="141" t="str">
        <f t="shared" si="46"/>
        <v/>
      </c>
      <c r="J618" s="141" t="str">
        <f t="shared" si="47"/>
        <v/>
      </c>
      <c r="K618" s="141" t="str">
        <f t="shared" si="48"/>
        <v/>
      </c>
      <c r="L618" s="141" t="str">
        <f t="shared" si="49"/>
        <v/>
      </c>
    </row>
    <row r="619" spans="1:12" x14ac:dyDescent="0.3">
      <c r="A619" s="2" t="str">
        <f xml:space="preserve"> IF( 'From SvanPC++'!A619= "", "", ('From SvanPC++'!A619))</f>
        <v/>
      </c>
      <c r="C619" s="6" t="s">
        <v>10</v>
      </c>
      <c r="G619" s="38" t="str">
        <f t="shared" si="45"/>
        <v/>
      </c>
      <c r="H619" s="141" t="str">
        <f t="shared" si="46"/>
        <v/>
      </c>
      <c r="J619" s="141" t="str">
        <f t="shared" si="47"/>
        <v/>
      </c>
      <c r="K619" s="141" t="str">
        <f t="shared" si="48"/>
        <v/>
      </c>
      <c r="L619" s="141" t="str">
        <f t="shared" si="49"/>
        <v/>
      </c>
    </row>
    <row r="620" spans="1:12" x14ac:dyDescent="0.3">
      <c r="A620" s="2" t="str">
        <f xml:space="preserve"> IF( 'From SvanPC++'!A620= "", "", ('From SvanPC++'!A620))</f>
        <v/>
      </c>
      <c r="C620" s="6" t="s">
        <v>10</v>
      </c>
      <c r="G620" s="38" t="str">
        <f t="shared" si="45"/>
        <v/>
      </c>
      <c r="H620" s="141" t="str">
        <f t="shared" si="46"/>
        <v/>
      </c>
      <c r="J620" s="141" t="str">
        <f t="shared" si="47"/>
        <v/>
      </c>
      <c r="K620" s="141" t="str">
        <f t="shared" si="48"/>
        <v/>
      </c>
      <c r="L620" s="141" t="str">
        <f t="shared" si="49"/>
        <v/>
      </c>
    </row>
    <row r="621" spans="1:12" x14ac:dyDescent="0.3">
      <c r="A621" s="2" t="str">
        <f xml:space="preserve"> IF( 'From SvanPC++'!A621= "", "", ('From SvanPC++'!A621))</f>
        <v/>
      </c>
      <c r="C621" s="6" t="s">
        <v>10</v>
      </c>
      <c r="G621" s="38" t="str">
        <f t="shared" si="45"/>
        <v/>
      </c>
      <c r="H621" s="141" t="str">
        <f t="shared" si="46"/>
        <v/>
      </c>
      <c r="J621" s="141" t="str">
        <f t="shared" si="47"/>
        <v/>
      </c>
      <c r="K621" s="141" t="str">
        <f t="shared" si="48"/>
        <v/>
      </c>
      <c r="L621" s="141" t="str">
        <f t="shared" si="49"/>
        <v/>
      </c>
    </row>
    <row r="622" spans="1:12" x14ac:dyDescent="0.3">
      <c r="A622" s="2" t="str">
        <f xml:space="preserve"> IF( 'From SvanPC++'!A622= "", "", ('From SvanPC++'!A622))</f>
        <v/>
      </c>
      <c r="C622" s="6" t="s">
        <v>10</v>
      </c>
      <c r="G622" s="38" t="str">
        <f t="shared" si="45"/>
        <v/>
      </c>
      <c r="H622" s="141" t="str">
        <f t="shared" si="46"/>
        <v/>
      </c>
      <c r="J622" s="141" t="str">
        <f t="shared" si="47"/>
        <v/>
      </c>
      <c r="K622" s="141" t="str">
        <f t="shared" si="48"/>
        <v/>
      </c>
      <c r="L622" s="141" t="str">
        <f t="shared" si="49"/>
        <v/>
      </c>
    </row>
    <row r="623" spans="1:12" x14ac:dyDescent="0.3">
      <c r="A623" s="2" t="str">
        <f xml:space="preserve"> IF( 'From SvanPC++'!A623= "", "", ('From SvanPC++'!A623))</f>
        <v/>
      </c>
      <c r="C623" s="6" t="s">
        <v>10</v>
      </c>
      <c r="G623" s="38" t="str">
        <f t="shared" si="45"/>
        <v/>
      </c>
      <c r="H623" s="141" t="str">
        <f t="shared" si="46"/>
        <v/>
      </c>
      <c r="J623" s="141" t="str">
        <f t="shared" si="47"/>
        <v/>
      </c>
      <c r="K623" s="141" t="str">
        <f t="shared" si="48"/>
        <v/>
      </c>
      <c r="L623" s="141" t="str">
        <f t="shared" si="49"/>
        <v/>
      </c>
    </row>
    <row r="624" spans="1:12" x14ac:dyDescent="0.3">
      <c r="A624" s="2" t="str">
        <f xml:space="preserve"> IF( 'From SvanPC++'!A624= "", "", ('From SvanPC++'!A624))</f>
        <v/>
      </c>
      <c r="C624" s="6" t="s">
        <v>10</v>
      </c>
      <c r="G624" s="38" t="str">
        <f t="shared" si="45"/>
        <v/>
      </c>
      <c r="H624" s="141" t="str">
        <f t="shared" si="46"/>
        <v/>
      </c>
      <c r="J624" s="141" t="str">
        <f t="shared" si="47"/>
        <v/>
      </c>
      <c r="K624" s="141" t="str">
        <f t="shared" si="48"/>
        <v/>
      </c>
      <c r="L624" s="141" t="str">
        <f t="shared" si="49"/>
        <v/>
      </c>
    </row>
    <row r="625" spans="1:12" x14ac:dyDescent="0.3">
      <c r="A625" s="2" t="str">
        <f xml:space="preserve"> IF( 'From SvanPC++'!A625= "", "", ('From SvanPC++'!A625))</f>
        <v/>
      </c>
      <c r="C625" s="6" t="s">
        <v>10</v>
      </c>
      <c r="G625" s="38" t="str">
        <f t="shared" si="45"/>
        <v/>
      </c>
      <c r="H625" s="141" t="str">
        <f t="shared" si="46"/>
        <v/>
      </c>
      <c r="J625" s="141" t="str">
        <f t="shared" si="47"/>
        <v/>
      </c>
      <c r="K625" s="141" t="str">
        <f t="shared" si="48"/>
        <v/>
      </c>
      <c r="L625" s="141" t="str">
        <f t="shared" si="49"/>
        <v/>
      </c>
    </row>
    <row r="626" spans="1:12" x14ac:dyDescent="0.3">
      <c r="A626" s="2" t="str">
        <f xml:space="preserve"> IF( 'From SvanPC++'!A626= "", "", ('From SvanPC++'!A626))</f>
        <v/>
      </c>
      <c r="C626" s="6" t="s">
        <v>10</v>
      </c>
      <c r="G626" s="38" t="str">
        <f t="shared" si="45"/>
        <v/>
      </c>
      <c r="H626" s="141" t="str">
        <f t="shared" si="46"/>
        <v/>
      </c>
      <c r="J626" s="141" t="str">
        <f t="shared" si="47"/>
        <v/>
      </c>
      <c r="K626" s="141" t="str">
        <f t="shared" si="48"/>
        <v/>
      </c>
      <c r="L626" s="141" t="str">
        <f t="shared" si="49"/>
        <v/>
      </c>
    </row>
    <row r="627" spans="1:12" x14ac:dyDescent="0.3">
      <c r="A627" s="2" t="str">
        <f xml:space="preserve"> IF( 'From SvanPC++'!A627= "", "", ('From SvanPC++'!A627))</f>
        <v/>
      </c>
      <c r="C627" s="6" t="s">
        <v>10</v>
      </c>
      <c r="G627" s="38" t="str">
        <f t="shared" si="45"/>
        <v/>
      </c>
      <c r="H627" s="141" t="str">
        <f t="shared" si="46"/>
        <v/>
      </c>
      <c r="J627" s="141" t="str">
        <f t="shared" si="47"/>
        <v/>
      </c>
      <c r="K627" s="141" t="str">
        <f t="shared" si="48"/>
        <v/>
      </c>
      <c r="L627" s="141" t="str">
        <f t="shared" si="49"/>
        <v/>
      </c>
    </row>
    <row r="628" spans="1:12" x14ac:dyDescent="0.3">
      <c r="A628" s="2" t="str">
        <f xml:space="preserve"> IF( 'From SvanPC++'!A628= "", "", ('From SvanPC++'!A628))</f>
        <v/>
      </c>
      <c r="C628" s="6" t="s">
        <v>10</v>
      </c>
      <c r="G628" s="38" t="str">
        <f t="shared" si="45"/>
        <v/>
      </c>
      <c r="H628" s="141" t="str">
        <f t="shared" si="46"/>
        <v/>
      </c>
      <c r="J628" s="141" t="str">
        <f t="shared" si="47"/>
        <v/>
      </c>
      <c r="K628" s="141" t="str">
        <f t="shared" si="48"/>
        <v/>
      </c>
      <c r="L628" s="141" t="str">
        <f t="shared" si="49"/>
        <v/>
      </c>
    </row>
    <row r="629" spans="1:12" x14ac:dyDescent="0.3">
      <c r="A629" s="2" t="str">
        <f xml:space="preserve"> IF( 'From SvanPC++'!A629= "", "", ('From SvanPC++'!A629))</f>
        <v/>
      </c>
      <c r="C629" s="6" t="s">
        <v>10</v>
      </c>
      <c r="G629" s="38" t="str">
        <f t="shared" si="45"/>
        <v/>
      </c>
      <c r="H629" s="141" t="str">
        <f t="shared" si="46"/>
        <v/>
      </c>
      <c r="J629" s="141" t="str">
        <f t="shared" si="47"/>
        <v/>
      </c>
      <c r="K629" s="141" t="str">
        <f t="shared" si="48"/>
        <v/>
      </c>
      <c r="L629" s="141" t="str">
        <f t="shared" si="49"/>
        <v/>
      </c>
    </row>
    <row r="630" spans="1:12" x14ac:dyDescent="0.3">
      <c r="A630" s="2" t="str">
        <f xml:space="preserve"> IF( 'From SvanPC++'!A630= "", "", ('From SvanPC++'!A630))</f>
        <v/>
      </c>
      <c r="C630" s="6" t="s">
        <v>10</v>
      </c>
      <c r="G630" s="38" t="str">
        <f t="shared" si="45"/>
        <v/>
      </c>
      <c r="H630" s="141" t="str">
        <f t="shared" si="46"/>
        <v/>
      </c>
      <c r="J630" s="141" t="str">
        <f t="shared" si="47"/>
        <v/>
      </c>
      <c r="K630" s="141" t="str">
        <f t="shared" si="48"/>
        <v/>
      </c>
      <c r="L630" s="141" t="str">
        <f t="shared" si="49"/>
        <v/>
      </c>
    </row>
    <row r="631" spans="1:12" x14ac:dyDescent="0.3">
      <c r="A631" s="2" t="str">
        <f xml:space="preserve"> IF( 'From SvanPC++'!A631= "", "", ('From SvanPC++'!A631))</f>
        <v/>
      </c>
      <c r="C631" s="6" t="s">
        <v>10</v>
      </c>
      <c r="G631" s="38" t="str">
        <f t="shared" si="45"/>
        <v/>
      </c>
      <c r="H631" s="141" t="str">
        <f t="shared" si="46"/>
        <v/>
      </c>
      <c r="J631" s="141" t="str">
        <f t="shared" si="47"/>
        <v/>
      </c>
      <c r="K631" s="141" t="str">
        <f t="shared" si="48"/>
        <v/>
      </c>
      <c r="L631" s="141" t="str">
        <f t="shared" si="49"/>
        <v/>
      </c>
    </row>
    <row r="632" spans="1:12" x14ac:dyDescent="0.3">
      <c r="A632" s="2" t="str">
        <f xml:space="preserve"> IF( 'From SvanPC++'!A632= "", "", ('From SvanPC++'!A632))</f>
        <v/>
      </c>
      <c r="C632" s="6" t="s">
        <v>10</v>
      </c>
      <c r="G632" s="38" t="str">
        <f t="shared" si="45"/>
        <v/>
      </c>
      <c r="H632" s="141" t="str">
        <f t="shared" si="46"/>
        <v/>
      </c>
      <c r="J632" s="141" t="str">
        <f t="shared" si="47"/>
        <v/>
      </c>
      <c r="K632" s="141" t="str">
        <f t="shared" si="48"/>
        <v/>
      </c>
      <c r="L632" s="141" t="str">
        <f t="shared" si="49"/>
        <v/>
      </c>
    </row>
    <row r="633" spans="1:12" x14ac:dyDescent="0.3">
      <c r="A633" s="2" t="str">
        <f xml:space="preserve"> IF( 'From SvanPC++'!A633= "", "", ('From SvanPC++'!A633))</f>
        <v/>
      </c>
      <c r="C633" s="6" t="s">
        <v>10</v>
      </c>
      <c r="G633" s="38" t="str">
        <f t="shared" si="45"/>
        <v/>
      </c>
      <c r="H633" s="141" t="str">
        <f t="shared" si="46"/>
        <v/>
      </c>
      <c r="J633" s="141" t="str">
        <f t="shared" si="47"/>
        <v/>
      </c>
      <c r="K633" s="141" t="str">
        <f t="shared" si="48"/>
        <v/>
      </c>
      <c r="L633" s="141" t="str">
        <f t="shared" si="49"/>
        <v/>
      </c>
    </row>
    <row r="634" spans="1:12" x14ac:dyDescent="0.3">
      <c r="A634" s="2" t="str">
        <f xml:space="preserve"> IF( 'From SvanPC++'!A634= "", "", ('From SvanPC++'!A634))</f>
        <v/>
      </c>
      <c r="C634" s="6" t="s">
        <v>10</v>
      </c>
      <c r="G634" s="38" t="str">
        <f t="shared" si="45"/>
        <v/>
      </c>
      <c r="H634" s="141" t="str">
        <f t="shared" si="46"/>
        <v/>
      </c>
      <c r="J634" s="141" t="str">
        <f t="shared" si="47"/>
        <v/>
      </c>
      <c r="K634" s="141" t="str">
        <f t="shared" si="48"/>
        <v/>
      </c>
      <c r="L634" s="141" t="str">
        <f t="shared" si="49"/>
        <v/>
      </c>
    </row>
    <row r="635" spans="1:12" x14ac:dyDescent="0.3">
      <c r="A635" s="2" t="str">
        <f xml:space="preserve"> IF( 'From SvanPC++'!A635= "", "", ('From SvanPC++'!A635))</f>
        <v/>
      </c>
      <c r="C635" s="6" t="s">
        <v>10</v>
      </c>
      <c r="G635" s="38" t="str">
        <f t="shared" si="45"/>
        <v/>
      </c>
      <c r="H635" s="141" t="str">
        <f t="shared" si="46"/>
        <v/>
      </c>
      <c r="J635" s="141" t="str">
        <f t="shared" si="47"/>
        <v/>
      </c>
      <c r="K635" s="141" t="str">
        <f t="shared" si="48"/>
        <v/>
      </c>
      <c r="L635" s="141" t="str">
        <f t="shared" si="49"/>
        <v/>
      </c>
    </row>
    <row r="636" spans="1:12" x14ac:dyDescent="0.3">
      <c r="A636" s="2" t="str">
        <f xml:space="preserve"> IF( 'From SvanPC++'!A636= "", "", ('From SvanPC++'!A636))</f>
        <v/>
      </c>
      <c r="C636" s="6" t="s">
        <v>10</v>
      </c>
      <c r="G636" s="38" t="str">
        <f t="shared" si="45"/>
        <v/>
      </c>
      <c r="H636" s="141" t="str">
        <f t="shared" si="46"/>
        <v/>
      </c>
      <c r="J636" s="141" t="str">
        <f t="shared" si="47"/>
        <v/>
      </c>
      <c r="K636" s="141" t="str">
        <f t="shared" si="48"/>
        <v/>
      </c>
      <c r="L636" s="141" t="str">
        <f t="shared" si="49"/>
        <v/>
      </c>
    </row>
    <row r="637" spans="1:12" x14ac:dyDescent="0.3">
      <c r="A637" s="2" t="str">
        <f xml:space="preserve"> IF( 'From SvanPC++'!A637= "", "", ('From SvanPC++'!A637))</f>
        <v/>
      </c>
      <c r="C637" s="6" t="s">
        <v>10</v>
      </c>
      <c r="G637" s="38" t="str">
        <f t="shared" si="45"/>
        <v/>
      </c>
      <c r="H637" s="141" t="str">
        <f t="shared" si="46"/>
        <v/>
      </c>
      <c r="J637" s="141" t="str">
        <f t="shared" si="47"/>
        <v/>
      </c>
      <c r="K637" s="141" t="str">
        <f t="shared" si="48"/>
        <v/>
      </c>
      <c r="L637" s="141" t="str">
        <f t="shared" si="49"/>
        <v/>
      </c>
    </row>
    <row r="638" spans="1:12" x14ac:dyDescent="0.3">
      <c r="A638" s="2" t="str">
        <f xml:space="preserve"> IF( 'From SvanPC++'!A638= "", "", ('From SvanPC++'!A638))</f>
        <v/>
      </c>
      <c r="C638" s="6" t="s">
        <v>10</v>
      </c>
      <c r="G638" s="38" t="str">
        <f t="shared" si="45"/>
        <v/>
      </c>
      <c r="H638" s="141" t="str">
        <f t="shared" si="46"/>
        <v/>
      </c>
      <c r="J638" s="141" t="str">
        <f t="shared" si="47"/>
        <v/>
      </c>
      <c r="K638" s="141" t="str">
        <f t="shared" si="48"/>
        <v/>
      </c>
      <c r="L638" s="141" t="str">
        <f t="shared" si="49"/>
        <v/>
      </c>
    </row>
    <row r="639" spans="1:12" x14ac:dyDescent="0.3">
      <c r="A639" s="2" t="str">
        <f xml:space="preserve"> IF( 'From SvanPC++'!A639= "", "", ('From SvanPC++'!A639))</f>
        <v/>
      </c>
      <c r="C639" s="6" t="s">
        <v>10</v>
      </c>
      <c r="G639" s="38" t="str">
        <f t="shared" si="45"/>
        <v/>
      </c>
      <c r="H639" s="141" t="str">
        <f t="shared" si="46"/>
        <v/>
      </c>
      <c r="J639" s="141" t="str">
        <f t="shared" si="47"/>
        <v/>
      </c>
      <c r="K639" s="141" t="str">
        <f t="shared" si="48"/>
        <v/>
      </c>
      <c r="L639" s="141" t="str">
        <f t="shared" si="49"/>
        <v/>
      </c>
    </row>
    <row r="640" spans="1:12" x14ac:dyDescent="0.3">
      <c r="A640" s="2" t="str">
        <f xml:space="preserve"> IF( 'From SvanPC++'!A640= "", "", ('From SvanPC++'!A640))</f>
        <v/>
      </c>
      <c r="C640" s="6" t="s">
        <v>10</v>
      </c>
      <c r="G640" s="38" t="str">
        <f t="shared" si="45"/>
        <v/>
      </c>
      <c r="H640" s="141" t="str">
        <f t="shared" si="46"/>
        <v/>
      </c>
      <c r="J640" s="141" t="str">
        <f t="shared" si="47"/>
        <v/>
      </c>
      <c r="K640" s="141" t="str">
        <f t="shared" si="48"/>
        <v/>
      </c>
      <c r="L640" s="141" t="str">
        <f t="shared" si="49"/>
        <v/>
      </c>
    </row>
    <row r="641" spans="1:12" x14ac:dyDescent="0.3">
      <c r="A641" s="2" t="str">
        <f xml:space="preserve"> IF( 'From SvanPC++'!A641= "", "", ('From SvanPC++'!A641))</f>
        <v/>
      </c>
      <c r="C641" s="6" t="s">
        <v>10</v>
      </c>
      <c r="G641" s="38" t="str">
        <f t="shared" si="45"/>
        <v/>
      </c>
      <c r="H641" s="141" t="str">
        <f t="shared" si="46"/>
        <v/>
      </c>
      <c r="J641" s="141" t="str">
        <f t="shared" si="47"/>
        <v/>
      </c>
      <c r="K641" s="141" t="str">
        <f t="shared" si="48"/>
        <v/>
      </c>
      <c r="L641" s="141" t="str">
        <f t="shared" si="49"/>
        <v/>
      </c>
    </row>
    <row r="642" spans="1:12" x14ac:dyDescent="0.3">
      <c r="A642" s="2" t="str">
        <f xml:space="preserve"> IF( 'From SvanPC++'!A642= "", "", ('From SvanPC++'!A642))</f>
        <v/>
      </c>
      <c r="C642" s="6" t="s">
        <v>10</v>
      </c>
      <c r="G642" s="38" t="str">
        <f t="shared" si="45"/>
        <v/>
      </c>
      <c r="H642" s="141" t="str">
        <f t="shared" si="46"/>
        <v/>
      </c>
      <c r="J642" s="141" t="str">
        <f t="shared" si="47"/>
        <v/>
      </c>
      <c r="K642" s="141" t="str">
        <f t="shared" si="48"/>
        <v/>
      </c>
      <c r="L642" s="141" t="str">
        <f t="shared" si="49"/>
        <v/>
      </c>
    </row>
    <row r="643" spans="1:12" x14ac:dyDescent="0.3">
      <c r="A643" s="2" t="str">
        <f xml:space="preserve"> IF( 'From SvanPC++'!A643= "", "", ('From SvanPC++'!A643))</f>
        <v/>
      </c>
      <c r="C643" s="6" t="s">
        <v>10</v>
      </c>
      <c r="G643" s="38" t="str">
        <f t="shared" si="45"/>
        <v/>
      </c>
      <c r="H643" s="141" t="str">
        <f t="shared" si="46"/>
        <v/>
      </c>
      <c r="J643" s="141" t="str">
        <f t="shared" si="47"/>
        <v/>
      </c>
      <c r="K643" s="141" t="str">
        <f t="shared" si="48"/>
        <v/>
      </c>
      <c r="L643" s="141" t="str">
        <f t="shared" si="49"/>
        <v/>
      </c>
    </row>
    <row r="644" spans="1:12" x14ac:dyDescent="0.3">
      <c r="A644" s="2" t="str">
        <f xml:space="preserve"> IF( 'From SvanPC++'!A644= "", "", ('From SvanPC++'!A644))</f>
        <v/>
      </c>
      <c r="C644" s="6" t="s">
        <v>10</v>
      </c>
      <c r="G644" s="38" t="str">
        <f t="shared" si="45"/>
        <v/>
      </c>
      <c r="H644" s="141" t="str">
        <f t="shared" si="46"/>
        <v/>
      </c>
      <c r="J644" s="141" t="str">
        <f t="shared" si="47"/>
        <v/>
      </c>
      <c r="K644" s="141" t="str">
        <f t="shared" si="48"/>
        <v/>
      </c>
      <c r="L644" s="141" t="str">
        <f t="shared" si="49"/>
        <v/>
      </c>
    </row>
    <row r="645" spans="1:12" x14ac:dyDescent="0.3">
      <c r="A645" s="2" t="str">
        <f xml:space="preserve"> IF( 'From SvanPC++'!A645= "", "", ('From SvanPC++'!A645))</f>
        <v/>
      </c>
      <c r="C645" s="6" t="s">
        <v>10</v>
      </c>
      <c r="G645" s="38" t="str">
        <f t="shared" si="45"/>
        <v/>
      </c>
      <c r="H645" s="141" t="str">
        <f t="shared" si="46"/>
        <v/>
      </c>
      <c r="J645" s="141" t="str">
        <f t="shared" si="47"/>
        <v/>
      </c>
      <c r="K645" s="141" t="str">
        <f t="shared" si="48"/>
        <v/>
      </c>
      <c r="L645" s="141" t="str">
        <f t="shared" si="49"/>
        <v/>
      </c>
    </row>
    <row r="646" spans="1:12" x14ac:dyDescent="0.3">
      <c r="A646" s="2" t="str">
        <f xml:space="preserve"> IF( 'From SvanPC++'!A646= "", "", ('From SvanPC++'!A646))</f>
        <v/>
      </c>
      <c r="C646" s="6" t="s">
        <v>10</v>
      </c>
      <c r="G646" s="38" t="str">
        <f t="shared" si="45"/>
        <v/>
      </c>
      <c r="H646" s="141" t="str">
        <f t="shared" si="46"/>
        <v/>
      </c>
      <c r="J646" s="141" t="str">
        <f t="shared" si="47"/>
        <v/>
      </c>
      <c r="K646" s="141" t="str">
        <f t="shared" si="48"/>
        <v/>
      </c>
      <c r="L646" s="141" t="str">
        <f t="shared" si="49"/>
        <v/>
      </c>
    </row>
    <row r="647" spans="1:12" x14ac:dyDescent="0.3">
      <c r="A647" s="2" t="str">
        <f xml:space="preserve"> IF( 'From SvanPC++'!A647= "", "", ('From SvanPC++'!A647))</f>
        <v/>
      </c>
      <c r="C647" s="6" t="s">
        <v>10</v>
      </c>
      <c r="G647" s="38" t="str">
        <f t="shared" ref="G647:G710" si="50" xml:space="preserve"> IF( D647= "", "", ( IF( AND( D647 &gt;= TIMEVALUE( "07:00:01" ), D647 &lt; TIMEVALUE( "08:00:01" ) ) = TRUE, (G646+1), (G646+0) )))</f>
        <v/>
      </c>
      <c r="H647" s="141" t="str">
        <f t="shared" ref="H647:H710" si="51" xml:space="preserve"> IF( D647= "", "", (
IF( AND( D647 &gt;= TIMEVALUE( "07:00:01" ), D647 &lt;= TIMEVALUE( "18:00:00" ), WEEKDAY( C647,1+N("            Weekday Day Period              ")) &gt;=2, ( WEEKDAY( C647,1) &lt;=6) ) = TRUE, "Day",
IF( AND( D647 &gt;= TIMEVALUE( "18:00:01" ), D647 &lt;= TIMEVALUE( "22:00:00" ), WEEKDAY( C647,1+N("            Weekday Evening Period          ")) &gt;=2, ( WEEKDAY( C647,1) &lt;=6) ) = TRUE, "Evening",
IF( AND( D647 &gt;= TIMEVALUE( "22:00:01" ), D647 &lt;= TIMEVALUE( "23:59:59" ), WEEKDAY( C647,1+N("            Weekday Night Period            ")) &gt;=2, ( WEEKDAY( C647,1) &lt;=6) ) = TRUE, "Night",
IF( AND( D647 &gt;= TIMEVALUE( "00:00:00" ), D647 &lt;= TIMEVALUE( "07:00:00" ), WEEKDAY( C647,1+N("            Weekday Night Period            ")) &gt;=2, ( WEEKDAY( C647,1) &lt;=6) ) = TRUE, "Night",
IF( AND( D647 &gt;= TIMEVALUE( "07:00:01" ), D647 &lt;= TIMEVALUE( "18:00:00" ), WEEKDAY( C647) =(7+N("         Saturday Day Period             ")) ) = TRUE, "Day",
IF( AND( D647 &gt;= TIMEVALUE( "18:00:01" ), D647 &lt;= TIMEVALUE( "22:00:00" ), WEEKDAY( C647) =(7+N("         Saturday Evening Period         ")) ) = TRUE, "Evening",
IF( AND( D647 &gt;= TIMEVALUE( "22:00:01" ), D647 &lt;= TIMEVALUE( "23:59:59" ), WEEKDAY( C647) =(7+N("         Saturday Night Period           ")) ) = TRUE, "Night",
IF( AND( D647 &gt;= TIMEVALUE( "00:00:00" ), D647 &lt;= TIMEVALUE( "07:00:00" ), WEEKDAY( C647) =(7+N("         Saturday Night Period           ")) ) = TRUE, "Night",
IF( AND( D647 &gt;= TIMEVALUE( "07:00:01" ), D647 &lt;= TIMEVALUE( "22:00:00" ), WEEKDAY( C647) =(1+N("         Sunday Evening Period           ")) ) = TRUE, "Evening",
IF( AND( D647 &gt;= TIMEVALUE( "20:00:01" ), D647 &lt;= TIMEVALUE( "23:59:59" ), WEEKDAY( C647) =(1+N("         Sunday Night Period             ")) ) = TRUE, "Night",
IF( AND( D647 &gt;= TIMEVALUE( "00:00:00" ), D647 &lt;= TIMEVALUE( "07:00:00" ), WEEKDAY( C647) =(1+N("         Sunday Night Period             ")) ) = TRUE, "Night",
)))))))))))))</f>
        <v/>
      </c>
      <c r="J647" s="141" t="str">
        <f t="shared" si="47"/>
        <v/>
      </c>
      <c r="K647" s="141" t="str">
        <f t="shared" si="48"/>
        <v/>
      </c>
      <c r="L647" s="141" t="str">
        <f t="shared" si="49"/>
        <v/>
      </c>
    </row>
    <row r="648" spans="1:12" x14ac:dyDescent="0.3">
      <c r="A648" s="2" t="str">
        <f xml:space="preserve"> IF( 'From SvanPC++'!A648= "", "", ('From SvanPC++'!A648))</f>
        <v/>
      </c>
      <c r="C648" s="6" t="s">
        <v>10</v>
      </c>
      <c r="G648" s="38" t="str">
        <f t="shared" si="50"/>
        <v/>
      </c>
      <c r="H648" s="141" t="str">
        <f t="shared" si="51"/>
        <v/>
      </c>
      <c r="J648" s="141" t="str">
        <f t="shared" ref="J648:J711" si="52" xml:space="preserve"> IF( ISERROR( IF( D648= "", "", ( IF( G648= (G647+1), ( AVERAGEIFS( E648:E792, G648:G792, G648, H648:H792, "Day" )), "" )))), "",( IF( D648= "", "", ( IF( G648= (G647+1), ( AVERAGEIFS( E648:E792, G648:G792, G648, H648:H792, "Day" )), "" )))))</f>
        <v/>
      </c>
      <c r="K648" s="141" t="str">
        <f t="shared" ref="K648:K711" si="53" xml:space="preserve"> IF( ISERROR( IF( D648= "", "", ( IF( G648= (G647+1), ( AVERAGEIFS( E648:E792, G648:G792, G648, H648:H792, "Evening" )), "" )))), "",( IF( D648= "", "", ( IF( G648= (G647+1), ( AVERAGEIFS( E648:E792, G648:G792, G648, H648:H792, "Evening" )), "" )))))</f>
        <v/>
      </c>
      <c r="L648" s="141" t="str">
        <f t="shared" ref="L648:L711" si="54" xml:space="preserve"> IF( ISERROR( IF( D648= "", "", ( IF( G648= (G647+1), ( AVERAGEIFS( E648:E792, G648:G792, G648, H648:H792, "Night" )), "" )))), "",( IF( D648= "", "", ( IF( G648= (G647+1), ( AVERAGEIFS( E648:E792, G648:G792, G648, H648:H792, "Night" )), "" )))))</f>
        <v/>
      </c>
    </row>
    <row r="649" spans="1:12" x14ac:dyDescent="0.3">
      <c r="A649" s="2" t="str">
        <f xml:space="preserve"> IF( 'From SvanPC++'!A649= "", "", ('From SvanPC++'!A649))</f>
        <v/>
      </c>
      <c r="C649" s="6" t="s">
        <v>10</v>
      </c>
      <c r="G649" s="38" t="str">
        <f t="shared" si="50"/>
        <v/>
      </c>
      <c r="H649" s="141" t="str">
        <f t="shared" si="51"/>
        <v/>
      </c>
      <c r="J649" s="141" t="str">
        <f t="shared" si="52"/>
        <v/>
      </c>
      <c r="K649" s="141" t="str">
        <f t="shared" si="53"/>
        <v/>
      </c>
      <c r="L649" s="141" t="str">
        <f t="shared" si="54"/>
        <v/>
      </c>
    </row>
    <row r="650" spans="1:12" x14ac:dyDescent="0.3">
      <c r="A650" s="2" t="str">
        <f xml:space="preserve"> IF( 'From SvanPC++'!A650= "", "", ('From SvanPC++'!A650))</f>
        <v/>
      </c>
      <c r="C650" s="6" t="s">
        <v>10</v>
      </c>
      <c r="G650" s="38" t="str">
        <f t="shared" si="50"/>
        <v/>
      </c>
      <c r="H650" s="141" t="str">
        <f t="shared" si="51"/>
        <v/>
      </c>
      <c r="J650" s="141" t="str">
        <f t="shared" si="52"/>
        <v/>
      </c>
      <c r="K650" s="141" t="str">
        <f t="shared" si="53"/>
        <v/>
      </c>
      <c r="L650" s="141" t="str">
        <f t="shared" si="54"/>
        <v/>
      </c>
    </row>
    <row r="651" spans="1:12" x14ac:dyDescent="0.3">
      <c r="A651" s="2" t="str">
        <f xml:space="preserve"> IF( 'From SvanPC++'!A651= "", "", ('From SvanPC++'!A651))</f>
        <v/>
      </c>
      <c r="C651" s="6" t="s">
        <v>10</v>
      </c>
      <c r="G651" s="38" t="str">
        <f t="shared" si="50"/>
        <v/>
      </c>
      <c r="H651" s="141" t="str">
        <f t="shared" si="51"/>
        <v/>
      </c>
      <c r="J651" s="141" t="str">
        <f t="shared" si="52"/>
        <v/>
      </c>
      <c r="K651" s="141" t="str">
        <f t="shared" si="53"/>
        <v/>
      </c>
      <c r="L651" s="141" t="str">
        <f t="shared" si="54"/>
        <v/>
      </c>
    </row>
    <row r="652" spans="1:12" x14ac:dyDescent="0.3">
      <c r="A652" s="2" t="str">
        <f xml:space="preserve"> IF( 'From SvanPC++'!A652= "", "", ('From SvanPC++'!A652))</f>
        <v/>
      </c>
      <c r="C652" s="6" t="s">
        <v>10</v>
      </c>
      <c r="G652" s="38" t="str">
        <f t="shared" si="50"/>
        <v/>
      </c>
      <c r="H652" s="141" t="str">
        <f t="shared" si="51"/>
        <v/>
      </c>
      <c r="J652" s="141" t="str">
        <f t="shared" si="52"/>
        <v/>
      </c>
      <c r="K652" s="141" t="str">
        <f t="shared" si="53"/>
        <v/>
      </c>
      <c r="L652" s="141" t="str">
        <f t="shared" si="54"/>
        <v/>
      </c>
    </row>
    <row r="653" spans="1:12" x14ac:dyDescent="0.3">
      <c r="A653" s="2" t="str">
        <f xml:space="preserve"> IF( 'From SvanPC++'!A653= "", "", ('From SvanPC++'!A653))</f>
        <v/>
      </c>
      <c r="C653" s="6" t="s">
        <v>10</v>
      </c>
      <c r="G653" s="38" t="str">
        <f t="shared" si="50"/>
        <v/>
      </c>
      <c r="H653" s="141" t="str">
        <f t="shared" si="51"/>
        <v/>
      </c>
      <c r="J653" s="141" t="str">
        <f t="shared" si="52"/>
        <v/>
      </c>
      <c r="K653" s="141" t="str">
        <f t="shared" si="53"/>
        <v/>
      </c>
      <c r="L653" s="141" t="str">
        <f t="shared" si="54"/>
        <v/>
      </c>
    </row>
    <row r="654" spans="1:12" x14ac:dyDescent="0.3">
      <c r="A654" s="2" t="str">
        <f xml:space="preserve"> IF( 'From SvanPC++'!A654= "", "", ('From SvanPC++'!A654))</f>
        <v/>
      </c>
      <c r="C654" s="6" t="s">
        <v>10</v>
      </c>
      <c r="G654" s="38" t="str">
        <f t="shared" si="50"/>
        <v/>
      </c>
      <c r="H654" s="141" t="str">
        <f t="shared" si="51"/>
        <v/>
      </c>
      <c r="J654" s="141" t="str">
        <f t="shared" si="52"/>
        <v/>
      </c>
      <c r="K654" s="141" t="str">
        <f t="shared" si="53"/>
        <v/>
      </c>
      <c r="L654" s="141" t="str">
        <f t="shared" si="54"/>
        <v/>
      </c>
    </row>
    <row r="655" spans="1:12" x14ac:dyDescent="0.3">
      <c r="A655" s="2" t="str">
        <f xml:space="preserve"> IF( 'From SvanPC++'!A655= "", "", ('From SvanPC++'!A655))</f>
        <v/>
      </c>
      <c r="C655" s="6" t="s">
        <v>10</v>
      </c>
      <c r="G655" s="38" t="str">
        <f t="shared" si="50"/>
        <v/>
      </c>
      <c r="H655" s="141" t="str">
        <f t="shared" si="51"/>
        <v/>
      </c>
      <c r="J655" s="141" t="str">
        <f t="shared" si="52"/>
        <v/>
      </c>
      <c r="K655" s="141" t="str">
        <f t="shared" si="53"/>
        <v/>
      </c>
      <c r="L655" s="141" t="str">
        <f t="shared" si="54"/>
        <v/>
      </c>
    </row>
    <row r="656" spans="1:12" x14ac:dyDescent="0.3">
      <c r="A656" s="2" t="str">
        <f xml:space="preserve"> IF( 'From SvanPC++'!A656= "", "", ('From SvanPC++'!A656))</f>
        <v/>
      </c>
      <c r="C656" s="6" t="s">
        <v>10</v>
      </c>
      <c r="G656" s="38" t="str">
        <f t="shared" si="50"/>
        <v/>
      </c>
      <c r="H656" s="141" t="str">
        <f t="shared" si="51"/>
        <v/>
      </c>
      <c r="J656" s="141" t="str">
        <f t="shared" si="52"/>
        <v/>
      </c>
      <c r="K656" s="141" t="str">
        <f t="shared" si="53"/>
        <v/>
      </c>
      <c r="L656" s="141" t="str">
        <f t="shared" si="54"/>
        <v/>
      </c>
    </row>
    <row r="657" spans="1:12" x14ac:dyDescent="0.3">
      <c r="A657" s="2" t="str">
        <f xml:space="preserve"> IF( 'From SvanPC++'!A657= "", "", ('From SvanPC++'!A657))</f>
        <v/>
      </c>
      <c r="C657" s="6" t="s">
        <v>10</v>
      </c>
      <c r="G657" s="38" t="str">
        <f t="shared" si="50"/>
        <v/>
      </c>
      <c r="H657" s="141" t="str">
        <f t="shared" si="51"/>
        <v/>
      </c>
      <c r="J657" s="141" t="str">
        <f t="shared" si="52"/>
        <v/>
      </c>
      <c r="K657" s="141" t="str">
        <f t="shared" si="53"/>
        <v/>
      </c>
      <c r="L657" s="141" t="str">
        <f t="shared" si="54"/>
        <v/>
      </c>
    </row>
    <row r="658" spans="1:12" x14ac:dyDescent="0.3">
      <c r="A658" s="2" t="str">
        <f xml:space="preserve"> IF( 'From SvanPC++'!A658= "", "", ('From SvanPC++'!A658))</f>
        <v/>
      </c>
      <c r="C658" s="6" t="s">
        <v>10</v>
      </c>
      <c r="G658" s="38" t="str">
        <f t="shared" si="50"/>
        <v/>
      </c>
      <c r="H658" s="141" t="str">
        <f t="shared" si="51"/>
        <v/>
      </c>
      <c r="J658" s="141" t="str">
        <f t="shared" si="52"/>
        <v/>
      </c>
      <c r="K658" s="141" t="str">
        <f t="shared" si="53"/>
        <v/>
      </c>
      <c r="L658" s="141" t="str">
        <f t="shared" si="54"/>
        <v/>
      </c>
    </row>
    <row r="659" spans="1:12" x14ac:dyDescent="0.3">
      <c r="A659" s="2" t="str">
        <f xml:space="preserve"> IF( 'From SvanPC++'!A659= "", "", ('From SvanPC++'!A659))</f>
        <v/>
      </c>
      <c r="C659" s="6" t="s">
        <v>10</v>
      </c>
      <c r="G659" s="38" t="str">
        <f t="shared" si="50"/>
        <v/>
      </c>
      <c r="H659" s="141" t="str">
        <f t="shared" si="51"/>
        <v/>
      </c>
      <c r="J659" s="141" t="str">
        <f t="shared" si="52"/>
        <v/>
      </c>
      <c r="K659" s="141" t="str">
        <f t="shared" si="53"/>
        <v/>
      </c>
      <c r="L659" s="141" t="str">
        <f t="shared" si="54"/>
        <v/>
      </c>
    </row>
    <row r="660" spans="1:12" x14ac:dyDescent="0.3">
      <c r="A660" s="2" t="str">
        <f xml:space="preserve"> IF( 'From SvanPC++'!A660= "", "", ('From SvanPC++'!A660))</f>
        <v/>
      </c>
      <c r="C660" s="6" t="s">
        <v>10</v>
      </c>
      <c r="G660" s="38" t="str">
        <f t="shared" si="50"/>
        <v/>
      </c>
      <c r="H660" s="141" t="str">
        <f t="shared" si="51"/>
        <v/>
      </c>
      <c r="J660" s="141" t="str">
        <f t="shared" si="52"/>
        <v/>
      </c>
      <c r="K660" s="141" t="str">
        <f t="shared" si="53"/>
        <v/>
      </c>
      <c r="L660" s="141" t="str">
        <f t="shared" si="54"/>
        <v/>
      </c>
    </row>
    <row r="661" spans="1:12" x14ac:dyDescent="0.3">
      <c r="A661" s="2" t="str">
        <f xml:space="preserve"> IF( 'From SvanPC++'!A661= "", "", ('From SvanPC++'!A661))</f>
        <v/>
      </c>
      <c r="C661" s="6" t="s">
        <v>10</v>
      </c>
      <c r="G661" s="38" t="str">
        <f t="shared" si="50"/>
        <v/>
      </c>
      <c r="H661" s="141" t="str">
        <f t="shared" si="51"/>
        <v/>
      </c>
      <c r="J661" s="141" t="str">
        <f t="shared" si="52"/>
        <v/>
      </c>
      <c r="K661" s="141" t="str">
        <f t="shared" si="53"/>
        <v/>
      </c>
      <c r="L661" s="141" t="str">
        <f t="shared" si="54"/>
        <v/>
      </c>
    </row>
    <row r="662" spans="1:12" x14ac:dyDescent="0.3">
      <c r="A662" s="2" t="str">
        <f xml:space="preserve"> IF( 'From SvanPC++'!A662= "", "", ('From SvanPC++'!A662))</f>
        <v/>
      </c>
      <c r="C662" s="6" t="s">
        <v>10</v>
      </c>
      <c r="G662" s="38" t="str">
        <f t="shared" si="50"/>
        <v/>
      </c>
      <c r="H662" s="141" t="str">
        <f t="shared" si="51"/>
        <v/>
      </c>
      <c r="J662" s="141" t="str">
        <f t="shared" si="52"/>
        <v/>
      </c>
      <c r="K662" s="141" t="str">
        <f t="shared" si="53"/>
        <v/>
      </c>
      <c r="L662" s="141" t="str">
        <f t="shared" si="54"/>
        <v/>
      </c>
    </row>
    <row r="663" spans="1:12" x14ac:dyDescent="0.3">
      <c r="A663" s="2" t="str">
        <f xml:space="preserve"> IF( 'From SvanPC++'!A663= "", "", ('From SvanPC++'!A663))</f>
        <v/>
      </c>
      <c r="C663" s="6" t="s">
        <v>10</v>
      </c>
      <c r="G663" s="38" t="str">
        <f t="shared" si="50"/>
        <v/>
      </c>
      <c r="H663" s="141" t="str">
        <f t="shared" si="51"/>
        <v/>
      </c>
      <c r="J663" s="141" t="str">
        <f t="shared" si="52"/>
        <v/>
      </c>
      <c r="K663" s="141" t="str">
        <f t="shared" si="53"/>
        <v/>
      </c>
      <c r="L663" s="141" t="str">
        <f t="shared" si="54"/>
        <v/>
      </c>
    </row>
    <row r="664" spans="1:12" x14ac:dyDescent="0.3">
      <c r="A664" s="2" t="str">
        <f xml:space="preserve"> IF( 'From SvanPC++'!A664= "", "", ('From SvanPC++'!A664))</f>
        <v/>
      </c>
      <c r="C664" s="6" t="s">
        <v>10</v>
      </c>
      <c r="G664" s="38" t="str">
        <f t="shared" si="50"/>
        <v/>
      </c>
      <c r="H664" s="141" t="str">
        <f t="shared" si="51"/>
        <v/>
      </c>
      <c r="J664" s="141" t="str">
        <f t="shared" si="52"/>
        <v/>
      </c>
      <c r="K664" s="141" t="str">
        <f t="shared" si="53"/>
        <v/>
      </c>
      <c r="L664" s="141" t="str">
        <f t="shared" si="54"/>
        <v/>
      </c>
    </row>
    <row r="665" spans="1:12" x14ac:dyDescent="0.3">
      <c r="A665" s="2" t="str">
        <f xml:space="preserve"> IF( 'From SvanPC++'!A665= "", "", ('From SvanPC++'!A665))</f>
        <v/>
      </c>
      <c r="C665" s="6" t="s">
        <v>10</v>
      </c>
      <c r="G665" s="38" t="str">
        <f t="shared" si="50"/>
        <v/>
      </c>
      <c r="H665" s="141" t="str">
        <f t="shared" si="51"/>
        <v/>
      </c>
      <c r="J665" s="141" t="str">
        <f t="shared" si="52"/>
        <v/>
      </c>
      <c r="K665" s="141" t="str">
        <f t="shared" si="53"/>
        <v/>
      </c>
      <c r="L665" s="141" t="str">
        <f t="shared" si="54"/>
        <v/>
      </c>
    </row>
    <row r="666" spans="1:12" x14ac:dyDescent="0.3">
      <c r="A666" s="2" t="str">
        <f xml:space="preserve"> IF( 'From SvanPC++'!A666= "", "", ('From SvanPC++'!A666))</f>
        <v/>
      </c>
      <c r="C666" s="6" t="s">
        <v>10</v>
      </c>
      <c r="G666" s="38" t="str">
        <f t="shared" si="50"/>
        <v/>
      </c>
      <c r="H666" s="141" t="str">
        <f t="shared" si="51"/>
        <v/>
      </c>
      <c r="J666" s="141" t="str">
        <f t="shared" si="52"/>
        <v/>
      </c>
      <c r="K666" s="141" t="str">
        <f t="shared" si="53"/>
        <v/>
      </c>
      <c r="L666" s="141" t="str">
        <f t="shared" si="54"/>
        <v/>
      </c>
    </row>
    <row r="667" spans="1:12" x14ac:dyDescent="0.3">
      <c r="A667" s="2" t="str">
        <f xml:space="preserve"> IF( 'From SvanPC++'!A667= "", "", ('From SvanPC++'!A667))</f>
        <v/>
      </c>
      <c r="C667" s="6" t="s">
        <v>10</v>
      </c>
      <c r="G667" s="38" t="str">
        <f t="shared" si="50"/>
        <v/>
      </c>
      <c r="H667" s="141" t="str">
        <f t="shared" si="51"/>
        <v/>
      </c>
      <c r="J667" s="141" t="str">
        <f t="shared" si="52"/>
        <v/>
      </c>
      <c r="K667" s="141" t="str">
        <f t="shared" si="53"/>
        <v/>
      </c>
      <c r="L667" s="141" t="str">
        <f t="shared" si="54"/>
        <v/>
      </c>
    </row>
    <row r="668" spans="1:12" x14ac:dyDescent="0.3">
      <c r="A668" s="2" t="str">
        <f xml:space="preserve"> IF( 'From SvanPC++'!A668= "", "", ('From SvanPC++'!A668))</f>
        <v/>
      </c>
      <c r="C668" s="6" t="s">
        <v>10</v>
      </c>
      <c r="G668" s="38" t="str">
        <f t="shared" si="50"/>
        <v/>
      </c>
      <c r="H668" s="141" t="str">
        <f t="shared" si="51"/>
        <v/>
      </c>
      <c r="J668" s="141" t="str">
        <f t="shared" si="52"/>
        <v/>
      </c>
      <c r="K668" s="141" t="str">
        <f t="shared" si="53"/>
        <v/>
      </c>
      <c r="L668" s="141" t="str">
        <f t="shared" si="54"/>
        <v/>
      </c>
    </row>
    <row r="669" spans="1:12" x14ac:dyDescent="0.3">
      <c r="A669" s="2" t="str">
        <f xml:space="preserve"> IF( 'From SvanPC++'!A669= "", "", ('From SvanPC++'!A669))</f>
        <v/>
      </c>
      <c r="C669" s="6" t="s">
        <v>10</v>
      </c>
      <c r="G669" s="38" t="str">
        <f t="shared" si="50"/>
        <v/>
      </c>
      <c r="H669" s="141" t="str">
        <f t="shared" si="51"/>
        <v/>
      </c>
      <c r="J669" s="141" t="str">
        <f t="shared" si="52"/>
        <v/>
      </c>
      <c r="K669" s="141" t="str">
        <f t="shared" si="53"/>
        <v/>
      </c>
      <c r="L669" s="141" t="str">
        <f t="shared" si="54"/>
        <v/>
      </c>
    </row>
    <row r="670" spans="1:12" x14ac:dyDescent="0.3">
      <c r="A670" s="2" t="str">
        <f xml:space="preserve"> IF( 'From SvanPC++'!A670= "", "", ('From SvanPC++'!A670))</f>
        <v/>
      </c>
      <c r="C670" s="6" t="s">
        <v>10</v>
      </c>
      <c r="G670" s="38" t="str">
        <f t="shared" si="50"/>
        <v/>
      </c>
      <c r="H670" s="141" t="str">
        <f t="shared" si="51"/>
        <v/>
      </c>
      <c r="J670" s="141" t="str">
        <f t="shared" si="52"/>
        <v/>
      </c>
      <c r="K670" s="141" t="str">
        <f t="shared" si="53"/>
        <v/>
      </c>
      <c r="L670" s="141" t="str">
        <f t="shared" si="54"/>
        <v/>
      </c>
    </row>
    <row r="671" spans="1:12" x14ac:dyDescent="0.3">
      <c r="A671" s="2" t="str">
        <f xml:space="preserve"> IF( 'From SvanPC++'!A671= "", "", ('From SvanPC++'!A671))</f>
        <v/>
      </c>
      <c r="C671" s="6" t="s">
        <v>10</v>
      </c>
      <c r="G671" s="38" t="str">
        <f t="shared" si="50"/>
        <v/>
      </c>
      <c r="H671" s="141" t="str">
        <f t="shared" si="51"/>
        <v/>
      </c>
      <c r="J671" s="141" t="str">
        <f t="shared" si="52"/>
        <v/>
      </c>
      <c r="K671" s="141" t="str">
        <f t="shared" si="53"/>
        <v/>
      </c>
      <c r="L671" s="141" t="str">
        <f t="shared" si="54"/>
        <v/>
      </c>
    </row>
    <row r="672" spans="1:12" x14ac:dyDescent="0.3">
      <c r="A672" s="2" t="str">
        <f xml:space="preserve"> IF( 'From SvanPC++'!A672= "", "", ('From SvanPC++'!A672))</f>
        <v/>
      </c>
      <c r="C672" s="6" t="s">
        <v>10</v>
      </c>
      <c r="G672" s="38" t="str">
        <f t="shared" si="50"/>
        <v/>
      </c>
      <c r="H672" s="141" t="str">
        <f t="shared" si="51"/>
        <v/>
      </c>
      <c r="J672" s="141" t="str">
        <f t="shared" si="52"/>
        <v/>
      </c>
      <c r="K672" s="141" t="str">
        <f t="shared" si="53"/>
        <v/>
      </c>
      <c r="L672" s="141" t="str">
        <f t="shared" si="54"/>
        <v/>
      </c>
    </row>
    <row r="673" spans="1:12" x14ac:dyDescent="0.3">
      <c r="A673" s="2" t="str">
        <f xml:space="preserve"> IF( 'From SvanPC++'!A673= "", "", ('From SvanPC++'!A673))</f>
        <v/>
      </c>
      <c r="C673" s="6" t="s">
        <v>10</v>
      </c>
      <c r="G673" s="38" t="str">
        <f t="shared" si="50"/>
        <v/>
      </c>
      <c r="H673" s="141" t="str">
        <f t="shared" si="51"/>
        <v/>
      </c>
      <c r="J673" s="141" t="str">
        <f t="shared" si="52"/>
        <v/>
      </c>
      <c r="K673" s="141" t="str">
        <f t="shared" si="53"/>
        <v/>
      </c>
      <c r="L673" s="141" t="str">
        <f t="shared" si="54"/>
        <v/>
      </c>
    </row>
    <row r="674" spans="1:12" x14ac:dyDescent="0.3">
      <c r="A674" s="2" t="str">
        <f xml:space="preserve"> IF( 'From SvanPC++'!A674= "", "", ('From SvanPC++'!A674))</f>
        <v/>
      </c>
      <c r="C674" s="6" t="s">
        <v>10</v>
      </c>
      <c r="G674" s="38" t="str">
        <f t="shared" si="50"/>
        <v/>
      </c>
      <c r="H674" s="141" t="str">
        <f t="shared" si="51"/>
        <v/>
      </c>
      <c r="J674" s="141" t="str">
        <f t="shared" si="52"/>
        <v/>
      </c>
      <c r="K674" s="141" t="str">
        <f t="shared" si="53"/>
        <v/>
      </c>
      <c r="L674" s="141" t="str">
        <f t="shared" si="54"/>
        <v/>
      </c>
    </row>
    <row r="675" spans="1:12" x14ac:dyDescent="0.3">
      <c r="A675" s="2" t="str">
        <f xml:space="preserve"> IF( 'From SvanPC++'!A675= "", "", ('From SvanPC++'!A675))</f>
        <v/>
      </c>
      <c r="C675" s="6" t="s">
        <v>10</v>
      </c>
      <c r="G675" s="38" t="str">
        <f t="shared" si="50"/>
        <v/>
      </c>
      <c r="H675" s="141" t="str">
        <f t="shared" si="51"/>
        <v/>
      </c>
      <c r="J675" s="141" t="str">
        <f t="shared" si="52"/>
        <v/>
      </c>
      <c r="K675" s="141" t="str">
        <f t="shared" si="53"/>
        <v/>
      </c>
      <c r="L675" s="141" t="str">
        <f t="shared" si="54"/>
        <v/>
      </c>
    </row>
    <row r="676" spans="1:12" x14ac:dyDescent="0.3">
      <c r="A676" s="2" t="str">
        <f xml:space="preserve"> IF( 'From SvanPC++'!A676= "", "", ('From SvanPC++'!A676))</f>
        <v/>
      </c>
      <c r="C676" s="6" t="s">
        <v>10</v>
      </c>
      <c r="G676" s="38" t="str">
        <f t="shared" si="50"/>
        <v/>
      </c>
      <c r="H676" s="141" t="str">
        <f t="shared" si="51"/>
        <v/>
      </c>
      <c r="J676" s="141" t="str">
        <f t="shared" si="52"/>
        <v/>
      </c>
      <c r="K676" s="141" t="str">
        <f t="shared" si="53"/>
        <v/>
      </c>
      <c r="L676" s="141" t="str">
        <f t="shared" si="54"/>
        <v/>
      </c>
    </row>
    <row r="677" spans="1:12" x14ac:dyDescent="0.3">
      <c r="A677" s="2" t="str">
        <f xml:space="preserve"> IF( 'From SvanPC++'!A677= "", "", ('From SvanPC++'!A677))</f>
        <v/>
      </c>
      <c r="C677" s="6" t="s">
        <v>10</v>
      </c>
      <c r="G677" s="38" t="str">
        <f t="shared" si="50"/>
        <v/>
      </c>
      <c r="H677" s="141" t="str">
        <f t="shared" si="51"/>
        <v/>
      </c>
      <c r="J677" s="141" t="str">
        <f t="shared" si="52"/>
        <v/>
      </c>
      <c r="K677" s="141" t="str">
        <f t="shared" si="53"/>
        <v/>
      </c>
      <c r="L677" s="141" t="str">
        <f t="shared" si="54"/>
        <v/>
      </c>
    </row>
    <row r="678" spans="1:12" x14ac:dyDescent="0.3">
      <c r="A678" s="2" t="str">
        <f xml:space="preserve"> IF( 'From SvanPC++'!A678= "", "", ('From SvanPC++'!A678))</f>
        <v/>
      </c>
      <c r="C678" s="6" t="s">
        <v>10</v>
      </c>
      <c r="G678" s="38" t="str">
        <f t="shared" si="50"/>
        <v/>
      </c>
      <c r="H678" s="141" t="str">
        <f t="shared" si="51"/>
        <v/>
      </c>
      <c r="J678" s="141" t="str">
        <f t="shared" si="52"/>
        <v/>
      </c>
      <c r="K678" s="141" t="str">
        <f t="shared" si="53"/>
        <v/>
      </c>
      <c r="L678" s="141" t="str">
        <f t="shared" si="54"/>
        <v/>
      </c>
    </row>
    <row r="679" spans="1:12" x14ac:dyDescent="0.3">
      <c r="A679" s="2" t="str">
        <f xml:space="preserve"> IF( 'From SvanPC++'!A679= "", "", ('From SvanPC++'!A679))</f>
        <v/>
      </c>
      <c r="C679" s="6" t="s">
        <v>10</v>
      </c>
      <c r="G679" s="38" t="str">
        <f t="shared" si="50"/>
        <v/>
      </c>
      <c r="H679" s="141" t="str">
        <f t="shared" si="51"/>
        <v/>
      </c>
      <c r="J679" s="141" t="str">
        <f t="shared" si="52"/>
        <v/>
      </c>
      <c r="K679" s="141" t="str">
        <f t="shared" si="53"/>
        <v/>
      </c>
      <c r="L679" s="141" t="str">
        <f t="shared" si="54"/>
        <v/>
      </c>
    </row>
    <row r="680" spans="1:12" x14ac:dyDescent="0.3">
      <c r="A680" s="2" t="str">
        <f xml:space="preserve"> IF( 'From SvanPC++'!A680= "", "", ('From SvanPC++'!A680))</f>
        <v/>
      </c>
      <c r="C680" s="6" t="s">
        <v>10</v>
      </c>
      <c r="G680" s="38" t="str">
        <f t="shared" si="50"/>
        <v/>
      </c>
      <c r="H680" s="141" t="str">
        <f t="shared" si="51"/>
        <v/>
      </c>
      <c r="J680" s="141" t="str">
        <f t="shared" si="52"/>
        <v/>
      </c>
      <c r="K680" s="141" t="str">
        <f t="shared" si="53"/>
        <v/>
      </c>
      <c r="L680" s="141" t="str">
        <f t="shared" si="54"/>
        <v/>
      </c>
    </row>
    <row r="681" spans="1:12" x14ac:dyDescent="0.3">
      <c r="A681" s="2" t="str">
        <f xml:space="preserve"> IF( 'From SvanPC++'!A681= "", "", ('From SvanPC++'!A681))</f>
        <v/>
      </c>
      <c r="C681" s="6" t="s">
        <v>10</v>
      </c>
      <c r="G681" s="38" t="str">
        <f t="shared" si="50"/>
        <v/>
      </c>
      <c r="H681" s="141" t="str">
        <f t="shared" si="51"/>
        <v/>
      </c>
      <c r="J681" s="141" t="str">
        <f t="shared" si="52"/>
        <v/>
      </c>
      <c r="K681" s="141" t="str">
        <f t="shared" si="53"/>
        <v/>
      </c>
      <c r="L681" s="141" t="str">
        <f t="shared" si="54"/>
        <v/>
      </c>
    </row>
    <row r="682" spans="1:12" x14ac:dyDescent="0.3">
      <c r="A682" s="2" t="str">
        <f xml:space="preserve"> IF( 'From SvanPC++'!A682= "", "", ('From SvanPC++'!A682))</f>
        <v/>
      </c>
      <c r="C682" s="6" t="s">
        <v>10</v>
      </c>
      <c r="G682" s="38" t="str">
        <f t="shared" si="50"/>
        <v/>
      </c>
      <c r="H682" s="141" t="str">
        <f t="shared" si="51"/>
        <v/>
      </c>
      <c r="J682" s="141" t="str">
        <f t="shared" si="52"/>
        <v/>
      </c>
      <c r="K682" s="141" t="str">
        <f t="shared" si="53"/>
        <v/>
      </c>
      <c r="L682" s="141" t="str">
        <f t="shared" si="54"/>
        <v/>
      </c>
    </row>
    <row r="683" spans="1:12" x14ac:dyDescent="0.3">
      <c r="A683" s="2" t="str">
        <f xml:space="preserve"> IF( 'From SvanPC++'!A683= "", "", ('From SvanPC++'!A683))</f>
        <v/>
      </c>
      <c r="C683" s="6" t="s">
        <v>10</v>
      </c>
      <c r="G683" s="38" t="str">
        <f t="shared" si="50"/>
        <v/>
      </c>
      <c r="H683" s="141" t="str">
        <f t="shared" si="51"/>
        <v/>
      </c>
      <c r="J683" s="141" t="str">
        <f t="shared" si="52"/>
        <v/>
      </c>
      <c r="K683" s="141" t="str">
        <f t="shared" si="53"/>
        <v/>
      </c>
      <c r="L683" s="141" t="str">
        <f t="shared" si="54"/>
        <v/>
      </c>
    </row>
    <row r="684" spans="1:12" x14ac:dyDescent="0.3">
      <c r="A684" s="2" t="str">
        <f xml:space="preserve"> IF( 'From SvanPC++'!A684= "", "", ('From SvanPC++'!A684))</f>
        <v/>
      </c>
      <c r="C684" s="6" t="s">
        <v>10</v>
      </c>
      <c r="G684" s="38" t="str">
        <f t="shared" si="50"/>
        <v/>
      </c>
      <c r="H684" s="141" t="str">
        <f t="shared" si="51"/>
        <v/>
      </c>
      <c r="J684" s="141" t="str">
        <f t="shared" si="52"/>
        <v/>
      </c>
      <c r="K684" s="141" t="str">
        <f t="shared" si="53"/>
        <v/>
      </c>
      <c r="L684" s="141" t="str">
        <f t="shared" si="54"/>
        <v/>
      </c>
    </row>
    <row r="685" spans="1:12" x14ac:dyDescent="0.3">
      <c r="A685" s="2" t="str">
        <f xml:space="preserve"> IF( 'From SvanPC++'!A685= "", "", ('From SvanPC++'!A685))</f>
        <v/>
      </c>
      <c r="C685" s="6" t="s">
        <v>10</v>
      </c>
      <c r="G685" s="38" t="str">
        <f t="shared" si="50"/>
        <v/>
      </c>
      <c r="H685" s="141" t="str">
        <f t="shared" si="51"/>
        <v/>
      </c>
      <c r="J685" s="141" t="str">
        <f t="shared" si="52"/>
        <v/>
      </c>
      <c r="K685" s="141" t="str">
        <f t="shared" si="53"/>
        <v/>
      </c>
      <c r="L685" s="141" t="str">
        <f t="shared" si="54"/>
        <v/>
      </c>
    </row>
    <row r="686" spans="1:12" x14ac:dyDescent="0.3">
      <c r="A686" s="2" t="str">
        <f xml:space="preserve"> IF( 'From SvanPC++'!A686= "", "", ('From SvanPC++'!A686))</f>
        <v/>
      </c>
      <c r="C686" s="6" t="s">
        <v>10</v>
      </c>
      <c r="G686" s="38" t="str">
        <f t="shared" si="50"/>
        <v/>
      </c>
      <c r="H686" s="141" t="str">
        <f t="shared" si="51"/>
        <v/>
      </c>
      <c r="J686" s="141" t="str">
        <f t="shared" si="52"/>
        <v/>
      </c>
      <c r="K686" s="141" t="str">
        <f t="shared" si="53"/>
        <v/>
      </c>
      <c r="L686" s="141" t="str">
        <f t="shared" si="54"/>
        <v/>
      </c>
    </row>
    <row r="687" spans="1:12" x14ac:dyDescent="0.3">
      <c r="A687" s="2" t="str">
        <f xml:space="preserve"> IF( 'From SvanPC++'!A687= "", "", ('From SvanPC++'!A687))</f>
        <v/>
      </c>
      <c r="C687" s="6" t="s">
        <v>10</v>
      </c>
      <c r="G687" s="38" t="str">
        <f t="shared" si="50"/>
        <v/>
      </c>
      <c r="H687" s="141" t="str">
        <f t="shared" si="51"/>
        <v/>
      </c>
      <c r="J687" s="141" t="str">
        <f t="shared" si="52"/>
        <v/>
      </c>
      <c r="K687" s="141" t="str">
        <f t="shared" si="53"/>
        <v/>
      </c>
      <c r="L687" s="141" t="str">
        <f t="shared" si="54"/>
        <v/>
      </c>
    </row>
    <row r="688" spans="1:12" x14ac:dyDescent="0.3">
      <c r="A688" s="2" t="str">
        <f xml:space="preserve"> IF( 'From SvanPC++'!A688= "", "", ('From SvanPC++'!A688))</f>
        <v/>
      </c>
      <c r="C688" s="6" t="s">
        <v>10</v>
      </c>
      <c r="G688" s="38" t="str">
        <f t="shared" si="50"/>
        <v/>
      </c>
      <c r="H688" s="141" t="str">
        <f t="shared" si="51"/>
        <v/>
      </c>
      <c r="J688" s="141" t="str">
        <f t="shared" si="52"/>
        <v/>
      </c>
      <c r="K688" s="141" t="str">
        <f t="shared" si="53"/>
        <v/>
      </c>
      <c r="L688" s="141" t="str">
        <f t="shared" si="54"/>
        <v/>
      </c>
    </row>
    <row r="689" spans="1:12" x14ac:dyDescent="0.3">
      <c r="A689" s="2" t="str">
        <f xml:space="preserve"> IF( 'From SvanPC++'!A689= "", "", ('From SvanPC++'!A689))</f>
        <v/>
      </c>
      <c r="C689" s="6" t="s">
        <v>10</v>
      </c>
      <c r="G689" s="38" t="str">
        <f t="shared" si="50"/>
        <v/>
      </c>
      <c r="H689" s="141" t="str">
        <f t="shared" si="51"/>
        <v/>
      </c>
      <c r="J689" s="141" t="str">
        <f t="shared" si="52"/>
        <v/>
      </c>
      <c r="K689" s="141" t="str">
        <f t="shared" si="53"/>
        <v/>
      </c>
      <c r="L689" s="141" t="str">
        <f t="shared" si="54"/>
        <v/>
      </c>
    </row>
    <row r="690" spans="1:12" x14ac:dyDescent="0.3">
      <c r="A690" s="2" t="str">
        <f xml:space="preserve"> IF( 'From SvanPC++'!A690= "", "", ('From SvanPC++'!A690))</f>
        <v/>
      </c>
      <c r="C690" s="6" t="s">
        <v>10</v>
      </c>
      <c r="G690" s="38" t="str">
        <f t="shared" si="50"/>
        <v/>
      </c>
      <c r="H690" s="141" t="str">
        <f t="shared" si="51"/>
        <v/>
      </c>
      <c r="J690" s="141" t="str">
        <f t="shared" si="52"/>
        <v/>
      </c>
      <c r="K690" s="141" t="str">
        <f t="shared" si="53"/>
        <v/>
      </c>
      <c r="L690" s="141" t="str">
        <f t="shared" si="54"/>
        <v/>
      </c>
    </row>
    <row r="691" spans="1:12" x14ac:dyDescent="0.3">
      <c r="A691" s="2" t="str">
        <f xml:space="preserve"> IF( 'From SvanPC++'!A691= "", "", ('From SvanPC++'!A691))</f>
        <v/>
      </c>
      <c r="C691" s="6" t="s">
        <v>10</v>
      </c>
      <c r="G691" s="38" t="str">
        <f t="shared" si="50"/>
        <v/>
      </c>
      <c r="H691" s="141" t="str">
        <f t="shared" si="51"/>
        <v/>
      </c>
      <c r="J691" s="141" t="str">
        <f t="shared" si="52"/>
        <v/>
      </c>
      <c r="K691" s="141" t="str">
        <f t="shared" si="53"/>
        <v/>
      </c>
      <c r="L691" s="141" t="str">
        <f t="shared" si="54"/>
        <v/>
      </c>
    </row>
    <row r="692" spans="1:12" x14ac:dyDescent="0.3">
      <c r="A692" s="2" t="str">
        <f xml:space="preserve"> IF( 'From SvanPC++'!A692= "", "", ('From SvanPC++'!A692))</f>
        <v/>
      </c>
      <c r="C692" s="6" t="s">
        <v>10</v>
      </c>
      <c r="G692" s="38" t="str">
        <f t="shared" si="50"/>
        <v/>
      </c>
      <c r="H692" s="141" t="str">
        <f t="shared" si="51"/>
        <v/>
      </c>
      <c r="J692" s="141" t="str">
        <f t="shared" si="52"/>
        <v/>
      </c>
      <c r="K692" s="141" t="str">
        <f t="shared" si="53"/>
        <v/>
      </c>
      <c r="L692" s="141" t="str">
        <f t="shared" si="54"/>
        <v/>
      </c>
    </row>
    <row r="693" spans="1:12" x14ac:dyDescent="0.3">
      <c r="A693" s="2" t="str">
        <f xml:space="preserve"> IF( 'From SvanPC++'!A693= "", "", ('From SvanPC++'!A693))</f>
        <v/>
      </c>
      <c r="C693" s="6" t="s">
        <v>10</v>
      </c>
      <c r="G693" s="38" t="str">
        <f t="shared" si="50"/>
        <v/>
      </c>
      <c r="H693" s="141" t="str">
        <f t="shared" si="51"/>
        <v/>
      </c>
      <c r="J693" s="141" t="str">
        <f t="shared" si="52"/>
        <v/>
      </c>
      <c r="K693" s="141" t="str">
        <f t="shared" si="53"/>
        <v/>
      </c>
      <c r="L693" s="141" t="str">
        <f t="shared" si="54"/>
        <v/>
      </c>
    </row>
    <row r="694" spans="1:12" x14ac:dyDescent="0.3">
      <c r="A694" s="2" t="str">
        <f xml:space="preserve"> IF( 'From SvanPC++'!A694= "", "", ('From SvanPC++'!A694))</f>
        <v/>
      </c>
      <c r="C694" s="6" t="s">
        <v>10</v>
      </c>
      <c r="G694" s="38" t="str">
        <f t="shared" si="50"/>
        <v/>
      </c>
      <c r="H694" s="141" t="str">
        <f t="shared" si="51"/>
        <v/>
      </c>
      <c r="J694" s="141" t="str">
        <f t="shared" si="52"/>
        <v/>
      </c>
      <c r="K694" s="141" t="str">
        <f t="shared" si="53"/>
        <v/>
      </c>
      <c r="L694" s="141" t="str">
        <f t="shared" si="54"/>
        <v/>
      </c>
    </row>
    <row r="695" spans="1:12" x14ac:dyDescent="0.3">
      <c r="A695" s="2" t="str">
        <f xml:space="preserve"> IF( 'From SvanPC++'!A695= "", "", ('From SvanPC++'!A695))</f>
        <v/>
      </c>
      <c r="C695" s="6" t="s">
        <v>10</v>
      </c>
      <c r="G695" s="38" t="str">
        <f t="shared" si="50"/>
        <v/>
      </c>
      <c r="H695" s="141" t="str">
        <f t="shared" si="51"/>
        <v/>
      </c>
      <c r="J695" s="141" t="str">
        <f t="shared" si="52"/>
        <v/>
      </c>
      <c r="K695" s="141" t="str">
        <f t="shared" si="53"/>
        <v/>
      </c>
      <c r="L695" s="141" t="str">
        <f t="shared" si="54"/>
        <v/>
      </c>
    </row>
    <row r="696" spans="1:12" x14ac:dyDescent="0.3">
      <c r="A696" s="2" t="str">
        <f xml:space="preserve"> IF( 'From SvanPC++'!A696= "", "", ('From SvanPC++'!A696))</f>
        <v/>
      </c>
      <c r="C696" s="6" t="s">
        <v>10</v>
      </c>
      <c r="G696" s="38" t="str">
        <f t="shared" si="50"/>
        <v/>
      </c>
      <c r="H696" s="141" t="str">
        <f t="shared" si="51"/>
        <v/>
      </c>
      <c r="J696" s="141" t="str">
        <f t="shared" si="52"/>
        <v/>
      </c>
      <c r="K696" s="141" t="str">
        <f t="shared" si="53"/>
        <v/>
      </c>
      <c r="L696" s="141" t="str">
        <f t="shared" si="54"/>
        <v/>
      </c>
    </row>
    <row r="697" spans="1:12" x14ac:dyDescent="0.3">
      <c r="A697" s="2" t="str">
        <f xml:space="preserve"> IF( 'From SvanPC++'!A697= "", "", ('From SvanPC++'!A697))</f>
        <v/>
      </c>
      <c r="C697" s="6" t="s">
        <v>10</v>
      </c>
      <c r="G697" s="38" t="str">
        <f t="shared" si="50"/>
        <v/>
      </c>
      <c r="H697" s="141" t="str">
        <f t="shared" si="51"/>
        <v/>
      </c>
      <c r="J697" s="141" t="str">
        <f t="shared" si="52"/>
        <v/>
      </c>
      <c r="K697" s="141" t="str">
        <f t="shared" si="53"/>
        <v/>
      </c>
      <c r="L697" s="141" t="str">
        <f t="shared" si="54"/>
        <v/>
      </c>
    </row>
    <row r="698" spans="1:12" x14ac:dyDescent="0.3">
      <c r="A698" s="2" t="str">
        <f xml:space="preserve"> IF( 'From SvanPC++'!A698= "", "", ('From SvanPC++'!A698))</f>
        <v/>
      </c>
      <c r="C698" s="6" t="s">
        <v>10</v>
      </c>
      <c r="G698" s="38" t="str">
        <f t="shared" si="50"/>
        <v/>
      </c>
      <c r="H698" s="141" t="str">
        <f t="shared" si="51"/>
        <v/>
      </c>
      <c r="J698" s="141" t="str">
        <f t="shared" si="52"/>
        <v/>
      </c>
      <c r="K698" s="141" t="str">
        <f t="shared" si="53"/>
        <v/>
      </c>
      <c r="L698" s="141" t="str">
        <f t="shared" si="54"/>
        <v/>
      </c>
    </row>
    <row r="699" spans="1:12" x14ac:dyDescent="0.3">
      <c r="A699" s="2" t="str">
        <f xml:space="preserve"> IF( 'From SvanPC++'!A699= "", "", ('From SvanPC++'!A699))</f>
        <v/>
      </c>
      <c r="C699" s="6" t="s">
        <v>10</v>
      </c>
      <c r="G699" s="38" t="str">
        <f t="shared" si="50"/>
        <v/>
      </c>
      <c r="H699" s="141" t="str">
        <f t="shared" si="51"/>
        <v/>
      </c>
      <c r="J699" s="141" t="str">
        <f t="shared" si="52"/>
        <v/>
      </c>
      <c r="K699" s="141" t="str">
        <f t="shared" si="53"/>
        <v/>
      </c>
      <c r="L699" s="141" t="str">
        <f t="shared" si="54"/>
        <v/>
      </c>
    </row>
    <row r="700" spans="1:12" x14ac:dyDescent="0.3">
      <c r="A700" s="2" t="str">
        <f xml:space="preserve"> IF( 'From SvanPC++'!A700= "", "", ('From SvanPC++'!A700))</f>
        <v/>
      </c>
      <c r="C700" s="6" t="s">
        <v>10</v>
      </c>
      <c r="G700" s="38" t="str">
        <f t="shared" si="50"/>
        <v/>
      </c>
      <c r="H700" s="141" t="str">
        <f t="shared" si="51"/>
        <v/>
      </c>
      <c r="J700" s="141" t="str">
        <f t="shared" si="52"/>
        <v/>
      </c>
      <c r="K700" s="141" t="str">
        <f t="shared" si="53"/>
        <v/>
      </c>
      <c r="L700" s="141" t="str">
        <f t="shared" si="54"/>
        <v/>
      </c>
    </row>
    <row r="701" spans="1:12" x14ac:dyDescent="0.3">
      <c r="A701" s="2" t="str">
        <f xml:space="preserve"> IF( 'From SvanPC++'!A701= "", "", ('From SvanPC++'!A701))</f>
        <v/>
      </c>
      <c r="C701" s="6" t="s">
        <v>10</v>
      </c>
      <c r="G701" s="38" t="str">
        <f t="shared" si="50"/>
        <v/>
      </c>
      <c r="H701" s="141" t="str">
        <f t="shared" si="51"/>
        <v/>
      </c>
      <c r="J701" s="141" t="str">
        <f t="shared" si="52"/>
        <v/>
      </c>
      <c r="K701" s="141" t="str">
        <f t="shared" si="53"/>
        <v/>
      </c>
      <c r="L701" s="141" t="str">
        <f t="shared" si="54"/>
        <v/>
      </c>
    </row>
    <row r="702" spans="1:12" x14ac:dyDescent="0.3">
      <c r="A702" s="2" t="str">
        <f xml:space="preserve"> IF( 'From SvanPC++'!A702= "", "", ('From SvanPC++'!A702))</f>
        <v/>
      </c>
      <c r="C702" s="6" t="s">
        <v>10</v>
      </c>
      <c r="G702" s="38" t="str">
        <f t="shared" si="50"/>
        <v/>
      </c>
      <c r="H702" s="141" t="str">
        <f t="shared" si="51"/>
        <v/>
      </c>
      <c r="J702" s="141" t="str">
        <f t="shared" si="52"/>
        <v/>
      </c>
      <c r="K702" s="141" t="str">
        <f t="shared" si="53"/>
        <v/>
      </c>
      <c r="L702" s="141" t="str">
        <f t="shared" si="54"/>
        <v/>
      </c>
    </row>
    <row r="703" spans="1:12" x14ac:dyDescent="0.3">
      <c r="A703" s="2" t="str">
        <f xml:space="preserve"> IF( 'From SvanPC++'!A703= "", "", ('From SvanPC++'!A703))</f>
        <v/>
      </c>
      <c r="C703" s="6" t="s">
        <v>10</v>
      </c>
      <c r="G703" s="38" t="str">
        <f t="shared" si="50"/>
        <v/>
      </c>
      <c r="H703" s="141" t="str">
        <f t="shared" si="51"/>
        <v/>
      </c>
      <c r="J703" s="141" t="str">
        <f t="shared" si="52"/>
        <v/>
      </c>
      <c r="K703" s="141" t="str">
        <f t="shared" si="53"/>
        <v/>
      </c>
      <c r="L703" s="141" t="str">
        <f t="shared" si="54"/>
        <v/>
      </c>
    </row>
    <row r="704" spans="1:12" x14ac:dyDescent="0.3">
      <c r="A704" s="2" t="str">
        <f xml:space="preserve"> IF( 'From SvanPC++'!A704= "", "", ('From SvanPC++'!A704))</f>
        <v/>
      </c>
      <c r="C704" s="6" t="s">
        <v>10</v>
      </c>
      <c r="G704" s="38" t="str">
        <f t="shared" si="50"/>
        <v/>
      </c>
      <c r="H704" s="141" t="str">
        <f t="shared" si="51"/>
        <v/>
      </c>
      <c r="J704" s="141" t="str">
        <f t="shared" si="52"/>
        <v/>
      </c>
      <c r="K704" s="141" t="str">
        <f t="shared" si="53"/>
        <v/>
      </c>
      <c r="L704" s="141" t="str">
        <f t="shared" si="54"/>
        <v/>
      </c>
    </row>
    <row r="705" spans="1:12" x14ac:dyDescent="0.3">
      <c r="A705" s="2" t="str">
        <f xml:space="preserve"> IF( 'From SvanPC++'!A705= "", "", ('From SvanPC++'!A705))</f>
        <v/>
      </c>
      <c r="C705" s="6" t="s">
        <v>10</v>
      </c>
      <c r="G705" s="38" t="str">
        <f t="shared" si="50"/>
        <v/>
      </c>
      <c r="H705" s="141" t="str">
        <f t="shared" si="51"/>
        <v/>
      </c>
      <c r="J705" s="141" t="str">
        <f t="shared" si="52"/>
        <v/>
      </c>
      <c r="K705" s="141" t="str">
        <f t="shared" si="53"/>
        <v/>
      </c>
      <c r="L705" s="141" t="str">
        <f t="shared" si="54"/>
        <v/>
      </c>
    </row>
    <row r="706" spans="1:12" x14ac:dyDescent="0.3">
      <c r="A706" s="2" t="str">
        <f xml:space="preserve"> IF( 'From SvanPC++'!A706= "", "", ('From SvanPC++'!A706))</f>
        <v/>
      </c>
      <c r="C706" s="6" t="s">
        <v>10</v>
      </c>
      <c r="G706" s="38" t="str">
        <f t="shared" si="50"/>
        <v/>
      </c>
      <c r="H706" s="141" t="str">
        <f t="shared" si="51"/>
        <v/>
      </c>
      <c r="J706" s="141" t="str">
        <f t="shared" si="52"/>
        <v/>
      </c>
      <c r="K706" s="141" t="str">
        <f t="shared" si="53"/>
        <v/>
      </c>
      <c r="L706" s="141" t="str">
        <f t="shared" si="54"/>
        <v/>
      </c>
    </row>
    <row r="707" spans="1:12" x14ac:dyDescent="0.3">
      <c r="A707" s="2" t="str">
        <f xml:space="preserve"> IF( 'From SvanPC++'!A707= "", "", ('From SvanPC++'!A707))</f>
        <v/>
      </c>
      <c r="C707" s="6" t="s">
        <v>10</v>
      </c>
      <c r="G707" s="38" t="str">
        <f t="shared" si="50"/>
        <v/>
      </c>
      <c r="H707" s="141" t="str">
        <f t="shared" si="51"/>
        <v/>
      </c>
      <c r="J707" s="141" t="str">
        <f t="shared" si="52"/>
        <v/>
      </c>
      <c r="K707" s="141" t="str">
        <f t="shared" si="53"/>
        <v/>
      </c>
      <c r="L707" s="141" t="str">
        <f t="shared" si="54"/>
        <v/>
      </c>
    </row>
    <row r="708" spans="1:12" x14ac:dyDescent="0.3">
      <c r="A708" s="2" t="str">
        <f xml:space="preserve"> IF( 'From SvanPC++'!A708= "", "", ('From SvanPC++'!A708))</f>
        <v/>
      </c>
      <c r="C708" s="6" t="s">
        <v>10</v>
      </c>
      <c r="G708" s="38" t="str">
        <f t="shared" si="50"/>
        <v/>
      </c>
      <c r="H708" s="141" t="str">
        <f t="shared" si="51"/>
        <v/>
      </c>
      <c r="J708" s="141" t="str">
        <f t="shared" si="52"/>
        <v/>
      </c>
      <c r="K708" s="141" t="str">
        <f t="shared" si="53"/>
        <v/>
      </c>
      <c r="L708" s="141" t="str">
        <f t="shared" si="54"/>
        <v/>
      </c>
    </row>
    <row r="709" spans="1:12" x14ac:dyDescent="0.3">
      <c r="A709" s="2" t="str">
        <f xml:space="preserve"> IF( 'From SvanPC++'!A709= "", "", ('From SvanPC++'!A709))</f>
        <v/>
      </c>
      <c r="C709" s="6" t="s">
        <v>10</v>
      </c>
      <c r="G709" s="38" t="str">
        <f t="shared" si="50"/>
        <v/>
      </c>
      <c r="H709" s="141" t="str">
        <f t="shared" si="51"/>
        <v/>
      </c>
      <c r="J709" s="141" t="str">
        <f t="shared" si="52"/>
        <v/>
      </c>
      <c r="K709" s="141" t="str">
        <f t="shared" si="53"/>
        <v/>
      </c>
      <c r="L709" s="141" t="str">
        <f t="shared" si="54"/>
        <v/>
      </c>
    </row>
    <row r="710" spans="1:12" x14ac:dyDescent="0.3">
      <c r="A710" s="2" t="str">
        <f xml:space="preserve"> IF( 'From SvanPC++'!A710= "", "", ('From SvanPC++'!A710))</f>
        <v/>
      </c>
      <c r="C710" s="6" t="s">
        <v>10</v>
      </c>
      <c r="G710" s="38" t="str">
        <f t="shared" si="50"/>
        <v/>
      </c>
      <c r="H710" s="141" t="str">
        <f t="shared" si="51"/>
        <v/>
      </c>
      <c r="J710" s="141" t="str">
        <f t="shared" si="52"/>
        <v/>
      </c>
      <c r="K710" s="141" t="str">
        <f t="shared" si="53"/>
        <v/>
      </c>
      <c r="L710" s="141" t="str">
        <f t="shared" si="54"/>
        <v/>
      </c>
    </row>
    <row r="711" spans="1:12" x14ac:dyDescent="0.3">
      <c r="A711" s="2" t="str">
        <f xml:space="preserve"> IF( 'From SvanPC++'!A711= "", "", ('From SvanPC++'!A711))</f>
        <v/>
      </c>
      <c r="C711" s="6" t="s">
        <v>10</v>
      </c>
      <c r="G711" s="38" t="str">
        <f t="shared" ref="G711:G774" si="55" xml:space="preserve"> IF( D711= "", "", ( IF( AND( D711 &gt;= TIMEVALUE( "07:00:01" ), D711 &lt; TIMEVALUE( "08:00:01" ) ) = TRUE, (G710+1), (G710+0) )))</f>
        <v/>
      </c>
      <c r="H711" s="141" t="str">
        <f t="shared" ref="H711:H774" si="56" xml:space="preserve"> IF( D711= "", "", (
IF( AND( D711 &gt;= TIMEVALUE( "07:00:01" ), D711 &lt;= TIMEVALUE( "18:00:00" ), WEEKDAY( C711,1+N("            Weekday Day Period              ")) &gt;=2, ( WEEKDAY( C711,1) &lt;=6) ) = TRUE, "Day",
IF( AND( D711 &gt;= TIMEVALUE( "18:00:01" ), D711 &lt;= TIMEVALUE( "22:00:00" ), WEEKDAY( C711,1+N("            Weekday Evening Period          ")) &gt;=2, ( WEEKDAY( C711,1) &lt;=6) ) = TRUE, "Evening",
IF( AND( D711 &gt;= TIMEVALUE( "22:00:01" ), D711 &lt;= TIMEVALUE( "23:59:59" ), WEEKDAY( C711,1+N("            Weekday Night Period            ")) &gt;=2, ( WEEKDAY( C711,1) &lt;=6) ) = TRUE, "Night",
IF( AND( D711 &gt;= TIMEVALUE( "00:00:00" ), D711 &lt;= TIMEVALUE( "07:00:00" ), WEEKDAY( C711,1+N("            Weekday Night Period            ")) &gt;=2, ( WEEKDAY( C711,1) &lt;=6) ) = TRUE, "Night",
IF( AND( D711 &gt;= TIMEVALUE( "07:00:01" ), D711 &lt;= TIMEVALUE( "18:00:00" ), WEEKDAY( C711) =(7+N("         Saturday Day Period             ")) ) = TRUE, "Day",
IF( AND( D711 &gt;= TIMEVALUE( "18:00:01" ), D711 &lt;= TIMEVALUE( "22:00:00" ), WEEKDAY( C711) =(7+N("         Saturday Evening Period         ")) ) = TRUE, "Evening",
IF( AND( D711 &gt;= TIMEVALUE( "22:00:01" ), D711 &lt;= TIMEVALUE( "23:59:59" ), WEEKDAY( C711) =(7+N("         Saturday Night Period           ")) ) = TRUE, "Night",
IF( AND( D711 &gt;= TIMEVALUE( "00:00:00" ), D711 &lt;= TIMEVALUE( "07:00:00" ), WEEKDAY( C711) =(7+N("         Saturday Night Period           ")) ) = TRUE, "Night",
IF( AND( D711 &gt;= TIMEVALUE( "07:00:01" ), D711 &lt;= TIMEVALUE( "22:00:00" ), WEEKDAY( C711) =(1+N("         Sunday Evening Period           ")) ) = TRUE, "Evening",
IF( AND( D711 &gt;= TIMEVALUE( "20:00:01" ), D711 &lt;= TIMEVALUE( "23:59:59" ), WEEKDAY( C711) =(1+N("         Sunday Night Period             ")) ) = TRUE, "Night",
IF( AND( D711 &gt;= TIMEVALUE( "00:00:00" ), D711 &lt;= TIMEVALUE( "07:00:00" ), WEEKDAY( C711) =(1+N("         Sunday Night Period             ")) ) = TRUE, "Night",
)))))))))))))</f>
        <v/>
      </c>
      <c r="J711" s="141" t="str">
        <f t="shared" si="52"/>
        <v/>
      </c>
      <c r="K711" s="141" t="str">
        <f t="shared" si="53"/>
        <v/>
      </c>
      <c r="L711" s="141" t="str">
        <f t="shared" si="54"/>
        <v/>
      </c>
    </row>
    <row r="712" spans="1:12" x14ac:dyDescent="0.3">
      <c r="A712" s="2" t="str">
        <f xml:space="preserve"> IF( 'From SvanPC++'!A712= "", "", ('From SvanPC++'!A712))</f>
        <v/>
      </c>
      <c r="C712" s="6" t="s">
        <v>10</v>
      </c>
      <c r="G712" s="38" t="str">
        <f t="shared" si="55"/>
        <v/>
      </c>
      <c r="H712" s="141" t="str">
        <f t="shared" si="56"/>
        <v/>
      </c>
      <c r="J712" s="141" t="str">
        <f t="shared" ref="J712:J775" si="57" xml:space="preserve"> IF( ISERROR( IF( D712= "", "", ( IF( G712= (G711+1), ( AVERAGEIFS( E712:E856, G712:G856, G712, H712:H856, "Day" )), "" )))), "",( IF( D712= "", "", ( IF( G712= (G711+1), ( AVERAGEIFS( E712:E856, G712:G856, G712, H712:H856, "Day" )), "" )))))</f>
        <v/>
      </c>
      <c r="K712" s="141" t="str">
        <f t="shared" ref="K712:K775" si="58" xml:space="preserve"> IF( ISERROR( IF( D712= "", "", ( IF( G712= (G711+1), ( AVERAGEIFS( E712:E856, G712:G856, G712, H712:H856, "Evening" )), "" )))), "",( IF( D712= "", "", ( IF( G712= (G711+1), ( AVERAGEIFS( E712:E856, G712:G856, G712, H712:H856, "Evening" )), "" )))))</f>
        <v/>
      </c>
      <c r="L712" s="141" t="str">
        <f t="shared" ref="L712:L775" si="59" xml:space="preserve"> IF( ISERROR( IF( D712= "", "", ( IF( G712= (G711+1), ( AVERAGEIFS( E712:E856, G712:G856, G712, H712:H856, "Night" )), "" )))), "",( IF( D712= "", "", ( IF( G712= (G711+1), ( AVERAGEIFS( E712:E856, G712:G856, G712, H712:H856, "Night" )), "" )))))</f>
        <v/>
      </c>
    </row>
    <row r="713" spans="1:12" x14ac:dyDescent="0.3">
      <c r="A713" s="2" t="str">
        <f xml:space="preserve"> IF( 'From SvanPC++'!A713= "", "", ('From SvanPC++'!A713))</f>
        <v/>
      </c>
      <c r="C713" s="6" t="s">
        <v>10</v>
      </c>
      <c r="G713" s="38" t="str">
        <f t="shared" si="55"/>
        <v/>
      </c>
      <c r="H713" s="141" t="str">
        <f t="shared" si="56"/>
        <v/>
      </c>
      <c r="J713" s="141" t="str">
        <f t="shared" si="57"/>
        <v/>
      </c>
      <c r="K713" s="141" t="str">
        <f t="shared" si="58"/>
        <v/>
      </c>
      <c r="L713" s="141" t="str">
        <f t="shared" si="59"/>
        <v/>
      </c>
    </row>
    <row r="714" spans="1:12" x14ac:dyDescent="0.3">
      <c r="A714" s="2" t="str">
        <f xml:space="preserve"> IF( 'From SvanPC++'!A714= "", "", ('From SvanPC++'!A714))</f>
        <v/>
      </c>
      <c r="C714" s="6" t="s">
        <v>10</v>
      </c>
      <c r="G714" s="38" t="str">
        <f t="shared" si="55"/>
        <v/>
      </c>
      <c r="H714" s="141" t="str">
        <f t="shared" si="56"/>
        <v/>
      </c>
      <c r="J714" s="141" t="str">
        <f t="shared" si="57"/>
        <v/>
      </c>
      <c r="K714" s="141" t="str">
        <f t="shared" si="58"/>
        <v/>
      </c>
      <c r="L714" s="141" t="str">
        <f t="shared" si="59"/>
        <v/>
      </c>
    </row>
    <row r="715" spans="1:12" x14ac:dyDescent="0.3">
      <c r="A715" s="2" t="str">
        <f xml:space="preserve"> IF( 'From SvanPC++'!A715= "", "", ('From SvanPC++'!A715))</f>
        <v/>
      </c>
      <c r="C715" s="6" t="s">
        <v>10</v>
      </c>
      <c r="G715" s="38" t="str">
        <f t="shared" si="55"/>
        <v/>
      </c>
      <c r="H715" s="141" t="str">
        <f t="shared" si="56"/>
        <v/>
      </c>
      <c r="J715" s="141" t="str">
        <f t="shared" si="57"/>
        <v/>
      </c>
      <c r="K715" s="141" t="str">
        <f t="shared" si="58"/>
        <v/>
      </c>
      <c r="L715" s="141" t="str">
        <f t="shared" si="59"/>
        <v/>
      </c>
    </row>
    <row r="716" spans="1:12" x14ac:dyDescent="0.3">
      <c r="A716" s="2" t="str">
        <f xml:space="preserve"> IF( 'From SvanPC++'!A716= "", "", ('From SvanPC++'!A716))</f>
        <v/>
      </c>
      <c r="C716" s="6" t="s">
        <v>10</v>
      </c>
      <c r="G716" s="38" t="str">
        <f t="shared" si="55"/>
        <v/>
      </c>
      <c r="H716" s="141" t="str">
        <f t="shared" si="56"/>
        <v/>
      </c>
      <c r="J716" s="141" t="str">
        <f t="shared" si="57"/>
        <v/>
      </c>
      <c r="K716" s="141" t="str">
        <f t="shared" si="58"/>
        <v/>
      </c>
      <c r="L716" s="141" t="str">
        <f t="shared" si="59"/>
        <v/>
      </c>
    </row>
    <row r="717" spans="1:12" x14ac:dyDescent="0.3">
      <c r="A717" s="2" t="str">
        <f xml:space="preserve"> IF( 'From SvanPC++'!A717= "", "", ('From SvanPC++'!A717))</f>
        <v/>
      </c>
      <c r="C717" s="6" t="s">
        <v>10</v>
      </c>
      <c r="G717" s="38" t="str">
        <f t="shared" si="55"/>
        <v/>
      </c>
      <c r="H717" s="141" t="str">
        <f t="shared" si="56"/>
        <v/>
      </c>
      <c r="J717" s="141" t="str">
        <f t="shared" si="57"/>
        <v/>
      </c>
      <c r="K717" s="141" t="str">
        <f t="shared" si="58"/>
        <v/>
      </c>
      <c r="L717" s="141" t="str">
        <f t="shared" si="59"/>
        <v/>
      </c>
    </row>
    <row r="718" spans="1:12" x14ac:dyDescent="0.3">
      <c r="A718" s="2" t="str">
        <f xml:space="preserve"> IF( 'From SvanPC++'!A718= "", "", ('From SvanPC++'!A718))</f>
        <v/>
      </c>
      <c r="C718" s="6" t="s">
        <v>10</v>
      </c>
      <c r="G718" s="38" t="str">
        <f t="shared" si="55"/>
        <v/>
      </c>
      <c r="H718" s="141" t="str">
        <f t="shared" si="56"/>
        <v/>
      </c>
      <c r="J718" s="141" t="str">
        <f t="shared" si="57"/>
        <v/>
      </c>
      <c r="K718" s="141" t="str">
        <f t="shared" si="58"/>
        <v/>
      </c>
      <c r="L718" s="141" t="str">
        <f t="shared" si="59"/>
        <v/>
      </c>
    </row>
    <row r="719" spans="1:12" x14ac:dyDescent="0.3">
      <c r="A719" s="2" t="str">
        <f xml:space="preserve"> IF( 'From SvanPC++'!A719= "", "", ('From SvanPC++'!A719))</f>
        <v/>
      </c>
      <c r="C719" s="6" t="s">
        <v>10</v>
      </c>
      <c r="G719" s="38" t="str">
        <f t="shared" si="55"/>
        <v/>
      </c>
      <c r="H719" s="141" t="str">
        <f t="shared" si="56"/>
        <v/>
      </c>
      <c r="J719" s="141" t="str">
        <f t="shared" si="57"/>
        <v/>
      </c>
      <c r="K719" s="141" t="str">
        <f t="shared" si="58"/>
        <v/>
      </c>
      <c r="L719" s="141" t="str">
        <f t="shared" si="59"/>
        <v/>
      </c>
    </row>
    <row r="720" spans="1:12" x14ac:dyDescent="0.3">
      <c r="A720" s="2" t="str">
        <f xml:space="preserve"> IF( 'From SvanPC++'!A720= "", "", ('From SvanPC++'!A720))</f>
        <v/>
      </c>
      <c r="C720" s="6" t="s">
        <v>10</v>
      </c>
      <c r="G720" s="38" t="str">
        <f t="shared" si="55"/>
        <v/>
      </c>
      <c r="H720" s="141" t="str">
        <f t="shared" si="56"/>
        <v/>
      </c>
      <c r="J720" s="141" t="str">
        <f t="shared" si="57"/>
        <v/>
      </c>
      <c r="K720" s="141" t="str">
        <f t="shared" si="58"/>
        <v/>
      </c>
      <c r="L720" s="141" t="str">
        <f t="shared" si="59"/>
        <v/>
      </c>
    </row>
    <row r="721" spans="1:12" x14ac:dyDescent="0.3">
      <c r="A721" s="2" t="str">
        <f xml:space="preserve"> IF( 'From SvanPC++'!A721= "", "", ('From SvanPC++'!A721))</f>
        <v/>
      </c>
      <c r="C721" s="6" t="s">
        <v>10</v>
      </c>
      <c r="G721" s="38" t="str">
        <f t="shared" si="55"/>
        <v/>
      </c>
      <c r="H721" s="141" t="str">
        <f t="shared" si="56"/>
        <v/>
      </c>
      <c r="J721" s="141" t="str">
        <f t="shared" si="57"/>
        <v/>
      </c>
      <c r="K721" s="141" t="str">
        <f t="shared" si="58"/>
        <v/>
      </c>
      <c r="L721" s="141" t="str">
        <f t="shared" si="59"/>
        <v/>
      </c>
    </row>
    <row r="722" spans="1:12" x14ac:dyDescent="0.3">
      <c r="A722" s="2" t="str">
        <f xml:space="preserve"> IF( 'From SvanPC++'!A722= "", "", ('From SvanPC++'!A722))</f>
        <v/>
      </c>
      <c r="C722" s="6" t="s">
        <v>10</v>
      </c>
      <c r="G722" s="38" t="str">
        <f t="shared" si="55"/>
        <v/>
      </c>
      <c r="H722" s="141" t="str">
        <f t="shared" si="56"/>
        <v/>
      </c>
      <c r="J722" s="141" t="str">
        <f t="shared" si="57"/>
        <v/>
      </c>
      <c r="K722" s="141" t="str">
        <f t="shared" si="58"/>
        <v/>
      </c>
      <c r="L722" s="141" t="str">
        <f t="shared" si="59"/>
        <v/>
      </c>
    </row>
    <row r="723" spans="1:12" x14ac:dyDescent="0.3">
      <c r="A723" s="2" t="str">
        <f xml:space="preserve"> IF( 'From SvanPC++'!A723= "", "", ('From SvanPC++'!A723))</f>
        <v/>
      </c>
      <c r="C723" s="6" t="s">
        <v>10</v>
      </c>
      <c r="G723" s="38" t="str">
        <f t="shared" si="55"/>
        <v/>
      </c>
      <c r="H723" s="141" t="str">
        <f t="shared" si="56"/>
        <v/>
      </c>
      <c r="J723" s="141" t="str">
        <f t="shared" si="57"/>
        <v/>
      </c>
      <c r="K723" s="141" t="str">
        <f t="shared" si="58"/>
        <v/>
      </c>
      <c r="L723" s="141" t="str">
        <f t="shared" si="59"/>
        <v/>
      </c>
    </row>
    <row r="724" spans="1:12" x14ac:dyDescent="0.3">
      <c r="A724" s="2" t="str">
        <f xml:space="preserve"> IF( 'From SvanPC++'!A724= "", "", ('From SvanPC++'!A724))</f>
        <v/>
      </c>
      <c r="C724" s="6" t="s">
        <v>10</v>
      </c>
      <c r="G724" s="38" t="str">
        <f t="shared" si="55"/>
        <v/>
      </c>
      <c r="H724" s="141" t="str">
        <f t="shared" si="56"/>
        <v/>
      </c>
      <c r="J724" s="141" t="str">
        <f t="shared" si="57"/>
        <v/>
      </c>
      <c r="K724" s="141" t="str">
        <f t="shared" si="58"/>
        <v/>
      </c>
      <c r="L724" s="141" t="str">
        <f t="shared" si="59"/>
        <v/>
      </c>
    </row>
    <row r="725" spans="1:12" x14ac:dyDescent="0.3">
      <c r="A725" s="2" t="str">
        <f xml:space="preserve"> IF( 'From SvanPC++'!A725= "", "", ('From SvanPC++'!A725))</f>
        <v/>
      </c>
      <c r="C725" s="6" t="s">
        <v>10</v>
      </c>
      <c r="G725" s="38" t="str">
        <f t="shared" si="55"/>
        <v/>
      </c>
      <c r="H725" s="141" t="str">
        <f t="shared" si="56"/>
        <v/>
      </c>
      <c r="J725" s="141" t="str">
        <f t="shared" si="57"/>
        <v/>
      </c>
      <c r="K725" s="141" t="str">
        <f t="shared" si="58"/>
        <v/>
      </c>
      <c r="L725" s="141" t="str">
        <f t="shared" si="59"/>
        <v/>
      </c>
    </row>
    <row r="726" spans="1:12" x14ac:dyDescent="0.3">
      <c r="A726" s="2" t="str">
        <f xml:space="preserve"> IF( 'From SvanPC++'!A726= "", "", ('From SvanPC++'!A726))</f>
        <v/>
      </c>
      <c r="C726" s="6" t="s">
        <v>10</v>
      </c>
      <c r="G726" s="38" t="str">
        <f t="shared" si="55"/>
        <v/>
      </c>
      <c r="H726" s="141" t="str">
        <f t="shared" si="56"/>
        <v/>
      </c>
      <c r="J726" s="141" t="str">
        <f t="shared" si="57"/>
        <v/>
      </c>
      <c r="K726" s="141" t="str">
        <f t="shared" si="58"/>
        <v/>
      </c>
      <c r="L726" s="141" t="str">
        <f t="shared" si="59"/>
        <v/>
      </c>
    </row>
    <row r="727" spans="1:12" x14ac:dyDescent="0.3">
      <c r="A727" s="2" t="str">
        <f xml:space="preserve"> IF( 'From SvanPC++'!A727= "", "", ('From SvanPC++'!A727))</f>
        <v/>
      </c>
      <c r="C727" s="6" t="s">
        <v>10</v>
      </c>
      <c r="G727" s="38" t="str">
        <f t="shared" si="55"/>
        <v/>
      </c>
      <c r="H727" s="141" t="str">
        <f t="shared" si="56"/>
        <v/>
      </c>
      <c r="J727" s="141" t="str">
        <f t="shared" si="57"/>
        <v/>
      </c>
      <c r="K727" s="141" t="str">
        <f t="shared" si="58"/>
        <v/>
      </c>
      <c r="L727" s="141" t="str">
        <f t="shared" si="59"/>
        <v/>
      </c>
    </row>
    <row r="728" spans="1:12" x14ac:dyDescent="0.3">
      <c r="A728" s="2" t="str">
        <f xml:space="preserve"> IF( 'From SvanPC++'!A728= "", "", ('From SvanPC++'!A728))</f>
        <v/>
      </c>
      <c r="C728" s="6" t="s">
        <v>10</v>
      </c>
      <c r="G728" s="38" t="str">
        <f t="shared" si="55"/>
        <v/>
      </c>
      <c r="H728" s="141" t="str">
        <f t="shared" si="56"/>
        <v/>
      </c>
      <c r="J728" s="141" t="str">
        <f t="shared" si="57"/>
        <v/>
      </c>
      <c r="K728" s="141" t="str">
        <f t="shared" si="58"/>
        <v/>
      </c>
      <c r="L728" s="141" t="str">
        <f t="shared" si="59"/>
        <v/>
      </c>
    </row>
    <row r="729" spans="1:12" x14ac:dyDescent="0.3">
      <c r="A729" s="2" t="str">
        <f xml:space="preserve"> IF( 'From SvanPC++'!A729= "", "", ('From SvanPC++'!A729))</f>
        <v/>
      </c>
      <c r="C729" s="6" t="s">
        <v>10</v>
      </c>
      <c r="G729" s="38" t="str">
        <f t="shared" si="55"/>
        <v/>
      </c>
      <c r="H729" s="141" t="str">
        <f t="shared" si="56"/>
        <v/>
      </c>
      <c r="J729" s="141" t="str">
        <f t="shared" si="57"/>
        <v/>
      </c>
      <c r="K729" s="141" t="str">
        <f t="shared" si="58"/>
        <v/>
      </c>
      <c r="L729" s="141" t="str">
        <f t="shared" si="59"/>
        <v/>
      </c>
    </row>
    <row r="730" spans="1:12" x14ac:dyDescent="0.3">
      <c r="A730" s="2" t="str">
        <f xml:space="preserve"> IF( 'From SvanPC++'!A730= "", "", ('From SvanPC++'!A730))</f>
        <v/>
      </c>
      <c r="C730" s="6" t="s">
        <v>10</v>
      </c>
      <c r="G730" s="38" t="str">
        <f t="shared" si="55"/>
        <v/>
      </c>
      <c r="H730" s="141" t="str">
        <f t="shared" si="56"/>
        <v/>
      </c>
      <c r="J730" s="141" t="str">
        <f t="shared" si="57"/>
        <v/>
      </c>
      <c r="K730" s="141" t="str">
        <f t="shared" si="58"/>
        <v/>
      </c>
      <c r="L730" s="141" t="str">
        <f t="shared" si="59"/>
        <v/>
      </c>
    </row>
    <row r="731" spans="1:12" x14ac:dyDescent="0.3">
      <c r="A731" s="2" t="str">
        <f xml:space="preserve"> IF( 'From SvanPC++'!A731= "", "", ('From SvanPC++'!A731))</f>
        <v/>
      </c>
      <c r="C731" s="6" t="s">
        <v>10</v>
      </c>
      <c r="G731" s="38" t="str">
        <f t="shared" si="55"/>
        <v/>
      </c>
      <c r="H731" s="141" t="str">
        <f t="shared" si="56"/>
        <v/>
      </c>
      <c r="J731" s="141" t="str">
        <f t="shared" si="57"/>
        <v/>
      </c>
      <c r="K731" s="141" t="str">
        <f t="shared" si="58"/>
        <v/>
      </c>
      <c r="L731" s="141" t="str">
        <f t="shared" si="59"/>
        <v/>
      </c>
    </row>
    <row r="732" spans="1:12" x14ac:dyDescent="0.3">
      <c r="A732" s="2" t="str">
        <f xml:space="preserve"> IF( 'From SvanPC++'!A732= "", "", ('From SvanPC++'!A732))</f>
        <v/>
      </c>
      <c r="C732" s="6" t="s">
        <v>10</v>
      </c>
      <c r="G732" s="38" t="str">
        <f t="shared" si="55"/>
        <v/>
      </c>
      <c r="H732" s="141" t="str">
        <f t="shared" si="56"/>
        <v/>
      </c>
      <c r="J732" s="141" t="str">
        <f t="shared" si="57"/>
        <v/>
      </c>
      <c r="K732" s="141" t="str">
        <f t="shared" si="58"/>
        <v/>
      </c>
      <c r="L732" s="141" t="str">
        <f t="shared" si="59"/>
        <v/>
      </c>
    </row>
    <row r="733" spans="1:12" x14ac:dyDescent="0.3">
      <c r="A733" s="2" t="str">
        <f xml:space="preserve"> IF( 'From SvanPC++'!A733= "", "", ('From SvanPC++'!A733))</f>
        <v/>
      </c>
      <c r="C733" s="6" t="s">
        <v>10</v>
      </c>
      <c r="G733" s="38" t="str">
        <f t="shared" si="55"/>
        <v/>
      </c>
      <c r="H733" s="141" t="str">
        <f t="shared" si="56"/>
        <v/>
      </c>
      <c r="J733" s="141" t="str">
        <f t="shared" si="57"/>
        <v/>
      </c>
      <c r="K733" s="141" t="str">
        <f t="shared" si="58"/>
        <v/>
      </c>
      <c r="L733" s="141" t="str">
        <f t="shared" si="59"/>
        <v/>
      </c>
    </row>
    <row r="734" spans="1:12" x14ac:dyDescent="0.3">
      <c r="A734" s="2" t="str">
        <f xml:space="preserve"> IF( 'From SvanPC++'!A734= "", "", ('From SvanPC++'!A734))</f>
        <v/>
      </c>
      <c r="C734" s="6" t="s">
        <v>10</v>
      </c>
      <c r="G734" s="38" t="str">
        <f t="shared" si="55"/>
        <v/>
      </c>
      <c r="H734" s="141" t="str">
        <f t="shared" si="56"/>
        <v/>
      </c>
      <c r="J734" s="141" t="str">
        <f t="shared" si="57"/>
        <v/>
      </c>
      <c r="K734" s="141" t="str">
        <f t="shared" si="58"/>
        <v/>
      </c>
      <c r="L734" s="141" t="str">
        <f t="shared" si="59"/>
        <v/>
      </c>
    </row>
    <row r="735" spans="1:12" x14ac:dyDescent="0.3">
      <c r="A735" s="2" t="str">
        <f xml:space="preserve"> IF( 'From SvanPC++'!A735= "", "", ('From SvanPC++'!A735))</f>
        <v/>
      </c>
      <c r="C735" s="6" t="s">
        <v>10</v>
      </c>
      <c r="G735" s="38" t="str">
        <f t="shared" si="55"/>
        <v/>
      </c>
      <c r="H735" s="141" t="str">
        <f t="shared" si="56"/>
        <v/>
      </c>
      <c r="J735" s="141" t="str">
        <f t="shared" si="57"/>
        <v/>
      </c>
      <c r="K735" s="141" t="str">
        <f t="shared" si="58"/>
        <v/>
      </c>
      <c r="L735" s="141" t="str">
        <f t="shared" si="59"/>
        <v/>
      </c>
    </row>
    <row r="736" spans="1:12" x14ac:dyDescent="0.3">
      <c r="A736" s="2" t="str">
        <f xml:space="preserve"> IF( 'From SvanPC++'!A736= "", "", ('From SvanPC++'!A736))</f>
        <v/>
      </c>
      <c r="C736" s="6" t="s">
        <v>10</v>
      </c>
      <c r="G736" s="38" t="str">
        <f t="shared" si="55"/>
        <v/>
      </c>
      <c r="H736" s="141" t="str">
        <f t="shared" si="56"/>
        <v/>
      </c>
      <c r="J736" s="141" t="str">
        <f t="shared" si="57"/>
        <v/>
      </c>
      <c r="K736" s="141" t="str">
        <f t="shared" si="58"/>
        <v/>
      </c>
      <c r="L736" s="141" t="str">
        <f t="shared" si="59"/>
        <v/>
      </c>
    </row>
    <row r="737" spans="1:12" x14ac:dyDescent="0.3">
      <c r="A737" s="2" t="str">
        <f xml:space="preserve"> IF( 'From SvanPC++'!A737= "", "", ('From SvanPC++'!A737))</f>
        <v/>
      </c>
      <c r="C737" s="6" t="s">
        <v>10</v>
      </c>
      <c r="G737" s="38" t="str">
        <f t="shared" si="55"/>
        <v/>
      </c>
      <c r="H737" s="141" t="str">
        <f t="shared" si="56"/>
        <v/>
      </c>
      <c r="J737" s="141" t="str">
        <f t="shared" si="57"/>
        <v/>
      </c>
      <c r="K737" s="141" t="str">
        <f t="shared" si="58"/>
        <v/>
      </c>
      <c r="L737" s="141" t="str">
        <f t="shared" si="59"/>
        <v/>
      </c>
    </row>
    <row r="738" spans="1:12" x14ac:dyDescent="0.3">
      <c r="A738" s="2" t="str">
        <f xml:space="preserve"> IF( 'From SvanPC++'!A738= "", "", ('From SvanPC++'!A738))</f>
        <v/>
      </c>
      <c r="C738" s="6" t="s">
        <v>10</v>
      </c>
      <c r="G738" s="38" t="str">
        <f t="shared" si="55"/>
        <v/>
      </c>
      <c r="H738" s="141" t="str">
        <f t="shared" si="56"/>
        <v/>
      </c>
      <c r="J738" s="141" t="str">
        <f t="shared" si="57"/>
        <v/>
      </c>
      <c r="K738" s="141" t="str">
        <f t="shared" si="58"/>
        <v/>
      </c>
      <c r="L738" s="141" t="str">
        <f t="shared" si="59"/>
        <v/>
      </c>
    </row>
    <row r="739" spans="1:12" x14ac:dyDescent="0.3">
      <c r="A739" s="2" t="str">
        <f xml:space="preserve"> IF( 'From SvanPC++'!A739= "", "", ('From SvanPC++'!A739))</f>
        <v/>
      </c>
      <c r="C739" s="6" t="s">
        <v>10</v>
      </c>
      <c r="G739" s="38" t="str">
        <f t="shared" si="55"/>
        <v/>
      </c>
      <c r="H739" s="141" t="str">
        <f t="shared" si="56"/>
        <v/>
      </c>
      <c r="J739" s="141" t="str">
        <f t="shared" si="57"/>
        <v/>
      </c>
      <c r="K739" s="141" t="str">
        <f t="shared" si="58"/>
        <v/>
      </c>
      <c r="L739" s="141" t="str">
        <f t="shared" si="59"/>
        <v/>
      </c>
    </row>
    <row r="740" spans="1:12" x14ac:dyDescent="0.3">
      <c r="A740" s="2" t="str">
        <f xml:space="preserve"> IF( 'From SvanPC++'!A740= "", "", ('From SvanPC++'!A740))</f>
        <v/>
      </c>
      <c r="C740" s="6" t="s">
        <v>10</v>
      </c>
      <c r="G740" s="38" t="str">
        <f t="shared" si="55"/>
        <v/>
      </c>
      <c r="H740" s="141" t="str">
        <f t="shared" si="56"/>
        <v/>
      </c>
      <c r="J740" s="141" t="str">
        <f t="shared" si="57"/>
        <v/>
      </c>
      <c r="K740" s="141" t="str">
        <f t="shared" si="58"/>
        <v/>
      </c>
      <c r="L740" s="141" t="str">
        <f t="shared" si="59"/>
        <v/>
      </c>
    </row>
    <row r="741" spans="1:12" x14ac:dyDescent="0.3">
      <c r="A741" s="2" t="str">
        <f xml:space="preserve"> IF( 'From SvanPC++'!A741= "", "", ('From SvanPC++'!A741))</f>
        <v/>
      </c>
      <c r="C741" s="6" t="s">
        <v>10</v>
      </c>
      <c r="G741" s="38" t="str">
        <f t="shared" si="55"/>
        <v/>
      </c>
      <c r="H741" s="141" t="str">
        <f t="shared" si="56"/>
        <v/>
      </c>
      <c r="J741" s="141" t="str">
        <f t="shared" si="57"/>
        <v/>
      </c>
      <c r="K741" s="141" t="str">
        <f t="shared" si="58"/>
        <v/>
      </c>
      <c r="L741" s="141" t="str">
        <f t="shared" si="59"/>
        <v/>
      </c>
    </row>
    <row r="742" spans="1:12" x14ac:dyDescent="0.3">
      <c r="A742" s="2" t="str">
        <f xml:space="preserve"> IF( 'From SvanPC++'!A742= "", "", ('From SvanPC++'!A742))</f>
        <v/>
      </c>
      <c r="C742" s="6" t="s">
        <v>10</v>
      </c>
      <c r="G742" s="38" t="str">
        <f t="shared" si="55"/>
        <v/>
      </c>
      <c r="H742" s="141" t="str">
        <f t="shared" si="56"/>
        <v/>
      </c>
      <c r="J742" s="141" t="str">
        <f t="shared" si="57"/>
        <v/>
      </c>
      <c r="K742" s="141" t="str">
        <f t="shared" si="58"/>
        <v/>
      </c>
      <c r="L742" s="141" t="str">
        <f t="shared" si="59"/>
        <v/>
      </c>
    </row>
    <row r="743" spans="1:12" x14ac:dyDescent="0.3">
      <c r="A743" s="2" t="str">
        <f xml:space="preserve"> IF( 'From SvanPC++'!A743= "", "", ('From SvanPC++'!A743))</f>
        <v/>
      </c>
      <c r="C743" s="6" t="s">
        <v>10</v>
      </c>
      <c r="G743" s="38" t="str">
        <f t="shared" si="55"/>
        <v/>
      </c>
      <c r="H743" s="141" t="str">
        <f t="shared" si="56"/>
        <v/>
      </c>
      <c r="J743" s="141" t="str">
        <f t="shared" si="57"/>
        <v/>
      </c>
      <c r="K743" s="141" t="str">
        <f t="shared" si="58"/>
        <v/>
      </c>
      <c r="L743" s="141" t="str">
        <f t="shared" si="59"/>
        <v/>
      </c>
    </row>
    <row r="744" spans="1:12" x14ac:dyDescent="0.3">
      <c r="A744" s="2" t="str">
        <f xml:space="preserve"> IF( 'From SvanPC++'!A744= "", "", ('From SvanPC++'!A744))</f>
        <v/>
      </c>
      <c r="C744" s="6" t="s">
        <v>10</v>
      </c>
      <c r="G744" s="38" t="str">
        <f t="shared" si="55"/>
        <v/>
      </c>
      <c r="H744" s="141" t="str">
        <f t="shared" si="56"/>
        <v/>
      </c>
      <c r="J744" s="141" t="str">
        <f t="shared" si="57"/>
        <v/>
      </c>
      <c r="K744" s="141" t="str">
        <f t="shared" si="58"/>
        <v/>
      </c>
      <c r="L744" s="141" t="str">
        <f t="shared" si="59"/>
        <v/>
      </c>
    </row>
    <row r="745" spans="1:12" x14ac:dyDescent="0.3">
      <c r="A745" s="2" t="str">
        <f xml:space="preserve"> IF( 'From SvanPC++'!A745= "", "", ('From SvanPC++'!A745))</f>
        <v/>
      </c>
      <c r="C745" s="6" t="s">
        <v>10</v>
      </c>
      <c r="G745" s="38" t="str">
        <f t="shared" si="55"/>
        <v/>
      </c>
      <c r="H745" s="141" t="str">
        <f t="shared" si="56"/>
        <v/>
      </c>
      <c r="J745" s="141" t="str">
        <f t="shared" si="57"/>
        <v/>
      </c>
      <c r="K745" s="141" t="str">
        <f t="shared" si="58"/>
        <v/>
      </c>
      <c r="L745" s="141" t="str">
        <f t="shared" si="59"/>
        <v/>
      </c>
    </row>
    <row r="746" spans="1:12" x14ac:dyDescent="0.3">
      <c r="A746" s="2" t="str">
        <f xml:space="preserve"> IF( 'From SvanPC++'!A746= "", "", ('From SvanPC++'!A746))</f>
        <v/>
      </c>
      <c r="C746" s="6" t="s">
        <v>10</v>
      </c>
      <c r="G746" s="38" t="str">
        <f t="shared" si="55"/>
        <v/>
      </c>
      <c r="H746" s="141" t="str">
        <f t="shared" si="56"/>
        <v/>
      </c>
      <c r="J746" s="141" t="str">
        <f t="shared" si="57"/>
        <v/>
      </c>
      <c r="K746" s="141" t="str">
        <f t="shared" si="58"/>
        <v/>
      </c>
      <c r="L746" s="141" t="str">
        <f t="shared" si="59"/>
        <v/>
      </c>
    </row>
    <row r="747" spans="1:12" x14ac:dyDescent="0.3">
      <c r="A747" s="2" t="str">
        <f xml:space="preserve"> IF( 'From SvanPC++'!A747= "", "", ('From SvanPC++'!A747))</f>
        <v/>
      </c>
      <c r="C747" s="6" t="s">
        <v>10</v>
      </c>
      <c r="G747" s="38" t="str">
        <f t="shared" si="55"/>
        <v/>
      </c>
      <c r="H747" s="141" t="str">
        <f t="shared" si="56"/>
        <v/>
      </c>
      <c r="J747" s="141" t="str">
        <f t="shared" si="57"/>
        <v/>
      </c>
      <c r="K747" s="141" t="str">
        <f t="shared" si="58"/>
        <v/>
      </c>
      <c r="L747" s="141" t="str">
        <f t="shared" si="59"/>
        <v/>
      </c>
    </row>
    <row r="748" spans="1:12" x14ac:dyDescent="0.3">
      <c r="A748" s="2" t="str">
        <f xml:space="preserve"> IF( 'From SvanPC++'!A748= "", "", ('From SvanPC++'!A748))</f>
        <v/>
      </c>
      <c r="C748" s="6" t="s">
        <v>10</v>
      </c>
      <c r="G748" s="38" t="str">
        <f t="shared" si="55"/>
        <v/>
      </c>
      <c r="H748" s="141" t="str">
        <f t="shared" si="56"/>
        <v/>
      </c>
      <c r="J748" s="141" t="str">
        <f t="shared" si="57"/>
        <v/>
      </c>
      <c r="K748" s="141" t="str">
        <f t="shared" si="58"/>
        <v/>
      </c>
      <c r="L748" s="141" t="str">
        <f t="shared" si="59"/>
        <v/>
      </c>
    </row>
    <row r="749" spans="1:12" x14ac:dyDescent="0.3">
      <c r="A749" s="2" t="str">
        <f xml:space="preserve"> IF( 'From SvanPC++'!A749= "", "", ('From SvanPC++'!A749))</f>
        <v/>
      </c>
      <c r="C749" s="6" t="s">
        <v>10</v>
      </c>
      <c r="G749" s="38" t="str">
        <f t="shared" si="55"/>
        <v/>
      </c>
      <c r="H749" s="141" t="str">
        <f t="shared" si="56"/>
        <v/>
      </c>
      <c r="J749" s="141" t="str">
        <f t="shared" si="57"/>
        <v/>
      </c>
      <c r="K749" s="141" t="str">
        <f t="shared" si="58"/>
        <v/>
      </c>
      <c r="L749" s="141" t="str">
        <f t="shared" si="59"/>
        <v/>
      </c>
    </row>
    <row r="750" spans="1:12" x14ac:dyDescent="0.3">
      <c r="A750" s="2" t="str">
        <f xml:space="preserve"> IF( 'From SvanPC++'!A750= "", "", ('From SvanPC++'!A750))</f>
        <v/>
      </c>
      <c r="C750" s="6" t="s">
        <v>10</v>
      </c>
      <c r="G750" s="38" t="str">
        <f t="shared" si="55"/>
        <v/>
      </c>
      <c r="H750" s="141" t="str">
        <f t="shared" si="56"/>
        <v/>
      </c>
      <c r="J750" s="141" t="str">
        <f t="shared" si="57"/>
        <v/>
      </c>
      <c r="K750" s="141" t="str">
        <f t="shared" si="58"/>
        <v/>
      </c>
      <c r="L750" s="141" t="str">
        <f t="shared" si="59"/>
        <v/>
      </c>
    </row>
    <row r="751" spans="1:12" x14ac:dyDescent="0.3">
      <c r="A751" s="2" t="str">
        <f xml:space="preserve"> IF( 'From SvanPC++'!A751= "", "", ('From SvanPC++'!A751))</f>
        <v/>
      </c>
      <c r="C751" s="6" t="s">
        <v>10</v>
      </c>
      <c r="G751" s="38" t="str">
        <f t="shared" si="55"/>
        <v/>
      </c>
      <c r="H751" s="141" t="str">
        <f t="shared" si="56"/>
        <v/>
      </c>
      <c r="J751" s="141" t="str">
        <f t="shared" si="57"/>
        <v/>
      </c>
      <c r="K751" s="141" t="str">
        <f t="shared" si="58"/>
        <v/>
      </c>
      <c r="L751" s="141" t="str">
        <f t="shared" si="59"/>
        <v/>
      </c>
    </row>
    <row r="752" spans="1:12" x14ac:dyDescent="0.3">
      <c r="A752" s="2" t="str">
        <f xml:space="preserve"> IF( 'From SvanPC++'!A752= "", "", ('From SvanPC++'!A752))</f>
        <v/>
      </c>
      <c r="C752" s="6" t="s">
        <v>10</v>
      </c>
      <c r="G752" s="38" t="str">
        <f t="shared" si="55"/>
        <v/>
      </c>
      <c r="H752" s="141" t="str">
        <f t="shared" si="56"/>
        <v/>
      </c>
      <c r="J752" s="141" t="str">
        <f t="shared" si="57"/>
        <v/>
      </c>
      <c r="K752" s="141" t="str">
        <f t="shared" si="58"/>
        <v/>
      </c>
      <c r="L752" s="141" t="str">
        <f t="shared" si="59"/>
        <v/>
      </c>
    </row>
    <row r="753" spans="1:12" x14ac:dyDescent="0.3">
      <c r="A753" s="2" t="str">
        <f xml:space="preserve"> IF( 'From SvanPC++'!A753= "", "", ('From SvanPC++'!A753))</f>
        <v/>
      </c>
      <c r="C753" s="6" t="s">
        <v>10</v>
      </c>
      <c r="G753" s="38" t="str">
        <f t="shared" si="55"/>
        <v/>
      </c>
      <c r="H753" s="141" t="str">
        <f t="shared" si="56"/>
        <v/>
      </c>
      <c r="J753" s="141" t="str">
        <f t="shared" si="57"/>
        <v/>
      </c>
      <c r="K753" s="141" t="str">
        <f t="shared" si="58"/>
        <v/>
      </c>
      <c r="L753" s="141" t="str">
        <f t="shared" si="59"/>
        <v/>
      </c>
    </row>
    <row r="754" spans="1:12" x14ac:dyDescent="0.3">
      <c r="A754" s="2" t="str">
        <f xml:space="preserve"> IF( 'From SvanPC++'!A754= "", "", ('From SvanPC++'!A754))</f>
        <v/>
      </c>
      <c r="C754" s="6" t="s">
        <v>10</v>
      </c>
      <c r="G754" s="38" t="str">
        <f t="shared" si="55"/>
        <v/>
      </c>
      <c r="H754" s="141" t="str">
        <f t="shared" si="56"/>
        <v/>
      </c>
      <c r="J754" s="141" t="str">
        <f t="shared" si="57"/>
        <v/>
      </c>
      <c r="K754" s="141" t="str">
        <f t="shared" si="58"/>
        <v/>
      </c>
      <c r="L754" s="141" t="str">
        <f t="shared" si="59"/>
        <v/>
      </c>
    </row>
    <row r="755" spans="1:12" x14ac:dyDescent="0.3">
      <c r="A755" s="2" t="str">
        <f xml:space="preserve"> IF( 'From SvanPC++'!A755= "", "", ('From SvanPC++'!A755))</f>
        <v/>
      </c>
      <c r="C755" s="6" t="s">
        <v>10</v>
      </c>
      <c r="G755" s="38" t="str">
        <f t="shared" si="55"/>
        <v/>
      </c>
      <c r="H755" s="141" t="str">
        <f t="shared" si="56"/>
        <v/>
      </c>
      <c r="J755" s="141" t="str">
        <f t="shared" si="57"/>
        <v/>
      </c>
      <c r="K755" s="141" t="str">
        <f t="shared" si="58"/>
        <v/>
      </c>
      <c r="L755" s="141" t="str">
        <f t="shared" si="59"/>
        <v/>
      </c>
    </row>
    <row r="756" spans="1:12" x14ac:dyDescent="0.3">
      <c r="A756" s="2" t="str">
        <f xml:space="preserve"> IF( 'From SvanPC++'!A756= "", "", ('From SvanPC++'!A756))</f>
        <v/>
      </c>
      <c r="C756" s="6" t="s">
        <v>10</v>
      </c>
      <c r="G756" s="38" t="str">
        <f t="shared" si="55"/>
        <v/>
      </c>
      <c r="H756" s="141" t="str">
        <f t="shared" si="56"/>
        <v/>
      </c>
      <c r="J756" s="141" t="str">
        <f t="shared" si="57"/>
        <v/>
      </c>
      <c r="K756" s="141" t="str">
        <f t="shared" si="58"/>
        <v/>
      </c>
      <c r="L756" s="141" t="str">
        <f t="shared" si="59"/>
        <v/>
      </c>
    </row>
    <row r="757" spans="1:12" x14ac:dyDescent="0.3">
      <c r="A757" s="2" t="str">
        <f xml:space="preserve"> IF( 'From SvanPC++'!A757= "", "", ('From SvanPC++'!A757))</f>
        <v/>
      </c>
      <c r="C757" s="6" t="s">
        <v>10</v>
      </c>
      <c r="G757" s="38" t="str">
        <f t="shared" si="55"/>
        <v/>
      </c>
      <c r="H757" s="141" t="str">
        <f t="shared" si="56"/>
        <v/>
      </c>
      <c r="J757" s="141" t="str">
        <f t="shared" si="57"/>
        <v/>
      </c>
      <c r="K757" s="141" t="str">
        <f t="shared" si="58"/>
        <v/>
      </c>
      <c r="L757" s="141" t="str">
        <f t="shared" si="59"/>
        <v/>
      </c>
    </row>
    <row r="758" spans="1:12" x14ac:dyDescent="0.3">
      <c r="A758" s="2" t="str">
        <f xml:space="preserve"> IF( 'From SvanPC++'!A758= "", "", ('From SvanPC++'!A758))</f>
        <v/>
      </c>
      <c r="C758" s="6" t="s">
        <v>10</v>
      </c>
      <c r="G758" s="38" t="str">
        <f t="shared" si="55"/>
        <v/>
      </c>
      <c r="H758" s="141" t="str">
        <f t="shared" si="56"/>
        <v/>
      </c>
      <c r="J758" s="141" t="str">
        <f t="shared" si="57"/>
        <v/>
      </c>
      <c r="K758" s="141" t="str">
        <f t="shared" si="58"/>
        <v/>
      </c>
      <c r="L758" s="141" t="str">
        <f t="shared" si="59"/>
        <v/>
      </c>
    </row>
    <row r="759" spans="1:12" x14ac:dyDescent="0.3">
      <c r="A759" s="2" t="str">
        <f xml:space="preserve"> IF( 'From SvanPC++'!A759= "", "", ('From SvanPC++'!A759))</f>
        <v/>
      </c>
      <c r="C759" s="6" t="s">
        <v>10</v>
      </c>
      <c r="G759" s="38" t="str">
        <f t="shared" si="55"/>
        <v/>
      </c>
      <c r="H759" s="141" t="str">
        <f t="shared" si="56"/>
        <v/>
      </c>
      <c r="J759" s="141" t="str">
        <f t="shared" si="57"/>
        <v/>
      </c>
      <c r="K759" s="141" t="str">
        <f t="shared" si="58"/>
        <v/>
      </c>
      <c r="L759" s="141" t="str">
        <f t="shared" si="59"/>
        <v/>
      </c>
    </row>
    <row r="760" spans="1:12" x14ac:dyDescent="0.3">
      <c r="A760" s="2" t="str">
        <f xml:space="preserve"> IF( 'From SvanPC++'!A760= "", "", ('From SvanPC++'!A760))</f>
        <v/>
      </c>
      <c r="C760" s="6" t="s">
        <v>10</v>
      </c>
      <c r="G760" s="38" t="str">
        <f t="shared" si="55"/>
        <v/>
      </c>
      <c r="H760" s="141" t="str">
        <f t="shared" si="56"/>
        <v/>
      </c>
      <c r="J760" s="141" t="str">
        <f t="shared" si="57"/>
        <v/>
      </c>
      <c r="K760" s="141" t="str">
        <f t="shared" si="58"/>
        <v/>
      </c>
      <c r="L760" s="141" t="str">
        <f t="shared" si="59"/>
        <v/>
      </c>
    </row>
    <row r="761" spans="1:12" x14ac:dyDescent="0.3">
      <c r="A761" s="2" t="str">
        <f xml:space="preserve"> IF( 'From SvanPC++'!A761= "", "", ('From SvanPC++'!A761))</f>
        <v/>
      </c>
      <c r="C761" s="6" t="s">
        <v>10</v>
      </c>
      <c r="G761" s="38" t="str">
        <f t="shared" si="55"/>
        <v/>
      </c>
      <c r="H761" s="141" t="str">
        <f t="shared" si="56"/>
        <v/>
      </c>
      <c r="J761" s="141" t="str">
        <f t="shared" si="57"/>
        <v/>
      </c>
      <c r="K761" s="141" t="str">
        <f t="shared" si="58"/>
        <v/>
      </c>
      <c r="L761" s="141" t="str">
        <f t="shared" si="59"/>
        <v/>
      </c>
    </row>
    <row r="762" spans="1:12" x14ac:dyDescent="0.3">
      <c r="A762" s="2" t="str">
        <f xml:space="preserve"> IF( 'From SvanPC++'!A762= "", "", ('From SvanPC++'!A762))</f>
        <v/>
      </c>
      <c r="C762" s="6" t="s">
        <v>10</v>
      </c>
      <c r="G762" s="38" t="str">
        <f t="shared" si="55"/>
        <v/>
      </c>
      <c r="H762" s="141" t="str">
        <f t="shared" si="56"/>
        <v/>
      </c>
      <c r="J762" s="141" t="str">
        <f t="shared" si="57"/>
        <v/>
      </c>
      <c r="K762" s="141" t="str">
        <f t="shared" si="58"/>
        <v/>
      </c>
      <c r="L762" s="141" t="str">
        <f t="shared" si="59"/>
        <v/>
      </c>
    </row>
    <row r="763" spans="1:12" x14ac:dyDescent="0.3">
      <c r="A763" s="2" t="str">
        <f xml:space="preserve"> IF( 'From SvanPC++'!A763= "", "", ('From SvanPC++'!A763))</f>
        <v/>
      </c>
      <c r="C763" s="6" t="s">
        <v>10</v>
      </c>
      <c r="G763" s="38" t="str">
        <f t="shared" si="55"/>
        <v/>
      </c>
      <c r="H763" s="141" t="str">
        <f t="shared" si="56"/>
        <v/>
      </c>
      <c r="J763" s="141" t="str">
        <f t="shared" si="57"/>
        <v/>
      </c>
      <c r="K763" s="141" t="str">
        <f t="shared" si="58"/>
        <v/>
      </c>
      <c r="L763" s="141" t="str">
        <f t="shared" si="59"/>
        <v/>
      </c>
    </row>
    <row r="764" spans="1:12" x14ac:dyDescent="0.3">
      <c r="A764" s="2" t="str">
        <f xml:space="preserve"> IF( 'From SvanPC++'!A764= "", "", ('From SvanPC++'!A764))</f>
        <v/>
      </c>
      <c r="C764" s="6" t="s">
        <v>10</v>
      </c>
      <c r="G764" s="38" t="str">
        <f t="shared" si="55"/>
        <v/>
      </c>
      <c r="H764" s="141" t="str">
        <f t="shared" si="56"/>
        <v/>
      </c>
      <c r="J764" s="141" t="str">
        <f t="shared" si="57"/>
        <v/>
      </c>
      <c r="K764" s="141" t="str">
        <f t="shared" si="58"/>
        <v/>
      </c>
      <c r="L764" s="141" t="str">
        <f t="shared" si="59"/>
        <v/>
      </c>
    </row>
    <row r="765" spans="1:12" x14ac:dyDescent="0.3">
      <c r="A765" s="2" t="str">
        <f xml:space="preserve"> IF( 'From SvanPC++'!A765= "", "", ('From SvanPC++'!A765))</f>
        <v/>
      </c>
      <c r="C765" s="6" t="s">
        <v>10</v>
      </c>
      <c r="G765" s="38" t="str">
        <f t="shared" si="55"/>
        <v/>
      </c>
      <c r="H765" s="141" t="str">
        <f t="shared" si="56"/>
        <v/>
      </c>
      <c r="J765" s="141" t="str">
        <f t="shared" si="57"/>
        <v/>
      </c>
      <c r="K765" s="141" t="str">
        <f t="shared" si="58"/>
        <v/>
      </c>
      <c r="L765" s="141" t="str">
        <f t="shared" si="59"/>
        <v/>
      </c>
    </row>
    <row r="766" spans="1:12" x14ac:dyDescent="0.3">
      <c r="A766" s="2" t="str">
        <f xml:space="preserve"> IF( 'From SvanPC++'!A766= "", "", ('From SvanPC++'!A766))</f>
        <v/>
      </c>
      <c r="C766" s="6" t="s">
        <v>10</v>
      </c>
      <c r="G766" s="38" t="str">
        <f t="shared" si="55"/>
        <v/>
      </c>
      <c r="H766" s="141" t="str">
        <f t="shared" si="56"/>
        <v/>
      </c>
      <c r="J766" s="141" t="str">
        <f t="shared" si="57"/>
        <v/>
      </c>
      <c r="K766" s="141" t="str">
        <f t="shared" si="58"/>
        <v/>
      </c>
      <c r="L766" s="141" t="str">
        <f t="shared" si="59"/>
        <v/>
      </c>
    </row>
    <row r="767" spans="1:12" x14ac:dyDescent="0.3">
      <c r="A767" s="2" t="str">
        <f xml:space="preserve"> IF( 'From SvanPC++'!A767= "", "", ('From SvanPC++'!A767))</f>
        <v/>
      </c>
      <c r="C767" s="6" t="s">
        <v>10</v>
      </c>
      <c r="G767" s="38" t="str">
        <f t="shared" si="55"/>
        <v/>
      </c>
      <c r="H767" s="141" t="str">
        <f t="shared" si="56"/>
        <v/>
      </c>
      <c r="J767" s="141" t="str">
        <f t="shared" si="57"/>
        <v/>
      </c>
      <c r="K767" s="141" t="str">
        <f t="shared" si="58"/>
        <v/>
      </c>
      <c r="L767" s="141" t="str">
        <f t="shared" si="59"/>
        <v/>
      </c>
    </row>
    <row r="768" spans="1:12" x14ac:dyDescent="0.3">
      <c r="A768" s="2" t="str">
        <f xml:space="preserve"> IF( 'From SvanPC++'!A768= "", "", ('From SvanPC++'!A768))</f>
        <v/>
      </c>
      <c r="C768" s="6" t="s">
        <v>10</v>
      </c>
      <c r="G768" s="38" t="str">
        <f t="shared" si="55"/>
        <v/>
      </c>
      <c r="H768" s="141" t="str">
        <f t="shared" si="56"/>
        <v/>
      </c>
      <c r="J768" s="141" t="str">
        <f t="shared" si="57"/>
        <v/>
      </c>
      <c r="K768" s="141" t="str">
        <f t="shared" si="58"/>
        <v/>
      </c>
      <c r="L768" s="141" t="str">
        <f t="shared" si="59"/>
        <v/>
      </c>
    </row>
    <row r="769" spans="1:12" x14ac:dyDescent="0.3">
      <c r="A769" s="2" t="str">
        <f xml:space="preserve"> IF( 'From SvanPC++'!A769= "", "", ('From SvanPC++'!A769))</f>
        <v/>
      </c>
      <c r="C769" s="6" t="s">
        <v>10</v>
      </c>
      <c r="G769" s="38" t="str">
        <f t="shared" si="55"/>
        <v/>
      </c>
      <c r="H769" s="141" t="str">
        <f t="shared" si="56"/>
        <v/>
      </c>
      <c r="J769" s="141" t="str">
        <f t="shared" si="57"/>
        <v/>
      </c>
      <c r="K769" s="141" t="str">
        <f t="shared" si="58"/>
        <v/>
      </c>
      <c r="L769" s="141" t="str">
        <f t="shared" si="59"/>
        <v/>
      </c>
    </row>
    <row r="770" spans="1:12" x14ac:dyDescent="0.3">
      <c r="A770" s="2" t="str">
        <f xml:space="preserve"> IF( 'From SvanPC++'!A770= "", "", ('From SvanPC++'!A770))</f>
        <v/>
      </c>
      <c r="C770" s="6" t="s">
        <v>10</v>
      </c>
      <c r="G770" s="38" t="str">
        <f t="shared" si="55"/>
        <v/>
      </c>
      <c r="H770" s="141" t="str">
        <f t="shared" si="56"/>
        <v/>
      </c>
      <c r="J770" s="141" t="str">
        <f t="shared" si="57"/>
        <v/>
      </c>
      <c r="K770" s="141" t="str">
        <f t="shared" si="58"/>
        <v/>
      </c>
      <c r="L770" s="141" t="str">
        <f t="shared" si="59"/>
        <v/>
      </c>
    </row>
    <row r="771" spans="1:12" x14ac:dyDescent="0.3">
      <c r="A771" s="2" t="str">
        <f xml:space="preserve"> IF( 'From SvanPC++'!A771= "", "", ('From SvanPC++'!A771))</f>
        <v/>
      </c>
      <c r="C771" s="6" t="s">
        <v>10</v>
      </c>
      <c r="G771" s="38" t="str">
        <f t="shared" si="55"/>
        <v/>
      </c>
      <c r="H771" s="141" t="str">
        <f t="shared" si="56"/>
        <v/>
      </c>
      <c r="J771" s="141" t="str">
        <f t="shared" si="57"/>
        <v/>
      </c>
      <c r="K771" s="141" t="str">
        <f t="shared" si="58"/>
        <v/>
      </c>
      <c r="L771" s="141" t="str">
        <f t="shared" si="59"/>
        <v/>
      </c>
    </row>
    <row r="772" spans="1:12" x14ac:dyDescent="0.3">
      <c r="A772" s="2" t="str">
        <f xml:space="preserve"> IF( 'From SvanPC++'!A772= "", "", ('From SvanPC++'!A772))</f>
        <v/>
      </c>
      <c r="C772" s="6" t="s">
        <v>10</v>
      </c>
      <c r="G772" s="38" t="str">
        <f t="shared" si="55"/>
        <v/>
      </c>
      <c r="H772" s="141" t="str">
        <f t="shared" si="56"/>
        <v/>
      </c>
      <c r="J772" s="141" t="str">
        <f t="shared" si="57"/>
        <v/>
      </c>
      <c r="K772" s="141" t="str">
        <f t="shared" si="58"/>
        <v/>
      </c>
      <c r="L772" s="141" t="str">
        <f t="shared" si="59"/>
        <v/>
      </c>
    </row>
    <row r="773" spans="1:12" x14ac:dyDescent="0.3">
      <c r="A773" s="2" t="str">
        <f xml:space="preserve"> IF( 'From SvanPC++'!A773= "", "", ('From SvanPC++'!A773))</f>
        <v/>
      </c>
      <c r="C773" s="6" t="s">
        <v>10</v>
      </c>
      <c r="G773" s="38" t="str">
        <f t="shared" si="55"/>
        <v/>
      </c>
      <c r="H773" s="141" t="str">
        <f t="shared" si="56"/>
        <v/>
      </c>
      <c r="J773" s="141" t="str">
        <f t="shared" si="57"/>
        <v/>
      </c>
      <c r="K773" s="141" t="str">
        <f t="shared" si="58"/>
        <v/>
      </c>
      <c r="L773" s="141" t="str">
        <f t="shared" si="59"/>
        <v/>
      </c>
    </row>
    <row r="774" spans="1:12" x14ac:dyDescent="0.3">
      <c r="A774" s="2" t="str">
        <f xml:space="preserve"> IF( 'From SvanPC++'!A774= "", "", ('From SvanPC++'!A774))</f>
        <v/>
      </c>
      <c r="C774" s="6" t="s">
        <v>10</v>
      </c>
      <c r="G774" s="38" t="str">
        <f t="shared" si="55"/>
        <v/>
      </c>
      <c r="H774" s="141" t="str">
        <f t="shared" si="56"/>
        <v/>
      </c>
      <c r="J774" s="141" t="str">
        <f t="shared" si="57"/>
        <v/>
      </c>
      <c r="K774" s="141" t="str">
        <f t="shared" si="58"/>
        <v/>
      </c>
      <c r="L774" s="141" t="str">
        <f t="shared" si="59"/>
        <v/>
      </c>
    </row>
    <row r="775" spans="1:12" x14ac:dyDescent="0.3">
      <c r="A775" s="2" t="str">
        <f xml:space="preserve"> IF( 'From SvanPC++'!A775= "", "", ('From SvanPC++'!A775))</f>
        <v/>
      </c>
      <c r="C775" s="6" t="s">
        <v>10</v>
      </c>
      <c r="G775" s="38" t="str">
        <f t="shared" ref="G775:G838" si="60" xml:space="preserve"> IF( D775= "", "", ( IF( AND( D775 &gt;= TIMEVALUE( "07:00:01" ), D775 &lt; TIMEVALUE( "08:00:01" ) ) = TRUE, (G774+1), (G774+0) )))</f>
        <v/>
      </c>
      <c r="H775" s="141" t="str">
        <f t="shared" ref="H775:H838" si="61" xml:space="preserve"> IF( D775= "", "", (
IF( AND( D775 &gt;= TIMEVALUE( "07:00:01" ), D775 &lt;= TIMEVALUE( "18:00:00" ), WEEKDAY( C775,1+N("            Weekday Day Period              ")) &gt;=2, ( WEEKDAY( C775,1) &lt;=6) ) = TRUE, "Day",
IF( AND( D775 &gt;= TIMEVALUE( "18:00:01" ), D775 &lt;= TIMEVALUE( "22:00:00" ), WEEKDAY( C775,1+N("            Weekday Evening Period          ")) &gt;=2, ( WEEKDAY( C775,1) &lt;=6) ) = TRUE, "Evening",
IF( AND( D775 &gt;= TIMEVALUE( "22:00:01" ), D775 &lt;= TIMEVALUE( "23:59:59" ), WEEKDAY( C775,1+N("            Weekday Night Period            ")) &gt;=2, ( WEEKDAY( C775,1) &lt;=6) ) = TRUE, "Night",
IF( AND( D775 &gt;= TIMEVALUE( "00:00:00" ), D775 &lt;= TIMEVALUE( "07:00:00" ), WEEKDAY( C775,1+N("            Weekday Night Period            ")) &gt;=2, ( WEEKDAY( C775,1) &lt;=6) ) = TRUE, "Night",
IF( AND( D775 &gt;= TIMEVALUE( "07:00:01" ), D775 &lt;= TIMEVALUE( "18:00:00" ), WEEKDAY( C775) =(7+N("         Saturday Day Period             ")) ) = TRUE, "Day",
IF( AND( D775 &gt;= TIMEVALUE( "18:00:01" ), D775 &lt;= TIMEVALUE( "22:00:00" ), WEEKDAY( C775) =(7+N("         Saturday Evening Period         ")) ) = TRUE, "Evening",
IF( AND( D775 &gt;= TIMEVALUE( "22:00:01" ), D775 &lt;= TIMEVALUE( "23:59:59" ), WEEKDAY( C775) =(7+N("         Saturday Night Period           ")) ) = TRUE, "Night",
IF( AND( D775 &gt;= TIMEVALUE( "00:00:00" ), D775 &lt;= TIMEVALUE( "07:00:00" ), WEEKDAY( C775) =(7+N("         Saturday Night Period           ")) ) = TRUE, "Night",
IF( AND( D775 &gt;= TIMEVALUE( "07:00:01" ), D775 &lt;= TIMEVALUE( "22:00:00" ), WEEKDAY( C775) =(1+N("         Sunday Evening Period           ")) ) = TRUE, "Evening",
IF( AND( D775 &gt;= TIMEVALUE( "20:00:01" ), D775 &lt;= TIMEVALUE( "23:59:59" ), WEEKDAY( C775) =(1+N("         Sunday Night Period             ")) ) = TRUE, "Night",
IF( AND( D775 &gt;= TIMEVALUE( "00:00:00" ), D775 &lt;= TIMEVALUE( "07:00:00" ), WEEKDAY( C775) =(1+N("         Sunday Night Period             ")) ) = TRUE, "Night",
)))))))))))))</f>
        <v/>
      </c>
      <c r="J775" s="141" t="str">
        <f t="shared" si="57"/>
        <v/>
      </c>
      <c r="K775" s="141" t="str">
        <f t="shared" si="58"/>
        <v/>
      </c>
      <c r="L775" s="141" t="str">
        <f t="shared" si="59"/>
        <v/>
      </c>
    </row>
    <row r="776" spans="1:12" x14ac:dyDescent="0.3">
      <c r="A776" s="2" t="str">
        <f xml:space="preserve"> IF( 'From SvanPC++'!A776= "", "", ('From SvanPC++'!A776))</f>
        <v/>
      </c>
      <c r="C776" s="6" t="s">
        <v>10</v>
      </c>
      <c r="G776" s="38" t="str">
        <f t="shared" si="60"/>
        <v/>
      </c>
      <c r="H776" s="141" t="str">
        <f t="shared" si="61"/>
        <v/>
      </c>
      <c r="J776" s="141" t="str">
        <f t="shared" ref="J776:J839" si="62" xml:space="preserve"> IF( ISERROR( IF( D776= "", "", ( IF( G776= (G775+1), ( AVERAGEIFS( E776:E920, G776:G920, G776, H776:H920, "Day" )), "" )))), "",( IF( D776= "", "", ( IF( G776= (G775+1), ( AVERAGEIFS( E776:E920, G776:G920, G776, H776:H920, "Day" )), "" )))))</f>
        <v/>
      </c>
      <c r="K776" s="141" t="str">
        <f t="shared" ref="K776:K839" si="63" xml:space="preserve"> IF( ISERROR( IF( D776= "", "", ( IF( G776= (G775+1), ( AVERAGEIFS( E776:E920, G776:G920, G776, H776:H920, "Evening" )), "" )))), "",( IF( D776= "", "", ( IF( G776= (G775+1), ( AVERAGEIFS( E776:E920, G776:G920, G776, H776:H920, "Evening" )), "" )))))</f>
        <v/>
      </c>
      <c r="L776" s="141" t="str">
        <f t="shared" ref="L776:L839" si="64" xml:space="preserve"> IF( ISERROR( IF( D776= "", "", ( IF( G776= (G775+1), ( AVERAGEIFS( E776:E920, G776:G920, G776, H776:H920, "Night" )), "" )))), "",( IF( D776= "", "", ( IF( G776= (G775+1), ( AVERAGEIFS( E776:E920, G776:G920, G776, H776:H920, "Night" )), "" )))))</f>
        <v/>
      </c>
    </row>
    <row r="777" spans="1:12" x14ac:dyDescent="0.3">
      <c r="A777" s="2" t="str">
        <f xml:space="preserve"> IF( 'From SvanPC++'!A777= "", "", ('From SvanPC++'!A777))</f>
        <v/>
      </c>
      <c r="C777" s="6" t="s">
        <v>10</v>
      </c>
      <c r="G777" s="38" t="str">
        <f t="shared" si="60"/>
        <v/>
      </c>
      <c r="H777" s="141" t="str">
        <f t="shared" si="61"/>
        <v/>
      </c>
      <c r="J777" s="141" t="str">
        <f t="shared" si="62"/>
        <v/>
      </c>
      <c r="K777" s="141" t="str">
        <f t="shared" si="63"/>
        <v/>
      </c>
      <c r="L777" s="141" t="str">
        <f t="shared" si="64"/>
        <v/>
      </c>
    </row>
    <row r="778" spans="1:12" x14ac:dyDescent="0.3">
      <c r="A778" s="2" t="str">
        <f xml:space="preserve"> IF( 'From SvanPC++'!A778= "", "", ('From SvanPC++'!A778))</f>
        <v/>
      </c>
      <c r="C778" s="6" t="s">
        <v>10</v>
      </c>
      <c r="G778" s="38" t="str">
        <f t="shared" si="60"/>
        <v/>
      </c>
      <c r="H778" s="141" t="str">
        <f t="shared" si="61"/>
        <v/>
      </c>
      <c r="J778" s="141" t="str">
        <f t="shared" si="62"/>
        <v/>
      </c>
      <c r="K778" s="141" t="str">
        <f t="shared" si="63"/>
        <v/>
      </c>
      <c r="L778" s="141" t="str">
        <f t="shared" si="64"/>
        <v/>
      </c>
    </row>
    <row r="779" spans="1:12" x14ac:dyDescent="0.3">
      <c r="A779" s="2" t="str">
        <f xml:space="preserve"> IF( 'From SvanPC++'!A779= "", "", ('From SvanPC++'!A779))</f>
        <v/>
      </c>
      <c r="C779" s="6" t="s">
        <v>10</v>
      </c>
      <c r="G779" s="38" t="str">
        <f t="shared" si="60"/>
        <v/>
      </c>
      <c r="H779" s="141" t="str">
        <f t="shared" si="61"/>
        <v/>
      </c>
      <c r="J779" s="141" t="str">
        <f t="shared" si="62"/>
        <v/>
      </c>
      <c r="K779" s="141" t="str">
        <f t="shared" si="63"/>
        <v/>
      </c>
      <c r="L779" s="141" t="str">
        <f t="shared" si="64"/>
        <v/>
      </c>
    </row>
    <row r="780" spans="1:12" x14ac:dyDescent="0.3">
      <c r="A780" s="2" t="str">
        <f xml:space="preserve"> IF( 'From SvanPC++'!A780= "", "", ('From SvanPC++'!A780))</f>
        <v/>
      </c>
      <c r="C780" s="6" t="s">
        <v>10</v>
      </c>
      <c r="G780" s="38" t="str">
        <f t="shared" si="60"/>
        <v/>
      </c>
      <c r="H780" s="141" t="str">
        <f t="shared" si="61"/>
        <v/>
      </c>
      <c r="J780" s="141" t="str">
        <f t="shared" si="62"/>
        <v/>
      </c>
      <c r="K780" s="141" t="str">
        <f t="shared" si="63"/>
        <v/>
      </c>
      <c r="L780" s="141" t="str">
        <f t="shared" si="64"/>
        <v/>
      </c>
    </row>
    <row r="781" spans="1:12" x14ac:dyDescent="0.3">
      <c r="A781" s="2" t="str">
        <f xml:space="preserve"> IF( 'From SvanPC++'!A781= "", "", ('From SvanPC++'!A781))</f>
        <v/>
      </c>
      <c r="C781" s="6" t="s">
        <v>10</v>
      </c>
      <c r="G781" s="38" t="str">
        <f t="shared" si="60"/>
        <v/>
      </c>
      <c r="H781" s="141" t="str">
        <f t="shared" si="61"/>
        <v/>
      </c>
      <c r="J781" s="141" t="str">
        <f t="shared" si="62"/>
        <v/>
      </c>
      <c r="K781" s="141" t="str">
        <f t="shared" si="63"/>
        <v/>
      </c>
      <c r="L781" s="141" t="str">
        <f t="shared" si="64"/>
        <v/>
      </c>
    </row>
    <row r="782" spans="1:12" x14ac:dyDescent="0.3">
      <c r="A782" s="2" t="str">
        <f xml:space="preserve"> IF( 'From SvanPC++'!A782= "", "", ('From SvanPC++'!A782))</f>
        <v/>
      </c>
      <c r="C782" s="6" t="s">
        <v>10</v>
      </c>
      <c r="G782" s="38" t="str">
        <f t="shared" si="60"/>
        <v/>
      </c>
      <c r="H782" s="141" t="str">
        <f t="shared" si="61"/>
        <v/>
      </c>
      <c r="J782" s="141" t="str">
        <f t="shared" si="62"/>
        <v/>
      </c>
      <c r="K782" s="141" t="str">
        <f t="shared" si="63"/>
        <v/>
      </c>
      <c r="L782" s="141" t="str">
        <f t="shared" si="64"/>
        <v/>
      </c>
    </row>
    <row r="783" spans="1:12" x14ac:dyDescent="0.3">
      <c r="A783" s="2" t="str">
        <f xml:space="preserve"> IF( 'From SvanPC++'!A783= "", "", ('From SvanPC++'!A783))</f>
        <v/>
      </c>
      <c r="C783" s="6" t="s">
        <v>10</v>
      </c>
      <c r="G783" s="38" t="str">
        <f t="shared" si="60"/>
        <v/>
      </c>
      <c r="H783" s="141" t="str">
        <f t="shared" si="61"/>
        <v/>
      </c>
      <c r="J783" s="141" t="str">
        <f t="shared" si="62"/>
        <v/>
      </c>
      <c r="K783" s="141" t="str">
        <f t="shared" si="63"/>
        <v/>
      </c>
      <c r="L783" s="141" t="str">
        <f t="shared" si="64"/>
        <v/>
      </c>
    </row>
    <row r="784" spans="1:12" x14ac:dyDescent="0.3">
      <c r="A784" s="2" t="str">
        <f xml:space="preserve"> IF( 'From SvanPC++'!A784= "", "", ('From SvanPC++'!A784))</f>
        <v/>
      </c>
      <c r="C784" s="6" t="s">
        <v>10</v>
      </c>
      <c r="G784" s="38" t="str">
        <f t="shared" si="60"/>
        <v/>
      </c>
      <c r="H784" s="141" t="str">
        <f t="shared" si="61"/>
        <v/>
      </c>
      <c r="J784" s="141" t="str">
        <f t="shared" si="62"/>
        <v/>
      </c>
      <c r="K784" s="141" t="str">
        <f t="shared" si="63"/>
        <v/>
      </c>
      <c r="L784" s="141" t="str">
        <f t="shared" si="64"/>
        <v/>
      </c>
    </row>
    <row r="785" spans="1:12" x14ac:dyDescent="0.3">
      <c r="A785" s="2" t="str">
        <f xml:space="preserve"> IF( 'From SvanPC++'!A785= "", "", ('From SvanPC++'!A785))</f>
        <v/>
      </c>
      <c r="C785" s="6" t="s">
        <v>10</v>
      </c>
      <c r="G785" s="38" t="str">
        <f t="shared" si="60"/>
        <v/>
      </c>
      <c r="H785" s="141" t="str">
        <f t="shared" si="61"/>
        <v/>
      </c>
      <c r="J785" s="141" t="str">
        <f t="shared" si="62"/>
        <v/>
      </c>
      <c r="K785" s="141" t="str">
        <f t="shared" si="63"/>
        <v/>
      </c>
      <c r="L785" s="141" t="str">
        <f t="shared" si="64"/>
        <v/>
      </c>
    </row>
    <row r="786" spans="1:12" x14ac:dyDescent="0.3">
      <c r="A786" s="2" t="str">
        <f xml:space="preserve"> IF( 'From SvanPC++'!A786= "", "", ('From SvanPC++'!A786))</f>
        <v/>
      </c>
      <c r="C786" s="6" t="s">
        <v>10</v>
      </c>
      <c r="G786" s="38" t="str">
        <f t="shared" si="60"/>
        <v/>
      </c>
      <c r="H786" s="141" t="str">
        <f t="shared" si="61"/>
        <v/>
      </c>
      <c r="J786" s="141" t="str">
        <f t="shared" si="62"/>
        <v/>
      </c>
      <c r="K786" s="141" t="str">
        <f t="shared" si="63"/>
        <v/>
      </c>
      <c r="L786" s="141" t="str">
        <f t="shared" si="64"/>
        <v/>
      </c>
    </row>
    <row r="787" spans="1:12" x14ac:dyDescent="0.3">
      <c r="A787" s="2" t="str">
        <f xml:space="preserve"> IF( 'From SvanPC++'!A787= "", "", ('From SvanPC++'!A787))</f>
        <v/>
      </c>
      <c r="C787" s="6" t="s">
        <v>10</v>
      </c>
      <c r="G787" s="38" t="str">
        <f t="shared" si="60"/>
        <v/>
      </c>
      <c r="H787" s="141" t="str">
        <f t="shared" si="61"/>
        <v/>
      </c>
      <c r="J787" s="141" t="str">
        <f t="shared" si="62"/>
        <v/>
      </c>
      <c r="K787" s="141" t="str">
        <f t="shared" si="63"/>
        <v/>
      </c>
      <c r="L787" s="141" t="str">
        <f t="shared" si="64"/>
        <v/>
      </c>
    </row>
    <row r="788" spans="1:12" x14ac:dyDescent="0.3">
      <c r="A788" s="2" t="str">
        <f xml:space="preserve"> IF( 'From SvanPC++'!A788= "", "", ('From SvanPC++'!A788))</f>
        <v/>
      </c>
      <c r="C788" s="6" t="s">
        <v>10</v>
      </c>
      <c r="G788" s="38" t="str">
        <f t="shared" si="60"/>
        <v/>
      </c>
      <c r="H788" s="141" t="str">
        <f t="shared" si="61"/>
        <v/>
      </c>
      <c r="J788" s="141" t="str">
        <f t="shared" si="62"/>
        <v/>
      </c>
      <c r="K788" s="141" t="str">
        <f t="shared" si="63"/>
        <v/>
      </c>
      <c r="L788" s="141" t="str">
        <f t="shared" si="64"/>
        <v/>
      </c>
    </row>
    <row r="789" spans="1:12" x14ac:dyDescent="0.3">
      <c r="A789" s="2" t="str">
        <f xml:space="preserve"> IF( 'From SvanPC++'!A789= "", "", ('From SvanPC++'!A789))</f>
        <v/>
      </c>
      <c r="C789" s="6" t="s">
        <v>10</v>
      </c>
      <c r="G789" s="38" t="str">
        <f t="shared" si="60"/>
        <v/>
      </c>
      <c r="H789" s="141" t="str">
        <f t="shared" si="61"/>
        <v/>
      </c>
      <c r="J789" s="141" t="str">
        <f t="shared" si="62"/>
        <v/>
      </c>
      <c r="K789" s="141" t="str">
        <f t="shared" si="63"/>
        <v/>
      </c>
      <c r="L789" s="141" t="str">
        <f t="shared" si="64"/>
        <v/>
      </c>
    </row>
    <row r="790" spans="1:12" x14ac:dyDescent="0.3">
      <c r="A790" s="2" t="str">
        <f xml:space="preserve"> IF( 'From SvanPC++'!A790= "", "", ('From SvanPC++'!A790))</f>
        <v/>
      </c>
      <c r="C790" s="6" t="s">
        <v>10</v>
      </c>
      <c r="G790" s="38" t="str">
        <f t="shared" si="60"/>
        <v/>
      </c>
      <c r="H790" s="141" t="str">
        <f t="shared" si="61"/>
        <v/>
      </c>
      <c r="J790" s="141" t="str">
        <f t="shared" si="62"/>
        <v/>
      </c>
      <c r="K790" s="141" t="str">
        <f t="shared" si="63"/>
        <v/>
      </c>
      <c r="L790" s="141" t="str">
        <f t="shared" si="64"/>
        <v/>
      </c>
    </row>
    <row r="791" spans="1:12" x14ac:dyDescent="0.3">
      <c r="A791" s="2" t="str">
        <f xml:space="preserve"> IF( 'From SvanPC++'!A791= "", "", ('From SvanPC++'!A791))</f>
        <v/>
      </c>
      <c r="C791" s="6" t="s">
        <v>10</v>
      </c>
      <c r="G791" s="38" t="str">
        <f t="shared" si="60"/>
        <v/>
      </c>
      <c r="H791" s="141" t="str">
        <f t="shared" si="61"/>
        <v/>
      </c>
      <c r="J791" s="141" t="str">
        <f t="shared" si="62"/>
        <v/>
      </c>
      <c r="K791" s="141" t="str">
        <f t="shared" si="63"/>
        <v/>
      </c>
      <c r="L791" s="141" t="str">
        <f t="shared" si="64"/>
        <v/>
      </c>
    </row>
    <row r="792" spans="1:12" x14ac:dyDescent="0.3">
      <c r="A792" s="2" t="str">
        <f xml:space="preserve"> IF( 'From SvanPC++'!A792= "", "", ('From SvanPC++'!A792))</f>
        <v/>
      </c>
      <c r="C792" s="6" t="s">
        <v>10</v>
      </c>
      <c r="G792" s="38" t="str">
        <f t="shared" si="60"/>
        <v/>
      </c>
      <c r="H792" s="141" t="str">
        <f t="shared" si="61"/>
        <v/>
      </c>
      <c r="J792" s="141" t="str">
        <f t="shared" si="62"/>
        <v/>
      </c>
      <c r="K792" s="141" t="str">
        <f t="shared" si="63"/>
        <v/>
      </c>
      <c r="L792" s="141" t="str">
        <f t="shared" si="64"/>
        <v/>
      </c>
    </row>
    <row r="793" spans="1:12" x14ac:dyDescent="0.3">
      <c r="A793" s="2" t="str">
        <f xml:space="preserve"> IF( 'From SvanPC++'!A793= "", "", ('From SvanPC++'!A793))</f>
        <v/>
      </c>
      <c r="C793" s="6" t="s">
        <v>10</v>
      </c>
      <c r="G793" s="38" t="str">
        <f t="shared" si="60"/>
        <v/>
      </c>
      <c r="H793" s="141" t="str">
        <f t="shared" si="61"/>
        <v/>
      </c>
      <c r="J793" s="141" t="str">
        <f t="shared" si="62"/>
        <v/>
      </c>
      <c r="K793" s="141" t="str">
        <f t="shared" si="63"/>
        <v/>
      </c>
      <c r="L793" s="141" t="str">
        <f t="shared" si="64"/>
        <v/>
      </c>
    </row>
    <row r="794" spans="1:12" x14ac:dyDescent="0.3">
      <c r="A794" s="2" t="str">
        <f xml:space="preserve"> IF( 'From SvanPC++'!A794= "", "", ('From SvanPC++'!A794))</f>
        <v/>
      </c>
      <c r="C794" s="6" t="s">
        <v>10</v>
      </c>
      <c r="G794" s="38" t="str">
        <f t="shared" si="60"/>
        <v/>
      </c>
      <c r="H794" s="141" t="str">
        <f t="shared" si="61"/>
        <v/>
      </c>
      <c r="J794" s="141" t="str">
        <f t="shared" si="62"/>
        <v/>
      </c>
      <c r="K794" s="141" t="str">
        <f t="shared" si="63"/>
        <v/>
      </c>
      <c r="L794" s="141" t="str">
        <f t="shared" si="64"/>
        <v/>
      </c>
    </row>
    <row r="795" spans="1:12" x14ac:dyDescent="0.3">
      <c r="A795" s="2" t="str">
        <f xml:space="preserve"> IF( 'From SvanPC++'!A795= "", "", ('From SvanPC++'!A795))</f>
        <v/>
      </c>
      <c r="C795" s="6" t="s">
        <v>10</v>
      </c>
      <c r="G795" s="38" t="str">
        <f t="shared" si="60"/>
        <v/>
      </c>
      <c r="H795" s="141" t="str">
        <f t="shared" si="61"/>
        <v/>
      </c>
      <c r="J795" s="141" t="str">
        <f t="shared" si="62"/>
        <v/>
      </c>
      <c r="K795" s="141" t="str">
        <f t="shared" si="63"/>
        <v/>
      </c>
      <c r="L795" s="141" t="str">
        <f t="shared" si="64"/>
        <v/>
      </c>
    </row>
    <row r="796" spans="1:12" x14ac:dyDescent="0.3">
      <c r="A796" s="2" t="str">
        <f xml:space="preserve"> IF( 'From SvanPC++'!A796= "", "", ('From SvanPC++'!A796))</f>
        <v/>
      </c>
      <c r="C796" s="6" t="s">
        <v>10</v>
      </c>
      <c r="G796" s="38" t="str">
        <f t="shared" si="60"/>
        <v/>
      </c>
      <c r="H796" s="141" t="str">
        <f t="shared" si="61"/>
        <v/>
      </c>
      <c r="J796" s="141" t="str">
        <f t="shared" si="62"/>
        <v/>
      </c>
      <c r="K796" s="141" t="str">
        <f t="shared" si="63"/>
        <v/>
      </c>
      <c r="L796" s="141" t="str">
        <f t="shared" si="64"/>
        <v/>
      </c>
    </row>
    <row r="797" spans="1:12" x14ac:dyDescent="0.3">
      <c r="A797" s="2" t="str">
        <f xml:space="preserve"> IF( 'From SvanPC++'!A797= "", "", ('From SvanPC++'!A797))</f>
        <v/>
      </c>
      <c r="C797" s="6" t="s">
        <v>10</v>
      </c>
      <c r="G797" s="38" t="str">
        <f t="shared" si="60"/>
        <v/>
      </c>
      <c r="H797" s="141" t="str">
        <f t="shared" si="61"/>
        <v/>
      </c>
      <c r="J797" s="141" t="str">
        <f t="shared" si="62"/>
        <v/>
      </c>
      <c r="K797" s="141" t="str">
        <f t="shared" si="63"/>
        <v/>
      </c>
      <c r="L797" s="141" t="str">
        <f t="shared" si="64"/>
        <v/>
      </c>
    </row>
    <row r="798" spans="1:12" x14ac:dyDescent="0.3">
      <c r="A798" s="2" t="str">
        <f xml:space="preserve"> IF( 'From SvanPC++'!A798= "", "", ('From SvanPC++'!A798))</f>
        <v/>
      </c>
      <c r="C798" s="6" t="s">
        <v>10</v>
      </c>
      <c r="G798" s="38" t="str">
        <f t="shared" si="60"/>
        <v/>
      </c>
      <c r="H798" s="141" t="str">
        <f t="shared" si="61"/>
        <v/>
      </c>
      <c r="J798" s="141" t="str">
        <f t="shared" si="62"/>
        <v/>
      </c>
      <c r="K798" s="141" t="str">
        <f t="shared" si="63"/>
        <v/>
      </c>
      <c r="L798" s="141" t="str">
        <f t="shared" si="64"/>
        <v/>
      </c>
    </row>
    <row r="799" spans="1:12" x14ac:dyDescent="0.3">
      <c r="A799" s="2" t="str">
        <f xml:space="preserve"> IF( 'From SvanPC++'!A799= "", "", ('From SvanPC++'!A799))</f>
        <v/>
      </c>
      <c r="C799" s="6" t="s">
        <v>10</v>
      </c>
      <c r="G799" s="38" t="str">
        <f t="shared" si="60"/>
        <v/>
      </c>
      <c r="H799" s="141" t="str">
        <f t="shared" si="61"/>
        <v/>
      </c>
      <c r="J799" s="141" t="str">
        <f t="shared" si="62"/>
        <v/>
      </c>
      <c r="K799" s="141" t="str">
        <f t="shared" si="63"/>
        <v/>
      </c>
      <c r="L799" s="141" t="str">
        <f t="shared" si="64"/>
        <v/>
      </c>
    </row>
    <row r="800" spans="1:12" x14ac:dyDescent="0.3">
      <c r="A800" s="2" t="str">
        <f xml:space="preserve"> IF( 'From SvanPC++'!A800= "", "", ('From SvanPC++'!A800))</f>
        <v/>
      </c>
      <c r="C800" s="6" t="s">
        <v>10</v>
      </c>
      <c r="G800" s="38" t="str">
        <f t="shared" si="60"/>
        <v/>
      </c>
      <c r="H800" s="141" t="str">
        <f t="shared" si="61"/>
        <v/>
      </c>
      <c r="J800" s="141" t="str">
        <f t="shared" si="62"/>
        <v/>
      </c>
      <c r="K800" s="141" t="str">
        <f t="shared" si="63"/>
        <v/>
      </c>
      <c r="L800" s="141" t="str">
        <f t="shared" si="64"/>
        <v/>
      </c>
    </row>
    <row r="801" spans="1:12" x14ac:dyDescent="0.3">
      <c r="A801" s="2" t="str">
        <f xml:space="preserve"> IF( 'From SvanPC++'!A801= "", "", ('From SvanPC++'!A801))</f>
        <v/>
      </c>
      <c r="C801" s="6" t="s">
        <v>10</v>
      </c>
      <c r="G801" s="38" t="str">
        <f t="shared" si="60"/>
        <v/>
      </c>
      <c r="H801" s="141" t="str">
        <f t="shared" si="61"/>
        <v/>
      </c>
      <c r="J801" s="141" t="str">
        <f t="shared" si="62"/>
        <v/>
      </c>
      <c r="K801" s="141" t="str">
        <f t="shared" si="63"/>
        <v/>
      </c>
      <c r="L801" s="141" t="str">
        <f t="shared" si="64"/>
        <v/>
      </c>
    </row>
    <row r="802" spans="1:12" x14ac:dyDescent="0.3">
      <c r="A802" s="2" t="str">
        <f xml:space="preserve"> IF( 'From SvanPC++'!A802= "", "", ('From SvanPC++'!A802))</f>
        <v/>
      </c>
      <c r="C802" s="6" t="s">
        <v>10</v>
      </c>
      <c r="G802" s="38" t="str">
        <f t="shared" si="60"/>
        <v/>
      </c>
      <c r="H802" s="141" t="str">
        <f t="shared" si="61"/>
        <v/>
      </c>
      <c r="J802" s="141" t="str">
        <f t="shared" si="62"/>
        <v/>
      </c>
      <c r="K802" s="141" t="str">
        <f t="shared" si="63"/>
        <v/>
      </c>
      <c r="L802" s="141" t="str">
        <f t="shared" si="64"/>
        <v/>
      </c>
    </row>
    <row r="803" spans="1:12" x14ac:dyDescent="0.3">
      <c r="A803" s="2" t="str">
        <f xml:space="preserve"> IF( 'From SvanPC++'!A803= "", "", ('From SvanPC++'!A803))</f>
        <v/>
      </c>
      <c r="C803" s="6" t="s">
        <v>10</v>
      </c>
      <c r="G803" s="38" t="str">
        <f t="shared" si="60"/>
        <v/>
      </c>
      <c r="H803" s="141" t="str">
        <f t="shared" si="61"/>
        <v/>
      </c>
      <c r="J803" s="141" t="str">
        <f t="shared" si="62"/>
        <v/>
      </c>
      <c r="K803" s="141" t="str">
        <f t="shared" si="63"/>
        <v/>
      </c>
      <c r="L803" s="141" t="str">
        <f t="shared" si="64"/>
        <v/>
      </c>
    </row>
    <row r="804" spans="1:12" x14ac:dyDescent="0.3">
      <c r="A804" s="2" t="str">
        <f xml:space="preserve"> IF( 'From SvanPC++'!A804= "", "", ('From SvanPC++'!A804))</f>
        <v/>
      </c>
      <c r="C804" s="6" t="s">
        <v>10</v>
      </c>
      <c r="G804" s="38" t="str">
        <f t="shared" si="60"/>
        <v/>
      </c>
      <c r="H804" s="141" t="str">
        <f t="shared" si="61"/>
        <v/>
      </c>
      <c r="J804" s="141" t="str">
        <f t="shared" si="62"/>
        <v/>
      </c>
      <c r="K804" s="141" t="str">
        <f t="shared" si="63"/>
        <v/>
      </c>
      <c r="L804" s="141" t="str">
        <f t="shared" si="64"/>
        <v/>
      </c>
    </row>
    <row r="805" spans="1:12" x14ac:dyDescent="0.3">
      <c r="A805" s="2" t="str">
        <f xml:space="preserve"> IF( 'From SvanPC++'!A805= "", "", ('From SvanPC++'!A805))</f>
        <v/>
      </c>
      <c r="C805" s="6" t="s">
        <v>10</v>
      </c>
      <c r="G805" s="38" t="str">
        <f t="shared" si="60"/>
        <v/>
      </c>
      <c r="H805" s="141" t="str">
        <f t="shared" si="61"/>
        <v/>
      </c>
      <c r="J805" s="141" t="str">
        <f t="shared" si="62"/>
        <v/>
      </c>
      <c r="K805" s="141" t="str">
        <f t="shared" si="63"/>
        <v/>
      </c>
      <c r="L805" s="141" t="str">
        <f t="shared" si="64"/>
        <v/>
      </c>
    </row>
    <row r="806" spans="1:12" x14ac:dyDescent="0.3">
      <c r="A806" s="2" t="str">
        <f xml:space="preserve"> IF( 'From SvanPC++'!A806= "", "", ('From SvanPC++'!A806))</f>
        <v/>
      </c>
      <c r="C806" s="6" t="s">
        <v>10</v>
      </c>
      <c r="G806" s="38" t="str">
        <f t="shared" si="60"/>
        <v/>
      </c>
      <c r="H806" s="141" t="str">
        <f t="shared" si="61"/>
        <v/>
      </c>
      <c r="J806" s="141" t="str">
        <f t="shared" si="62"/>
        <v/>
      </c>
      <c r="K806" s="141" t="str">
        <f t="shared" si="63"/>
        <v/>
      </c>
      <c r="L806" s="141" t="str">
        <f t="shared" si="64"/>
        <v/>
      </c>
    </row>
    <row r="807" spans="1:12" x14ac:dyDescent="0.3">
      <c r="A807" s="2" t="str">
        <f xml:space="preserve"> IF( 'From SvanPC++'!A807= "", "", ('From SvanPC++'!A807))</f>
        <v/>
      </c>
      <c r="C807" s="6" t="s">
        <v>10</v>
      </c>
      <c r="G807" s="38" t="str">
        <f t="shared" si="60"/>
        <v/>
      </c>
      <c r="H807" s="141" t="str">
        <f t="shared" si="61"/>
        <v/>
      </c>
      <c r="J807" s="141" t="str">
        <f t="shared" si="62"/>
        <v/>
      </c>
      <c r="K807" s="141" t="str">
        <f t="shared" si="63"/>
        <v/>
      </c>
      <c r="L807" s="141" t="str">
        <f t="shared" si="64"/>
        <v/>
      </c>
    </row>
    <row r="808" spans="1:12" x14ac:dyDescent="0.3">
      <c r="A808" s="2" t="str">
        <f xml:space="preserve"> IF( 'From SvanPC++'!A808= "", "", ('From SvanPC++'!A808))</f>
        <v/>
      </c>
      <c r="C808" s="6" t="s">
        <v>10</v>
      </c>
      <c r="G808" s="38" t="str">
        <f t="shared" si="60"/>
        <v/>
      </c>
      <c r="H808" s="141" t="str">
        <f t="shared" si="61"/>
        <v/>
      </c>
      <c r="J808" s="141" t="str">
        <f t="shared" si="62"/>
        <v/>
      </c>
      <c r="K808" s="141" t="str">
        <f t="shared" si="63"/>
        <v/>
      </c>
      <c r="L808" s="141" t="str">
        <f t="shared" si="64"/>
        <v/>
      </c>
    </row>
    <row r="809" spans="1:12" x14ac:dyDescent="0.3">
      <c r="A809" s="2" t="str">
        <f xml:space="preserve"> IF( 'From SvanPC++'!A809= "", "", ('From SvanPC++'!A809))</f>
        <v/>
      </c>
      <c r="C809" s="6" t="s">
        <v>10</v>
      </c>
      <c r="G809" s="38" t="str">
        <f t="shared" si="60"/>
        <v/>
      </c>
      <c r="H809" s="141" t="str">
        <f t="shared" si="61"/>
        <v/>
      </c>
      <c r="J809" s="141" t="str">
        <f t="shared" si="62"/>
        <v/>
      </c>
      <c r="K809" s="141" t="str">
        <f t="shared" si="63"/>
        <v/>
      </c>
      <c r="L809" s="141" t="str">
        <f t="shared" si="64"/>
        <v/>
      </c>
    </row>
    <row r="810" spans="1:12" x14ac:dyDescent="0.3">
      <c r="A810" s="2" t="str">
        <f xml:space="preserve"> IF( 'From SvanPC++'!A810= "", "", ('From SvanPC++'!A810))</f>
        <v/>
      </c>
      <c r="C810" s="6" t="s">
        <v>10</v>
      </c>
      <c r="G810" s="38" t="str">
        <f t="shared" si="60"/>
        <v/>
      </c>
      <c r="H810" s="141" t="str">
        <f t="shared" si="61"/>
        <v/>
      </c>
      <c r="J810" s="141" t="str">
        <f t="shared" si="62"/>
        <v/>
      </c>
      <c r="K810" s="141" t="str">
        <f t="shared" si="63"/>
        <v/>
      </c>
      <c r="L810" s="141" t="str">
        <f t="shared" si="64"/>
        <v/>
      </c>
    </row>
    <row r="811" spans="1:12" x14ac:dyDescent="0.3">
      <c r="A811" s="2" t="str">
        <f xml:space="preserve"> IF( 'From SvanPC++'!A811= "", "", ('From SvanPC++'!A811))</f>
        <v/>
      </c>
      <c r="C811" s="6" t="s">
        <v>10</v>
      </c>
      <c r="G811" s="38" t="str">
        <f t="shared" si="60"/>
        <v/>
      </c>
      <c r="H811" s="141" t="str">
        <f t="shared" si="61"/>
        <v/>
      </c>
      <c r="J811" s="141" t="str">
        <f t="shared" si="62"/>
        <v/>
      </c>
      <c r="K811" s="141" t="str">
        <f t="shared" si="63"/>
        <v/>
      </c>
      <c r="L811" s="141" t="str">
        <f t="shared" si="64"/>
        <v/>
      </c>
    </row>
    <row r="812" spans="1:12" x14ac:dyDescent="0.3">
      <c r="A812" s="2" t="str">
        <f xml:space="preserve"> IF( 'From SvanPC++'!A812= "", "", ('From SvanPC++'!A812))</f>
        <v/>
      </c>
      <c r="C812" s="6" t="s">
        <v>10</v>
      </c>
      <c r="G812" s="38" t="str">
        <f t="shared" si="60"/>
        <v/>
      </c>
      <c r="H812" s="141" t="str">
        <f t="shared" si="61"/>
        <v/>
      </c>
      <c r="J812" s="141" t="str">
        <f t="shared" si="62"/>
        <v/>
      </c>
      <c r="K812" s="141" t="str">
        <f t="shared" si="63"/>
        <v/>
      </c>
      <c r="L812" s="141" t="str">
        <f t="shared" si="64"/>
        <v/>
      </c>
    </row>
    <row r="813" spans="1:12" x14ac:dyDescent="0.3">
      <c r="A813" s="2" t="str">
        <f xml:space="preserve"> IF( 'From SvanPC++'!A813= "", "", ('From SvanPC++'!A813))</f>
        <v/>
      </c>
      <c r="C813" s="6" t="s">
        <v>10</v>
      </c>
      <c r="G813" s="38" t="str">
        <f t="shared" si="60"/>
        <v/>
      </c>
      <c r="H813" s="141" t="str">
        <f t="shared" si="61"/>
        <v/>
      </c>
      <c r="J813" s="141" t="str">
        <f t="shared" si="62"/>
        <v/>
      </c>
      <c r="K813" s="141" t="str">
        <f t="shared" si="63"/>
        <v/>
      </c>
      <c r="L813" s="141" t="str">
        <f t="shared" si="64"/>
        <v/>
      </c>
    </row>
    <row r="814" spans="1:12" x14ac:dyDescent="0.3">
      <c r="A814" s="2" t="str">
        <f xml:space="preserve"> IF( 'From SvanPC++'!A814= "", "", ('From SvanPC++'!A814))</f>
        <v/>
      </c>
      <c r="C814" s="6" t="s">
        <v>10</v>
      </c>
      <c r="G814" s="38" t="str">
        <f t="shared" si="60"/>
        <v/>
      </c>
      <c r="H814" s="141" t="str">
        <f t="shared" si="61"/>
        <v/>
      </c>
      <c r="J814" s="141" t="str">
        <f t="shared" si="62"/>
        <v/>
      </c>
      <c r="K814" s="141" t="str">
        <f t="shared" si="63"/>
        <v/>
      </c>
      <c r="L814" s="141" t="str">
        <f t="shared" si="64"/>
        <v/>
      </c>
    </row>
    <row r="815" spans="1:12" x14ac:dyDescent="0.3">
      <c r="A815" s="2" t="str">
        <f xml:space="preserve"> IF( 'From SvanPC++'!A815= "", "", ('From SvanPC++'!A815))</f>
        <v/>
      </c>
      <c r="C815" s="6" t="s">
        <v>10</v>
      </c>
      <c r="G815" s="38" t="str">
        <f t="shared" si="60"/>
        <v/>
      </c>
      <c r="H815" s="141" t="str">
        <f t="shared" si="61"/>
        <v/>
      </c>
      <c r="J815" s="141" t="str">
        <f t="shared" si="62"/>
        <v/>
      </c>
      <c r="K815" s="141" t="str">
        <f t="shared" si="63"/>
        <v/>
      </c>
      <c r="L815" s="141" t="str">
        <f t="shared" si="64"/>
        <v/>
      </c>
    </row>
    <row r="816" spans="1:12" x14ac:dyDescent="0.3">
      <c r="A816" s="2" t="str">
        <f xml:space="preserve"> IF( 'From SvanPC++'!A816= "", "", ('From SvanPC++'!A816))</f>
        <v/>
      </c>
      <c r="C816" s="6" t="s">
        <v>10</v>
      </c>
      <c r="G816" s="38" t="str">
        <f t="shared" si="60"/>
        <v/>
      </c>
      <c r="H816" s="141" t="str">
        <f t="shared" si="61"/>
        <v/>
      </c>
      <c r="J816" s="141" t="str">
        <f t="shared" si="62"/>
        <v/>
      </c>
      <c r="K816" s="141" t="str">
        <f t="shared" si="63"/>
        <v/>
      </c>
      <c r="L816" s="141" t="str">
        <f t="shared" si="64"/>
        <v/>
      </c>
    </row>
    <row r="817" spans="1:12" x14ac:dyDescent="0.3">
      <c r="A817" s="2" t="str">
        <f xml:space="preserve"> IF( 'From SvanPC++'!A817= "", "", ('From SvanPC++'!A817))</f>
        <v/>
      </c>
      <c r="C817" s="6" t="s">
        <v>10</v>
      </c>
      <c r="G817" s="38" t="str">
        <f t="shared" si="60"/>
        <v/>
      </c>
      <c r="H817" s="141" t="str">
        <f t="shared" si="61"/>
        <v/>
      </c>
      <c r="J817" s="141" t="str">
        <f t="shared" si="62"/>
        <v/>
      </c>
      <c r="K817" s="141" t="str">
        <f t="shared" si="63"/>
        <v/>
      </c>
      <c r="L817" s="141" t="str">
        <f t="shared" si="64"/>
        <v/>
      </c>
    </row>
    <row r="818" spans="1:12" x14ac:dyDescent="0.3">
      <c r="A818" s="2" t="str">
        <f xml:space="preserve"> IF( 'From SvanPC++'!A818= "", "", ('From SvanPC++'!A818))</f>
        <v/>
      </c>
      <c r="C818" s="6" t="s">
        <v>10</v>
      </c>
      <c r="G818" s="38" t="str">
        <f t="shared" si="60"/>
        <v/>
      </c>
      <c r="H818" s="141" t="str">
        <f t="shared" si="61"/>
        <v/>
      </c>
      <c r="J818" s="141" t="str">
        <f t="shared" si="62"/>
        <v/>
      </c>
      <c r="K818" s="141" t="str">
        <f t="shared" si="63"/>
        <v/>
      </c>
      <c r="L818" s="141" t="str">
        <f t="shared" si="64"/>
        <v/>
      </c>
    </row>
    <row r="819" spans="1:12" x14ac:dyDescent="0.3">
      <c r="A819" s="2" t="str">
        <f xml:space="preserve"> IF( 'From SvanPC++'!A819= "", "", ('From SvanPC++'!A819))</f>
        <v/>
      </c>
      <c r="C819" s="6" t="s">
        <v>10</v>
      </c>
      <c r="G819" s="38" t="str">
        <f t="shared" si="60"/>
        <v/>
      </c>
      <c r="H819" s="141" t="str">
        <f t="shared" si="61"/>
        <v/>
      </c>
      <c r="J819" s="141" t="str">
        <f t="shared" si="62"/>
        <v/>
      </c>
      <c r="K819" s="141" t="str">
        <f t="shared" si="63"/>
        <v/>
      </c>
      <c r="L819" s="141" t="str">
        <f t="shared" si="64"/>
        <v/>
      </c>
    </row>
    <row r="820" spans="1:12" x14ac:dyDescent="0.3">
      <c r="A820" s="2" t="str">
        <f xml:space="preserve"> IF( 'From SvanPC++'!A820= "", "", ('From SvanPC++'!A820))</f>
        <v/>
      </c>
      <c r="C820" s="6" t="s">
        <v>10</v>
      </c>
      <c r="G820" s="38" t="str">
        <f t="shared" si="60"/>
        <v/>
      </c>
      <c r="H820" s="141" t="str">
        <f t="shared" si="61"/>
        <v/>
      </c>
      <c r="J820" s="141" t="str">
        <f t="shared" si="62"/>
        <v/>
      </c>
      <c r="K820" s="141" t="str">
        <f t="shared" si="63"/>
        <v/>
      </c>
      <c r="L820" s="141" t="str">
        <f t="shared" si="64"/>
        <v/>
      </c>
    </row>
    <row r="821" spans="1:12" x14ac:dyDescent="0.3">
      <c r="A821" s="2" t="str">
        <f xml:space="preserve"> IF( 'From SvanPC++'!A821= "", "", ('From SvanPC++'!A821))</f>
        <v/>
      </c>
      <c r="C821" s="6" t="s">
        <v>10</v>
      </c>
      <c r="G821" s="38" t="str">
        <f t="shared" si="60"/>
        <v/>
      </c>
      <c r="H821" s="141" t="str">
        <f t="shared" si="61"/>
        <v/>
      </c>
      <c r="J821" s="141" t="str">
        <f t="shared" si="62"/>
        <v/>
      </c>
      <c r="K821" s="141" t="str">
        <f t="shared" si="63"/>
        <v/>
      </c>
      <c r="L821" s="141" t="str">
        <f t="shared" si="64"/>
        <v/>
      </c>
    </row>
    <row r="822" spans="1:12" x14ac:dyDescent="0.3">
      <c r="A822" s="2" t="str">
        <f xml:space="preserve"> IF( 'From SvanPC++'!A822= "", "", ('From SvanPC++'!A822))</f>
        <v/>
      </c>
      <c r="C822" s="6" t="s">
        <v>10</v>
      </c>
      <c r="G822" s="38" t="str">
        <f t="shared" si="60"/>
        <v/>
      </c>
      <c r="H822" s="141" t="str">
        <f t="shared" si="61"/>
        <v/>
      </c>
      <c r="J822" s="141" t="str">
        <f t="shared" si="62"/>
        <v/>
      </c>
      <c r="K822" s="141" t="str">
        <f t="shared" si="63"/>
        <v/>
      </c>
      <c r="L822" s="141" t="str">
        <f t="shared" si="64"/>
        <v/>
      </c>
    </row>
    <row r="823" spans="1:12" x14ac:dyDescent="0.3">
      <c r="A823" s="2" t="str">
        <f xml:space="preserve"> IF( 'From SvanPC++'!A823= "", "", ('From SvanPC++'!A823))</f>
        <v/>
      </c>
      <c r="C823" s="6" t="s">
        <v>10</v>
      </c>
      <c r="G823" s="38" t="str">
        <f t="shared" si="60"/>
        <v/>
      </c>
      <c r="H823" s="141" t="str">
        <f t="shared" si="61"/>
        <v/>
      </c>
      <c r="J823" s="141" t="str">
        <f t="shared" si="62"/>
        <v/>
      </c>
      <c r="K823" s="141" t="str">
        <f t="shared" si="63"/>
        <v/>
      </c>
      <c r="L823" s="141" t="str">
        <f t="shared" si="64"/>
        <v/>
      </c>
    </row>
    <row r="824" spans="1:12" x14ac:dyDescent="0.3">
      <c r="A824" s="2" t="str">
        <f xml:space="preserve"> IF( 'From SvanPC++'!A824= "", "", ('From SvanPC++'!A824))</f>
        <v/>
      </c>
      <c r="C824" s="6" t="s">
        <v>10</v>
      </c>
      <c r="G824" s="38" t="str">
        <f t="shared" si="60"/>
        <v/>
      </c>
      <c r="H824" s="141" t="str">
        <f t="shared" si="61"/>
        <v/>
      </c>
      <c r="J824" s="141" t="str">
        <f t="shared" si="62"/>
        <v/>
      </c>
      <c r="K824" s="141" t="str">
        <f t="shared" si="63"/>
        <v/>
      </c>
      <c r="L824" s="141" t="str">
        <f t="shared" si="64"/>
        <v/>
      </c>
    </row>
    <row r="825" spans="1:12" x14ac:dyDescent="0.3">
      <c r="A825" s="2" t="str">
        <f xml:space="preserve"> IF( 'From SvanPC++'!A825= "", "", ('From SvanPC++'!A825))</f>
        <v/>
      </c>
      <c r="C825" s="6" t="s">
        <v>10</v>
      </c>
      <c r="G825" s="38" t="str">
        <f t="shared" si="60"/>
        <v/>
      </c>
      <c r="H825" s="141" t="str">
        <f t="shared" si="61"/>
        <v/>
      </c>
      <c r="J825" s="141" t="str">
        <f t="shared" si="62"/>
        <v/>
      </c>
      <c r="K825" s="141" t="str">
        <f t="shared" si="63"/>
        <v/>
      </c>
      <c r="L825" s="141" t="str">
        <f t="shared" si="64"/>
        <v/>
      </c>
    </row>
    <row r="826" spans="1:12" x14ac:dyDescent="0.3">
      <c r="A826" s="2" t="str">
        <f xml:space="preserve"> IF( 'From SvanPC++'!A826= "", "", ('From SvanPC++'!A826))</f>
        <v/>
      </c>
      <c r="C826" s="6" t="s">
        <v>10</v>
      </c>
      <c r="G826" s="38" t="str">
        <f t="shared" si="60"/>
        <v/>
      </c>
      <c r="H826" s="141" t="str">
        <f t="shared" si="61"/>
        <v/>
      </c>
      <c r="J826" s="141" t="str">
        <f t="shared" si="62"/>
        <v/>
      </c>
      <c r="K826" s="141" t="str">
        <f t="shared" si="63"/>
        <v/>
      </c>
      <c r="L826" s="141" t="str">
        <f t="shared" si="64"/>
        <v/>
      </c>
    </row>
    <row r="827" spans="1:12" x14ac:dyDescent="0.3">
      <c r="A827" s="2" t="str">
        <f xml:space="preserve"> IF( 'From SvanPC++'!A827= "", "", ('From SvanPC++'!A827))</f>
        <v/>
      </c>
      <c r="C827" s="6" t="s">
        <v>10</v>
      </c>
      <c r="G827" s="38" t="str">
        <f t="shared" si="60"/>
        <v/>
      </c>
      <c r="H827" s="141" t="str">
        <f t="shared" si="61"/>
        <v/>
      </c>
      <c r="J827" s="141" t="str">
        <f t="shared" si="62"/>
        <v/>
      </c>
      <c r="K827" s="141" t="str">
        <f t="shared" si="63"/>
        <v/>
      </c>
      <c r="L827" s="141" t="str">
        <f t="shared" si="64"/>
        <v/>
      </c>
    </row>
    <row r="828" spans="1:12" x14ac:dyDescent="0.3">
      <c r="A828" s="2" t="str">
        <f xml:space="preserve"> IF( 'From SvanPC++'!A828= "", "", ('From SvanPC++'!A828))</f>
        <v/>
      </c>
      <c r="C828" s="6" t="s">
        <v>10</v>
      </c>
      <c r="G828" s="38" t="str">
        <f t="shared" si="60"/>
        <v/>
      </c>
      <c r="H828" s="141" t="str">
        <f t="shared" si="61"/>
        <v/>
      </c>
      <c r="J828" s="141" t="str">
        <f t="shared" si="62"/>
        <v/>
      </c>
      <c r="K828" s="141" t="str">
        <f t="shared" si="63"/>
        <v/>
      </c>
      <c r="L828" s="141" t="str">
        <f t="shared" si="64"/>
        <v/>
      </c>
    </row>
    <row r="829" spans="1:12" x14ac:dyDescent="0.3">
      <c r="A829" s="2" t="str">
        <f xml:space="preserve"> IF( 'From SvanPC++'!A829= "", "", ('From SvanPC++'!A829))</f>
        <v/>
      </c>
      <c r="C829" s="6" t="s">
        <v>10</v>
      </c>
      <c r="G829" s="38" t="str">
        <f t="shared" si="60"/>
        <v/>
      </c>
      <c r="H829" s="141" t="str">
        <f t="shared" si="61"/>
        <v/>
      </c>
      <c r="J829" s="141" t="str">
        <f t="shared" si="62"/>
        <v/>
      </c>
      <c r="K829" s="141" t="str">
        <f t="shared" si="63"/>
        <v/>
      </c>
      <c r="L829" s="141" t="str">
        <f t="shared" si="64"/>
        <v/>
      </c>
    </row>
    <row r="830" spans="1:12" x14ac:dyDescent="0.3">
      <c r="A830" s="2" t="str">
        <f xml:space="preserve"> IF( 'From SvanPC++'!A830= "", "", ('From SvanPC++'!A830))</f>
        <v/>
      </c>
      <c r="C830" s="6" t="s">
        <v>10</v>
      </c>
      <c r="G830" s="38" t="str">
        <f t="shared" si="60"/>
        <v/>
      </c>
      <c r="H830" s="141" t="str">
        <f t="shared" si="61"/>
        <v/>
      </c>
      <c r="J830" s="141" t="str">
        <f t="shared" si="62"/>
        <v/>
      </c>
      <c r="K830" s="141" t="str">
        <f t="shared" si="63"/>
        <v/>
      </c>
      <c r="L830" s="141" t="str">
        <f t="shared" si="64"/>
        <v/>
      </c>
    </row>
    <row r="831" spans="1:12" x14ac:dyDescent="0.3">
      <c r="A831" s="2" t="str">
        <f xml:space="preserve"> IF( 'From SvanPC++'!A831= "", "", ('From SvanPC++'!A831))</f>
        <v/>
      </c>
      <c r="C831" s="6" t="s">
        <v>10</v>
      </c>
      <c r="G831" s="38" t="str">
        <f t="shared" si="60"/>
        <v/>
      </c>
      <c r="H831" s="141" t="str">
        <f t="shared" si="61"/>
        <v/>
      </c>
      <c r="J831" s="141" t="str">
        <f t="shared" si="62"/>
        <v/>
      </c>
      <c r="K831" s="141" t="str">
        <f t="shared" si="63"/>
        <v/>
      </c>
      <c r="L831" s="141" t="str">
        <f t="shared" si="64"/>
        <v/>
      </c>
    </row>
    <row r="832" spans="1:12" x14ac:dyDescent="0.3">
      <c r="A832" s="2" t="str">
        <f xml:space="preserve"> IF( 'From SvanPC++'!A832= "", "", ('From SvanPC++'!A832))</f>
        <v/>
      </c>
      <c r="C832" s="6" t="s">
        <v>10</v>
      </c>
      <c r="G832" s="38" t="str">
        <f t="shared" si="60"/>
        <v/>
      </c>
      <c r="H832" s="141" t="str">
        <f t="shared" si="61"/>
        <v/>
      </c>
      <c r="J832" s="141" t="str">
        <f t="shared" si="62"/>
        <v/>
      </c>
      <c r="K832" s="141" t="str">
        <f t="shared" si="63"/>
        <v/>
      </c>
      <c r="L832" s="141" t="str">
        <f t="shared" si="64"/>
        <v/>
      </c>
    </row>
    <row r="833" spans="1:12" x14ac:dyDescent="0.3">
      <c r="A833" s="2" t="str">
        <f xml:space="preserve"> IF( 'From SvanPC++'!A833= "", "", ('From SvanPC++'!A833))</f>
        <v/>
      </c>
      <c r="C833" s="6" t="s">
        <v>10</v>
      </c>
      <c r="G833" s="38" t="str">
        <f t="shared" si="60"/>
        <v/>
      </c>
      <c r="H833" s="141" t="str">
        <f t="shared" si="61"/>
        <v/>
      </c>
      <c r="J833" s="141" t="str">
        <f t="shared" si="62"/>
        <v/>
      </c>
      <c r="K833" s="141" t="str">
        <f t="shared" si="63"/>
        <v/>
      </c>
      <c r="L833" s="141" t="str">
        <f t="shared" si="64"/>
        <v/>
      </c>
    </row>
    <row r="834" spans="1:12" x14ac:dyDescent="0.3">
      <c r="A834" s="2" t="str">
        <f xml:space="preserve"> IF( 'From SvanPC++'!A834= "", "", ('From SvanPC++'!A834))</f>
        <v/>
      </c>
      <c r="C834" s="6" t="s">
        <v>10</v>
      </c>
      <c r="G834" s="38" t="str">
        <f t="shared" si="60"/>
        <v/>
      </c>
      <c r="H834" s="141" t="str">
        <f t="shared" si="61"/>
        <v/>
      </c>
      <c r="J834" s="141" t="str">
        <f t="shared" si="62"/>
        <v/>
      </c>
      <c r="K834" s="141" t="str">
        <f t="shared" si="63"/>
        <v/>
      </c>
      <c r="L834" s="141" t="str">
        <f t="shared" si="64"/>
        <v/>
      </c>
    </row>
    <row r="835" spans="1:12" x14ac:dyDescent="0.3">
      <c r="A835" s="2" t="str">
        <f xml:space="preserve"> IF( 'From SvanPC++'!A835= "", "", ('From SvanPC++'!A835))</f>
        <v/>
      </c>
      <c r="C835" s="6" t="s">
        <v>10</v>
      </c>
      <c r="G835" s="38" t="str">
        <f t="shared" si="60"/>
        <v/>
      </c>
      <c r="H835" s="141" t="str">
        <f t="shared" si="61"/>
        <v/>
      </c>
      <c r="J835" s="141" t="str">
        <f t="shared" si="62"/>
        <v/>
      </c>
      <c r="K835" s="141" t="str">
        <f t="shared" si="63"/>
        <v/>
      </c>
      <c r="L835" s="141" t="str">
        <f t="shared" si="64"/>
        <v/>
      </c>
    </row>
    <row r="836" spans="1:12" x14ac:dyDescent="0.3">
      <c r="A836" s="2" t="str">
        <f xml:space="preserve"> IF( 'From SvanPC++'!A836= "", "", ('From SvanPC++'!A836))</f>
        <v/>
      </c>
      <c r="C836" s="6" t="s">
        <v>10</v>
      </c>
      <c r="G836" s="38" t="str">
        <f t="shared" si="60"/>
        <v/>
      </c>
      <c r="H836" s="141" t="str">
        <f t="shared" si="61"/>
        <v/>
      </c>
      <c r="J836" s="141" t="str">
        <f t="shared" si="62"/>
        <v/>
      </c>
      <c r="K836" s="141" t="str">
        <f t="shared" si="63"/>
        <v/>
      </c>
      <c r="L836" s="141" t="str">
        <f t="shared" si="64"/>
        <v/>
      </c>
    </row>
    <row r="837" spans="1:12" x14ac:dyDescent="0.3">
      <c r="A837" s="2" t="str">
        <f xml:space="preserve"> IF( 'From SvanPC++'!A837= "", "", ('From SvanPC++'!A837))</f>
        <v/>
      </c>
      <c r="C837" s="6" t="s">
        <v>10</v>
      </c>
      <c r="G837" s="38" t="str">
        <f t="shared" si="60"/>
        <v/>
      </c>
      <c r="H837" s="141" t="str">
        <f t="shared" si="61"/>
        <v/>
      </c>
      <c r="J837" s="141" t="str">
        <f t="shared" si="62"/>
        <v/>
      </c>
      <c r="K837" s="141" t="str">
        <f t="shared" si="63"/>
        <v/>
      </c>
      <c r="L837" s="141" t="str">
        <f t="shared" si="64"/>
        <v/>
      </c>
    </row>
    <row r="838" spans="1:12" x14ac:dyDescent="0.3">
      <c r="A838" s="2" t="str">
        <f xml:space="preserve"> IF( 'From SvanPC++'!A838= "", "", ('From SvanPC++'!A838))</f>
        <v/>
      </c>
      <c r="C838" s="6" t="s">
        <v>10</v>
      </c>
      <c r="G838" s="38" t="str">
        <f t="shared" si="60"/>
        <v/>
      </c>
      <c r="H838" s="141" t="str">
        <f t="shared" si="61"/>
        <v/>
      </c>
      <c r="J838" s="141" t="str">
        <f t="shared" si="62"/>
        <v/>
      </c>
      <c r="K838" s="141" t="str">
        <f t="shared" si="63"/>
        <v/>
      </c>
      <c r="L838" s="141" t="str">
        <f t="shared" si="64"/>
        <v/>
      </c>
    </row>
    <row r="839" spans="1:12" x14ac:dyDescent="0.3">
      <c r="A839" s="2" t="str">
        <f xml:space="preserve"> IF( 'From SvanPC++'!A839= "", "", ('From SvanPC++'!A839))</f>
        <v/>
      </c>
      <c r="C839" s="6" t="s">
        <v>10</v>
      </c>
      <c r="G839" s="38" t="str">
        <f t="shared" ref="G839:G902" si="65" xml:space="preserve"> IF( D839= "", "", ( IF( AND( D839 &gt;= TIMEVALUE( "07:00:01" ), D839 &lt; TIMEVALUE( "08:00:01" ) ) = TRUE, (G838+1), (G838+0) )))</f>
        <v/>
      </c>
      <c r="H839" s="141" t="str">
        <f t="shared" ref="H839:H902" si="66" xml:space="preserve"> IF( D839= "", "", (
IF( AND( D839 &gt;= TIMEVALUE( "07:00:01" ), D839 &lt;= TIMEVALUE( "18:00:00" ), WEEKDAY( C839,1+N("            Weekday Day Period              ")) &gt;=2, ( WEEKDAY( C839,1) &lt;=6) ) = TRUE, "Day",
IF( AND( D839 &gt;= TIMEVALUE( "18:00:01" ), D839 &lt;= TIMEVALUE( "22:00:00" ), WEEKDAY( C839,1+N("            Weekday Evening Period          ")) &gt;=2, ( WEEKDAY( C839,1) &lt;=6) ) = TRUE, "Evening",
IF( AND( D839 &gt;= TIMEVALUE( "22:00:01" ), D839 &lt;= TIMEVALUE( "23:59:59" ), WEEKDAY( C839,1+N("            Weekday Night Period            ")) &gt;=2, ( WEEKDAY( C839,1) &lt;=6) ) = TRUE, "Night",
IF( AND( D839 &gt;= TIMEVALUE( "00:00:00" ), D839 &lt;= TIMEVALUE( "07:00:00" ), WEEKDAY( C839,1+N("            Weekday Night Period            ")) &gt;=2, ( WEEKDAY( C839,1) &lt;=6) ) = TRUE, "Night",
IF( AND( D839 &gt;= TIMEVALUE( "07:00:01" ), D839 &lt;= TIMEVALUE( "18:00:00" ), WEEKDAY( C839) =(7+N("         Saturday Day Period             ")) ) = TRUE, "Day",
IF( AND( D839 &gt;= TIMEVALUE( "18:00:01" ), D839 &lt;= TIMEVALUE( "22:00:00" ), WEEKDAY( C839) =(7+N("         Saturday Evening Period         ")) ) = TRUE, "Evening",
IF( AND( D839 &gt;= TIMEVALUE( "22:00:01" ), D839 &lt;= TIMEVALUE( "23:59:59" ), WEEKDAY( C839) =(7+N("         Saturday Night Period           ")) ) = TRUE, "Night",
IF( AND( D839 &gt;= TIMEVALUE( "00:00:00" ), D839 &lt;= TIMEVALUE( "07:00:00" ), WEEKDAY( C839) =(7+N("         Saturday Night Period           ")) ) = TRUE, "Night",
IF( AND( D839 &gt;= TIMEVALUE( "07:00:01" ), D839 &lt;= TIMEVALUE( "22:00:00" ), WEEKDAY( C839) =(1+N("         Sunday Evening Period           ")) ) = TRUE, "Evening",
IF( AND( D839 &gt;= TIMEVALUE( "20:00:01" ), D839 &lt;= TIMEVALUE( "23:59:59" ), WEEKDAY( C839) =(1+N("         Sunday Night Period             ")) ) = TRUE, "Night",
IF( AND( D839 &gt;= TIMEVALUE( "00:00:00" ), D839 &lt;= TIMEVALUE( "07:00:00" ), WEEKDAY( C839) =(1+N("         Sunday Night Period             ")) ) = TRUE, "Night",
)))))))))))))</f>
        <v/>
      </c>
      <c r="J839" s="141" t="str">
        <f t="shared" si="62"/>
        <v/>
      </c>
      <c r="K839" s="141" t="str">
        <f t="shared" si="63"/>
        <v/>
      </c>
      <c r="L839" s="141" t="str">
        <f t="shared" si="64"/>
        <v/>
      </c>
    </row>
    <row r="840" spans="1:12" x14ac:dyDescent="0.3">
      <c r="A840" s="2" t="str">
        <f xml:space="preserve"> IF( 'From SvanPC++'!A840= "", "", ('From SvanPC++'!A840))</f>
        <v/>
      </c>
      <c r="C840" s="6" t="s">
        <v>10</v>
      </c>
      <c r="G840" s="38" t="str">
        <f t="shared" si="65"/>
        <v/>
      </c>
      <c r="H840" s="141" t="str">
        <f t="shared" si="66"/>
        <v/>
      </c>
      <c r="J840" s="141" t="str">
        <f t="shared" ref="J840:J903" si="67" xml:space="preserve"> IF( ISERROR( IF( D840= "", "", ( IF( G840= (G839+1), ( AVERAGEIFS( E840:E984, G840:G984, G840, H840:H984, "Day" )), "" )))), "",( IF( D840= "", "", ( IF( G840= (G839+1), ( AVERAGEIFS( E840:E984, G840:G984, G840, H840:H984, "Day" )), "" )))))</f>
        <v/>
      </c>
      <c r="K840" s="141" t="str">
        <f t="shared" ref="K840:K903" si="68" xml:space="preserve"> IF( ISERROR( IF( D840= "", "", ( IF( G840= (G839+1), ( AVERAGEIFS( E840:E984, G840:G984, G840, H840:H984, "Evening" )), "" )))), "",( IF( D840= "", "", ( IF( G840= (G839+1), ( AVERAGEIFS( E840:E984, G840:G984, G840, H840:H984, "Evening" )), "" )))))</f>
        <v/>
      </c>
      <c r="L840" s="141" t="str">
        <f t="shared" ref="L840:L903" si="69" xml:space="preserve"> IF( ISERROR( IF( D840= "", "", ( IF( G840= (G839+1), ( AVERAGEIFS( E840:E984, G840:G984, G840, H840:H984, "Night" )), "" )))), "",( IF( D840= "", "", ( IF( G840= (G839+1), ( AVERAGEIFS( E840:E984, G840:G984, G840, H840:H984, "Night" )), "" )))))</f>
        <v/>
      </c>
    </row>
    <row r="841" spans="1:12" x14ac:dyDescent="0.3">
      <c r="A841" s="2" t="str">
        <f xml:space="preserve"> IF( 'From SvanPC++'!A841= "", "", ('From SvanPC++'!A841))</f>
        <v/>
      </c>
      <c r="C841" s="6" t="s">
        <v>10</v>
      </c>
      <c r="G841" s="38" t="str">
        <f t="shared" si="65"/>
        <v/>
      </c>
      <c r="H841" s="141" t="str">
        <f t="shared" si="66"/>
        <v/>
      </c>
      <c r="J841" s="141" t="str">
        <f t="shared" si="67"/>
        <v/>
      </c>
      <c r="K841" s="141" t="str">
        <f t="shared" si="68"/>
        <v/>
      </c>
      <c r="L841" s="141" t="str">
        <f t="shared" si="69"/>
        <v/>
      </c>
    </row>
    <row r="842" spans="1:12" x14ac:dyDescent="0.3">
      <c r="A842" s="2" t="str">
        <f xml:space="preserve"> IF( 'From SvanPC++'!A842= "", "", ('From SvanPC++'!A842))</f>
        <v/>
      </c>
      <c r="C842" s="6" t="s">
        <v>10</v>
      </c>
      <c r="G842" s="38" t="str">
        <f t="shared" si="65"/>
        <v/>
      </c>
      <c r="H842" s="141" t="str">
        <f t="shared" si="66"/>
        <v/>
      </c>
      <c r="J842" s="141" t="str">
        <f t="shared" si="67"/>
        <v/>
      </c>
      <c r="K842" s="141" t="str">
        <f t="shared" si="68"/>
        <v/>
      </c>
      <c r="L842" s="141" t="str">
        <f t="shared" si="69"/>
        <v/>
      </c>
    </row>
    <row r="843" spans="1:12" x14ac:dyDescent="0.3">
      <c r="A843" s="2" t="str">
        <f xml:space="preserve"> IF( 'From SvanPC++'!A843= "", "", ('From SvanPC++'!A843))</f>
        <v/>
      </c>
      <c r="C843" s="6" t="s">
        <v>10</v>
      </c>
      <c r="G843" s="38" t="str">
        <f t="shared" si="65"/>
        <v/>
      </c>
      <c r="H843" s="141" t="str">
        <f t="shared" si="66"/>
        <v/>
      </c>
      <c r="J843" s="141" t="str">
        <f t="shared" si="67"/>
        <v/>
      </c>
      <c r="K843" s="141" t="str">
        <f t="shared" si="68"/>
        <v/>
      </c>
      <c r="L843" s="141" t="str">
        <f t="shared" si="69"/>
        <v/>
      </c>
    </row>
    <row r="844" spans="1:12" x14ac:dyDescent="0.3">
      <c r="A844" s="2" t="str">
        <f xml:space="preserve"> IF( 'From SvanPC++'!A844= "", "", ('From SvanPC++'!A844))</f>
        <v/>
      </c>
      <c r="C844" s="6" t="s">
        <v>10</v>
      </c>
      <c r="G844" s="38" t="str">
        <f t="shared" si="65"/>
        <v/>
      </c>
      <c r="H844" s="141" t="str">
        <f t="shared" si="66"/>
        <v/>
      </c>
      <c r="J844" s="141" t="str">
        <f t="shared" si="67"/>
        <v/>
      </c>
      <c r="K844" s="141" t="str">
        <f t="shared" si="68"/>
        <v/>
      </c>
      <c r="L844" s="141" t="str">
        <f t="shared" si="69"/>
        <v/>
      </c>
    </row>
    <row r="845" spans="1:12" x14ac:dyDescent="0.3">
      <c r="A845" s="2" t="str">
        <f xml:space="preserve"> IF( 'From SvanPC++'!A845= "", "", ('From SvanPC++'!A845))</f>
        <v/>
      </c>
      <c r="C845" s="6" t="s">
        <v>10</v>
      </c>
      <c r="G845" s="38" t="str">
        <f t="shared" si="65"/>
        <v/>
      </c>
      <c r="H845" s="141" t="str">
        <f t="shared" si="66"/>
        <v/>
      </c>
      <c r="J845" s="141" t="str">
        <f t="shared" si="67"/>
        <v/>
      </c>
      <c r="K845" s="141" t="str">
        <f t="shared" si="68"/>
        <v/>
      </c>
      <c r="L845" s="141" t="str">
        <f t="shared" si="69"/>
        <v/>
      </c>
    </row>
    <row r="846" spans="1:12" x14ac:dyDescent="0.3">
      <c r="A846" s="2" t="str">
        <f xml:space="preserve"> IF( 'From SvanPC++'!A846= "", "", ('From SvanPC++'!A846))</f>
        <v/>
      </c>
      <c r="C846" s="6" t="s">
        <v>10</v>
      </c>
      <c r="G846" s="38" t="str">
        <f t="shared" si="65"/>
        <v/>
      </c>
      <c r="H846" s="141" t="str">
        <f t="shared" si="66"/>
        <v/>
      </c>
      <c r="J846" s="141" t="str">
        <f t="shared" si="67"/>
        <v/>
      </c>
      <c r="K846" s="141" t="str">
        <f t="shared" si="68"/>
        <v/>
      </c>
      <c r="L846" s="141" t="str">
        <f t="shared" si="69"/>
        <v/>
      </c>
    </row>
    <row r="847" spans="1:12" x14ac:dyDescent="0.3">
      <c r="A847" s="2" t="str">
        <f xml:space="preserve"> IF( 'From SvanPC++'!A847= "", "", ('From SvanPC++'!A847))</f>
        <v/>
      </c>
      <c r="C847" s="6" t="s">
        <v>10</v>
      </c>
      <c r="G847" s="38" t="str">
        <f t="shared" si="65"/>
        <v/>
      </c>
      <c r="H847" s="141" t="str">
        <f t="shared" si="66"/>
        <v/>
      </c>
      <c r="J847" s="141" t="str">
        <f t="shared" si="67"/>
        <v/>
      </c>
      <c r="K847" s="141" t="str">
        <f t="shared" si="68"/>
        <v/>
      </c>
      <c r="L847" s="141" t="str">
        <f t="shared" si="69"/>
        <v/>
      </c>
    </row>
    <row r="848" spans="1:12" x14ac:dyDescent="0.3">
      <c r="A848" s="2" t="str">
        <f xml:space="preserve"> IF( 'From SvanPC++'!A848= "", "", ('From SvanPC++'!A848))</f>
        <v/>
      </c>
      <c r="C848" s="6" t="s">
        <v>10</v>
      </c>
      <c r="G848" s="38" t="str">
        <f t="shared" si="65"/>
        <v/>
      </c>
      <c r="H848" s="141" t="str">
        <f t="shared" si="66"/>
        <v/>
      </c>
      <c r="J848" s="141" t="str">
        <f t="shared" si="67"/>
        <v/>
      </c>
      <c r="K848" s="141" t="str">
        <f t="shared" si="68"/>
        <v/>
      </c>
      <c r="L848" s="141" t="str">
        <f t="shared" si="69"/>
        <v/>
      </c>
    </row>
    <row r="849" spans="1:12" x14ac:dyDescent="0.3">
      <c r="A849" s="2" t="str">
        <f xml:space="preserve"> IF( 'From SvanPC++'!A849= "", "", ('From SvanPC++'!A849))</f>
        <v/>
      </c>
      <c r="C849" s="6" t="s">
        <v>10</v>
      </c>
      <c r="G849" s="38" t="str">
        <f t="shared" si="65"/>
        <v/>
      </c>
      <c r="H849" s="141" t="str">
        <f t="shared" si="66"/>
        <v/>
      </c>
      <c r="J849" s="141" t="str">
        <f t="shared" si="67"/>
        <v/>
      </c>
      <c r="K849" s="141" t="str">
        <f t="shared" si="68"/>
        <v/>
      </c>
      <c r="L849" s="141" t="str">
        <f t="shared" si="69"/>
        <v/>
      </c>
    </row>
    <row r="850" spans="1:12" x14ac:dyDescent="0.3">
      <c r="A850" s="2" t="str">
        <f xml:space="preserve"> IF( 'From SvanPC++'!A850= "", "", ('From SvanPC++'!A850))</f>
        <v/>
      </c>
      <c r="C850" s="6" t="s">
        <v>10</v>
      </c>
      <c r="G850" s="38" t="str">
        <f t="shared" si="65"/>
        <v/>
      </c>
      <c r="H850" s="141" t="str">
        <f t="shared" si="66"/>
        <v/>
      </c>
      <c r="J850" s="141" t="str">
        <f t="shared" si="67"/>
        <v/>
      </c>
      <c r="K850" s="141" t="str">
        <f t="shared" si="68"/>
        <v/>
      </c>
      <c r="L850" s="141" t="str">
        <f t="shared" si="69"/>
        <v/>
      </c>
    </row>
    <row r="851" spans="1:12" x14ac:dyDescent="0.3">
      <c r="A851" s="2" t="str">
        <f xml:space="preserve"> IF( 'From SvanPC++'!A851= "", "", ('From SvanPC++'!A851))</f>
        <v/>
      </c>
      <c r="C851" s="6" t="s">
        <v>10</v>
      </c>
      <c r="G851" s="38" t="str">
        <f t="shared" si="65"/>
        <v/>
      </c>
      <c r="H851" s="141" t="str">
        <f t="shared" si="66"/>
        <v/>
      </c>
      <c r="J851" s="141" t="str">
        <f t="shared" si="67"/>
        <v/>
      </c>
      <c r="K851" s="141" t="str">
        <f t="shared" si="68"/>
        <v/>
      </c>
      <c r="L851" s="141" t="str">
        <f t="shared" si="69"/>
        <v/>
      </c>
    </row>
    <row r="852" spans="1:12" x14ac:dyDescent="0.3">
      <c r="A852" s="2" t="str">
        <f xml:space="preserve"> IF( 'From SvanPC++'!A852= "", "", ('From SvanPC++'!A852))</f>
        <v/>
      </c>
      <c r="C852" s="6" t="s">
        <v>10</v>
      </c>
      <c r="G852" s="38" t="str">
        <f t="shared" si="65"/>
        <v/>
      </c>
      <c r="H852" s="141" t="str">
        <f t="shared" si="66"/>
        <v/>
      </c>
      <c r="J852" s="141" t="str">
        <f t="shared" si="67"/>
        <v/>
      </c>
      <c r="K852" s="141" t="str">
        <f t="shared" si="68"/>
        <v/>
      </c>
      <c r="L852" s="141" t="str">
        <f t="shared" si="69"/>
        <v/>
      </c>
    </row>
    <row r="853" spans="1:12" x14ac:dyDescent="0.3">
      <c r="A853" s="2" t="str">
        <f xml:space="preserve"> IF( 'From SvanPC++'!A853= "", "", ('From SvanPC++'!A853))</f>
        <v/>
      </c>
      <c r="C853" s="6" t="s">
        <v>10</v>
      </c>
      <c r="G853" s="38" t="str">
        <f t="shared" si="65"/>
        <v/>
      </c>
      <c r="H853" s="141" t="str">
        <f t="shared" si="66"/>
        <v/>
      </c>
      <c r="J853" s="141" t="str">
        <f t="shared" si="67"/>
        <v/>
      </c>
      <c r="K853" s="141" t="str">
        <f t="shared" si="68"/>
        <v/>
      </c>
      <c r="L853" s="141" t="str">
        <f t="shared" si="69"/>
        <v/>
      </c>
    </row>
    <row r="854" spans="1:12" x14ac:dyDescent="0.3">
      <c r="A854" s="2" t="str">
        <f xml:space="preserve"> IF( 'From SvanPC++'!A854= "", "", ('From SvanPC++'!A854))</f>
        <v/>
      </c>
      <c r="C854" s="6" t="s">
        <v>10</v>
      </c>
      <c r="G854" s="38" t="str">
        <f t="shared" si="65"/>
        <v/>
      </c>
      <c r="H854" s="141" t="str">
        <f t="shared" si="66"/>
        <v/>
      </c>
      <c r="J854" s="141" t="str">
        <f t="shared" si="67"/>
        <v/>
      </c>
      <c r="K854" s="141" t="str">
        <f t="shared" si="68"/>
        <v/>
      </c>
      <c r="L854" s="141" t="str">
        <f t="shared" si="69"/>
        <v/>
      </c>
    </row>
    <row r="855" spans="1:12" x14ac:dyDescent="0.3">
      <c r="A855" s="2" t="str">
        <f xml:space="preserve"> IF( 'From SvanPC++'!A855= "", "", ('From SvanPC++'!A855))</f>
        <v/>
      </c>
      <c r="C855" s="6" t="s">
        <v>10</v>
      </c>
      <c r="G855" s="38" t="str">
        <f t="shared" si="65"/>
        <v/>
      </c>
      <c r="H855" s="141" t="str">
        <f t="shared" si="66"/>
        <v/>
      </c>
      <c r="J855" s="141" t="str">
        <f t="shared" si="67"/>
        <v/>
      </c>
      <c r="K855" s="141" t="str">
        <f t="shared" si="68"/>
        <v/>
      </c>
      <c r="L855" s="141" t="str">
        <f t="shared" si="69"/>
        <v/>
      </c>
    </row>
    <row r="856" spans="1:12" x14ac:dyDescent="0.3">
      <c r="A856" s="2" t="str">
        <f xml:space="preserve"> IF( 'From SvanPC++'!A856= "", "", ('From SvanPC++'!A856))</f>
        <v/>
      </c>
      <c r="C856" s="6" t="s">
        <v>10</v>
      </c>
      <c r="G856" s="38" t="str">
        <f t="shared" si="65"/>
        <v/>
      </c>
      <c r="H856" s="141" t="str">
        <f t="shared" si="66"/>
        <v/>
      </c>
      <c r="J856" s="141" t="str">
        <f t="shared" si="67"/>
        <v/>
      </c>
      <c r="K856" s="141" t="str">
        <f t="shared" si="68"/>
        <v/>
      </c>
      <c r="L856" s="141" t="str">
        <f t="shared" si="69"/>
        <v/>
      </c>
    </row>
    <row r="857" spans="1:12" x14ac:dyDescent="0.3">
      <c r="A857" s="2" t="str">
        <f xml:space="preserve"> IF( 'From SvanPC++'!A857= "", "", ('From SvanPC++'!A857))</f>
        <v/>
      </c>
      <c r="C857" s="6" t="s">
        <v>10</v>
      </c>
      <c r="G857" s="38" t="str">
        <f t="shared" si="65"/>
        <v/>
      </c>
      <c r="H857" s="141" t="str">
        <f t="shared" si="66"/>
        <v/>
      </c>
      <c r="J857" s="141" t="str">
        <f t="shared" si="67"/>
        <v/>
      </c>
      <c r="K857" s="141" t="str">
        <f t="shared" si="68"/>
        <v/>
      </c>
      <c r="L857" s="141" t="str">
        <f t="shared" si="69"/>
        <v/>
      </c>
    </row>
    <row r="858" spans="1:12" x14ac:dyDescent="0.3">
      <c r="A858" s="2" t="str">
        <f xml:space="preserve"> IF( 'From SvanPC++'!A858= "", "", ('From SvanPC++'!A858))</f>
        <v/>
      </c>
      <c r="C858" s="6" t="s">
        <v>10</v>
      </c>
      <c r="G858" s="38" t="str">
        <f t="shared" si="65"/>
        <v/>
      </c>
      <c r="H858" s="141" t="str">
        <f t="shared" si="66"/>
        <v/>
      </c>
      <c r="J858" s="141" t="str">
        <f t="shared" si="67"/>
        <v/>
      </c>
      <c r="K858" s="141" t="str">
        <f t="shared" si="68"/>
        <v/>
      </c>
      <c r="L858" s="141" t="str">
        <f t="shared" si="69"/>
        <v/>
      </c>
    </row>
    <row r="859" spans="1:12" x14ac:dyDescent="0.3">
      <c r="A859" s="2" t="str">
        <f xml:space="preserve"> IF( 'From SvanPC++'!A859= "", "", ('From SvanPC++'!A859))</f>
        <v/>
      </c>
      <c r="C859" s="6" t="s">
        <v>10</v>
      </c>
      <c r="G859" s="38" t="str">
        <f t="shared" si="65"/>
        <v/>
      </c>
      <c r="H859" s="141" t="str">
        <f t="shared" si="66"/>
        <v/>
      </c>
      <c r="J859" s="141" t="str">
        <f t="shared" si="67"/>
        <v/>
      </c>
      <c r="K859" s="141" t="str">
        <f t="shared" si="68"/>
        <v/>
      </c>
      <c r="L859" s="141" t="str">
        <f t="shared" si="69"/>
        <v/>
      </c>
    </row>
    <row r="860" spans="1:12" x14ac:dyDescent="0.3">
      <c r="A860" s="2" t="str">
        <f xml:space="preserve"> IF( 'From SvanPC++'!A860= "", "", ('From SvanPC++'!A860))</f>
        <v/>
      </c>
      <c r="C860" s="6" t="s">
        <v>10</v>
      </c>
      <c r="G860" s="38" t="str">
        <f t="shared" si="65"/>
        <v/>
      </c>
      <c r="H860" s="141" t="str">
        <f t="shared" si="66"/>
        <v/>
      </c>
      <c r="J860" s="141" t="str">
        <f t="shared" si="67"/>
        <v/>
      </c>
      <c r="K860" s="141" t="str">
        <f t="shared" si="68"/>
        <v/>
      </c>
      <c r="L860" s="141" t="str">
        <f t="shared" si="69"/>
        <v/>
      </c>
    </row>
    <row r="861" spans="1:12" x14ac:dyDescent="0.3">
      <c r="A861" s="2" t="str">
        <f xml:space="preserve"> IF( 'From SvanPC++'!A861= "", "", ('From SvanPC++'!A861))</f>
        <v/>
      </c>
      <c r="C861" s="6" t="s">
        <v>10</v>
      </c>
      <c r="G861" s="38" t="str">
        <f t="shared" si="65"/>
        <v/>
      </c>
      <c r="H861" s="141" t="str">
        <f t="shared" si="66"/>
        <v/>
      </c>
      <c r="J861" s="141" t="str">
        <f t="shared" si="67"/>
        <v/>
      </c>
      <c r="K861" s="141" t="str">
        <f t="shared" si="68"/>
        <v/>
      </c>
      <c r="L861" s="141" t="str">
        <f t="shared" si="69"/>
        <v/>
      </c>
    </row>
    <row r="862" spans="1:12" x14ac:dyDescent="0.3">
      <c r="A862" s="2" t="str">
        <f xml:space="preserve"> IF( 'From SvanPC++'!A862= "", "", ('From SvanPC++'!A862))</f>
        <v/>
      </c>
      <c r="C862" s="6" t="s">
        <v>10</v>
      </c>
      <c r="G862" s="38" t="str">
        <f t="shared" si="65"/>
        <v/>
      </c>
      <c r="H862" s="141" t="str">
        <f t="shared" si="66"/>
        <v/>
      </c>
      <c r="J862" s="141" t="str">
        <f t="shared" si="67"/>
        <v/>
      </c>
      <c r="K862" s="141" t="str">
        <f t="shared" si="68"/>
        <v/>
      </c>
      <c r="L862" s="141" t="str">
        <f t="shared" si="69"/>
        <v/>
      </c>
    </row>
    <row r="863" spans="1:12" x14ac:dyDescent="0.3">
      <c r="A863" s="2" t="str">
        <f xml:space="preserve"> IF( 'From SvanPC++'!A863= "", "", ('From SvanPC++'!A863))</f>
        <v/>
      </c>
      <c r="C863" s="6" t="s">
        <v>10</v>
      </c>
      <c r="G863" s="38" t="str">
        <f t="shared" si="65"/>
        <v/>
      </c>
      <c r="H863" s="141" t="str">
        <f t="shared" si="66"/>
        <v/>
      </c>
      <c r="J863" s="141" t="str">
        <f t="shared" si="67"/>
        <v/>
      </c>
      <c r="K863" s="141" t="str">
        <f t="shared" si="68"/>
        <v/>
      </c>
      <c r="L863" s="141" t="str">
        <f t="shared" si="69"/>
        <v/>
      </c>
    </row>
    <row r="864" spans="1:12" x14ac:dyDescent="0.3">
      <c r="A864" s="2" t="str">
        <f xml:space="preserve"> IF( 'From SvanPC++'!A864= "", "", ('From SvanPC++'!A864))</f>
        <v/>
      </c>
      <c r="C864" s="6" t="s">
        <v>10</v>
      </c>
      <c r="G864" s="38" t="str">
        <f t="shared" si="65"/>
        <v/>
      </c>
      <c r="H864" s="141" t="str">
        <f t="shared" si="66"/>
        <v/>
      </c>
      <c r="J864" s="141" t="str">
        <f t="shared" si="67"/>
        <v/>
      </c>
      <c r="K864" s="141" t="str">
        <f t="shared" si="68"/>
        <v/>
      </c>
      <c r="L864" s="141" t="str">
        <f t="shared" si="69"/>
        <v/>
      </c>
    </row>
    <row r="865" spans="1:12" x14ac:dyDescent="0.3">
      <c r="A865" s="2" t="str">
        <f xml:space="preserve"> IF( 'From SvanPC++'!A865= "", "", ('From SvanPC++'!A865))</f>
        <v/>
      </c>
      <c r="C865" s="6" t="s">
        <v>10</v>
      </c>
      <c r="G865" s="38" t="str">
        <f t="shared" si="65"/>
        <v/>
      </c>
      <c r="H865" s="141" t="str">
        <f t="shared" si="66"/>
        <v/>
      </c>
      <c r="J865" s="141" t="str">
        <f t="shared" si="67"/>
        <v/>
      </c>
      <c r="K865" s="141" t="str">
        <f t="shared" si="68"/>
        <v/>
      </c>
      <c r="L865" s="141" t="str">
        <f t="shared" si="69"/>
        <v/>
      </c>
    </row>
    <row r="866" spans="1:12" x14ac:dyDescent="0.3">
      <c r="A866" s="2" t="str">
        <f xml:space="preserve"> IF( 'From SvanPC++'!A866= "", "", ('From SvanPC++'!A866))</f>
        <v/>
      </c>
      <c r="C866" s="6" t="s">
        <v>10</v>
      </c>
      <c r="G866" s="38" t="str">
        <f t="shared" si="65"/>
        <v/>
      </c>
      <c r="H866" s="141" t="str">
        <f t="shared" si="66"/>
        <v/>
      </c>
      <c r="J866" s="141" t="str">
        <f t="shared" si="67"/>
        <v/>
      </c>
      <c r="K866" s="141" t="str">
        <f t="shared" si="68"/>
        <v/>
      </c>
      <c r="L866" s="141" t="str">
        <f t="shared" si="69"/>
        <v/>
      </c>
    </row>
    <row r="867" spans="1:12" x14ac:dyDescent="0.3">
      <c r="A867" s="2" t="str">
        <f xml:space="preserve"> IF( 'From SvanPC++'!A867= "", "", ('From SvanPC++'!A867))</f>
        <v/>
      </c>
      <c r="C867" s="6" t="s">
        <v>10</v>
      </c>
      <c r="G867" s="38" t="str">
        <f t="shared" si="65"/>
        <v/>
      </c>
      <c r="H867" s="141" t="str">
        <f t="shared" si="66"/>
        <v/>
      </c>
      <c r="J867" s="141" t="str">
        <f t="shared" si="67"/>
        <v/>
      </c>
      <c r="K867" s="141" t="str">
        <f t="shared" si="68"/>
        <v/>
      </c>
      <c r="L867" s="141" t="str">
        <f t="shared" si="69"/>
        <v/>
      </c>
    </row>
    <row r="868" spans="1:12" x14ac:dyDescent="0.3">
      <c r="A868" s="2" t="str">
        <f xml:space="preserve"> IF( 'From SvanPC++'!A868= "", "", ('From SvanPC++'!A868))</f>
        <v/>
      </c>
      <c r="C868" s="6" t="s">
        <v>10</v>
      </c>
      <c r="G868" s="38" t="str">
        <f t="shared" si="65"/>
        <v/>
      </c>
      <c r="H868" s="141" t="str">
        <f t="shared" si="66"/>
        <v/>
      </c>
      <c r="J868" s="141" t="str">
        <f t="shared" si="67"/>
        <v/>
      </c>
      <c r="K868" s="141" t="str">
        <f t="shared" si="68"/>
        <v/>
      </c>
      <c r="L868" s="141" t="str">
        <f t="shared" si="69"/>
        <v/>
      </c>
    </row>
    <row r="869" spans="1:12" x14ac:dyDescent="0.3">
      <c r="A869" s="2" t="str">
        <f xml:space="preserve"> IF( 'From SvanPC++'!A869= "", "", ('From SvanPC++'!A869))</f>
        <v/>
      </c>
      <c r="C869" s="6" t="s">
        <v>10</v>
      </c>
      <c r="G869" s="38" t="str">
        <f t="shared" si="65"/>
        <v/>
      </c>
      <c r="H869" s="141" t="str">
        <f t="shared" si="66"/>
        <v/>
      </c>
      <c r="J869" s="141" t="str">
        <f t="shared" si="67"/>
        <v/>
      </c>
      <c r="K869" s="141" t="str">
        <f t="shared" si="68"/>
        <v/>
      </c>
      <c r="L869" s="141" t="str">
        <f t="shared" si="69"/>
        <v/>
      </c>
    </row>
    <row r="870" spans="1:12" x14ac:dyDescent="0.3">
      <c r="A870" s="2" t="str">
        <f xml:space="preserve"> IF( 'From SvanPC++'!A870= "", "", ('From SvanPC++'!A870))</f>
        <v/>
      </c>
      <c r="C870" s="6" t="s">
        <v>10</v>
      </c>
      <c r="G870" s="38" t="str">
        <f t="shared" si="65"/>
        <v/>
      </c>
      <c r="H870" s="141" t="str">
        <f t="shared" si="66"/>
        <v/>
      </c>
      <c r="J870" s="141" t="str">
        <f t="shared" si="67"/>
        <v/>
      </c>
      <c r="K870" s="141" t="str">
        <f t="shared" si="68"/>
        <v/>
      </c>
      <c r="L870" s="141" t="str">
        <f t="shared" si="69"/>
        <v/>
      </c>
    </row>
    <row r="871" spans="1:12" x14ac:dyDescent="0.3">
      <c r="A871" s="2" t="str">
        <f xml:space="preserve"> IF( 'From SvanPC++'!A871= "", "", ('From SvanPC++'!A871))</f>
        <v/>
      </c>
      <c r="C871" s="6" t="s">
        <v>10</v>
      </c>
      <c r="G871" s="38" t="str">
        <f t="shared" si="65"/>
        <v/>
      </c>
      <c r="H871" s="141" t="str">
        <f t="shared" si="66"/>
        <v/>
      </c>
      <c r="J871" s="141" t="str">
        <f t="shared" si="67"/>
        <v/>
      </c>
      <c r="K871" s="141" t="str">
        <f t="shared" si="68"/>
        <v/>
      </c>
      <c r="L871" s="141" t="str">
        <f t="shared" si="69"/>
        <v/>
      </c>
    </row>
    <row r="872" spans="1:12" x14ac:dyDescent="0.3">
      <c r="A872" s="2" t="str">
        <f xml:space="preserve"> IF( 'From SvanPC++'!A872= "", "", ('From SvanPC++'!A872))</f>
        <v/>
      </c>
      <c r="C872" s="6" t="s">
        <v>10</v>
      </c>
      <c r="G872" s="38" t="str">
        <f t="shared" si="65"/>
        <v/>
      </c>
      <c r="H872" s="141" t="str">
        <f t="shared" si="66"/>
        <v/>
      </c>
      <c r="J872" s="141" t="str">
        <f t="shared" si="67"/>
        <v/>
      </c>
      <c r="K872" s="141" t="str">
        <f t="shared" si="68"/>
        <v/>
      </c>
      <c r="L872" s="141" t="str">
        <f t="shared" si="69"/>
        <v/>
      </c>
    </row>
    <row r="873" spans="1:12" x14ac:dyDescent="0.3">
      <c r="A873" s="2" t="str">
        <f xml:space="preserve"> IF( 'From SvanPC++'!A873= "", "", ('From SvanPC++'!A873))</f>
        <v/>
      </c>
      <c r="C873" s="6" t="s">
        <v>10</v>
      </c>
      <c r="G873" s="38" t="str">
        <f t="shared" si="65"/>
        <v/>
      </c>
      <c r="H873" s="141" t="str">
        <f t="shared" si="66"/>
        <v/>
      </c>
      <c r="J873" s="141" t="str">
        <f t="shared" si="67"/>
        <v/>
      </c>
      <c r="K873" s="141" t="str">
        <f t="shared" si="68"/>
        <v/>
      </c>
      <c r="L873" s="141" t="str">
        <f t="shared" si="69"/>
        <v/>
      </c>
    </row>
    <row r="874" spans="1:12" x14ac:dyDescent="0.3">
      <c r="A874" s="2" t="str">
        <f xml:space="preserve"> IF( 'From SvanPC++'!A874= "", "", ('From SvanPC++'!A874))</f>
        <v/>
      </c>
      <c r="C874" s="6" t="s">
        <v>10</v>
      </c>
      <c r="G874" s="38" t="str">
        <f t="shared" si="65"/>
        <v/>
      </c>
      <c r="H874" s="141" t="str">
        <f t="shared" si="66"/>
        <v/>
      </c>
      <c r="J874" s="141" t="str">
        <f t="shared" si="67"/>
        <v/>
      </c>
      <c r="K874" s="141" t="str">
        <f t="shared" si="68"/>
        <v/>
      </c>
      <c r="L874" s="141" t="str">
        <f t="shared" si="69"/>
        <v/>
      </c>
    </row>
    <row r="875" spans="1:12" x14ac:dyDescent="0.3">
      <c r="A875" s="2" t="str">
        <f xml:space="preserve"> IF( 'From SvanPC++'!A875= "", "", ('From SvanPC++'!A875))</f>
        <v/>
      </c>
      <c r="C875" s="6" t="s">
        <v>10</v>
      </c>
      <c r="G875" s="38" t="str">
        <f t="shared" si="65"/>
        <v/>
      </c>
      <c r="H875" s="141" t="str">
        <f t="shared" si="66"/>
        <v/>
      </c>
      <c r="J875" s="141" t="str">
        <f t="shared" si="67"/>
        <v/>
      </c>
      <c r="K875" s="141" t="str">
        <f t="shared" si="68"/>
        <v/>
      </c>
      <c r="L875" s="141" t="str">
        <f t="shared" si="69"/>
        <v/>
      </c>
    </row>
    <row r="876" spans="1:12" x14ac:dyDescent="0.3">
      <c r="A876" s="2" t="str">
        <f xml:space="preserve"> IF( 'From SvanPC++'!A876= "", "", ('From SvanPC++'!A876))</f>
        <v/>
      </c>
      <c r="C876" s="6" t="s">
        <v>10</v>
      </c>
      <c r="G876" s="38" t="str">
        <f t="shared" si="65"/>
        <v/>
      </c>
      <c r="H876" s="141" t="str">
        <f t="shared" si="66"/>
        <v/>
      </c>
      <c r="J876" s="141" t="str">
        <f t="shared" si="67"/>
        <v/>
      </c>
      <c r="K876" s="141" t="str">
        <f t="shared" si="68"/>
        <v/>
      </c>
      <c r="L876" s="141" t="str">
        <f t="shared" si="69"/>
        <v/>
      </c>
    </row>
    <row r="877" spans="1:12" x14ac:dyDescent="0.3">
      <c r="A877" s="2" t="str">
        <f xml:space="preserve"> IF( 'From SvanPC++'!A877= "", "", ('From SvanPC++'!A877))</f>
        <v/>
      </c>
      <c r="C877" s="6" t="s">
        <v>10</v>
      </c>
      <c r="G877" s="38" t="str">
        <f t="shared" si="65"/>
        <v/>
      </c>
      <c r="H877" s="141" t="str">
        <f t="shared" si="66"/>
        <v/>
      </c>
      <c r="J877" s="141" t="str">
        <f t="shared" si="67"/>
        <v/>
      </c>
      <c r="K877" s="141" t="str">
        <f t="shared" si="68"/>
        <v/>
      </c>
      <c r="L877" s="141" t="str">
        <f t="shared" si="69"/>
        <v/>
      </c>
    </row>
    <row r="878" spans="1:12" x14ac:dyDescent="0.3">
      <c r="A878" s="2" t="str">
        <f xml:space="preserve"> IF( 'From SvanPC++'!A878= "", "", ('From SvanPC++'!A878))</f>
        <v/>
      </c>
      <c r="C878" s="6" t="s">
        <v>10</v>
      </c>
      <c r="G878" s="38" t="str">
        <f t="shared" si="65"/>
        <v/>
      </c>
      <c r="H878" s="141" t="str">
        <f t="shared" si="66"/>
        <v/>
      </c>
      <c r="J878" s="141" t="str">
        <f t="shared" si="67"/>
        <v/>
      </c>
      <c r="K878" s="141" t="str">
        <f t="shared" si="68"/>
        <v/>
      </c>
      <c r="L878" s="141" t="str">
        <f t="shared" si="69"/>
        <v/>
      </c>
    </row>
    <row r="879" spans="1:12" x14ac:dyDescent="0.3">
      <c r="A879" s="2" t="str">
        <f xml:space="preserve"> IF( 'From SvanPC++'!A879= "", "", ('From SvanPC++'!A879))</f>
        <v/>
      </c>
      <c r="C879" s="6" t="s">
        <v>10</v>
      </c>
      <c r="G879" s="38" t="str">
        <f t="shared" si="65"/>
        <v/>
      </c>
      <c r="H879" s="141" t="str">
        <f t="shared" si="66"/>
        <v/>
      </c>
      <c r="J879" s="141" t="str">
        <f t="shared" si="67"/>
        <v/>
      </c>
      <c r="K879" s="141" t="str">
        <f t="shared" si="68"/>
        <v/>
      </c>
      <c r="L879" s="141" t="str">
        <f t="shared" si="69"/>
        <v/>
      </c>
    </row>
    <row r="880" spans="1:12" x14ac:dyDescent="0.3">
      <c r="A880" s="2" t="str">
        <f xml:space="preserve"> IF( 'From SvanPC++'!A880= "", "", ('From SvanPC++'!A880))</f>
        <v/>
      </c>
      <c r="C880" s="6" t="s">
        <v>10</v>
      </c>
      <c r="G880" s="38" t="str">
        <f t="shared" si="65"/>
        <v/>
      </c>
      <c r="H880" s="141" t="str">
        <f t="shared" si="66"/>
        <v/>
      </c>
      <c r="J880" s="141" t="str">
        <f t="shared" si="67"/>
        <v/>
      </c>
      <c r="K880" s="141" t="str">
        <f t="shared" si="68"/>
        <v/>
      </c>
      <c r="L880" s="141" t="str">
        <f t="shared" si="69"/>
        <v/>
      </c>
    </row>
    <row r="881" spans="1:12" x14ac:dyDescent="0.3">
      <c r="A881" s="2" t="str">
        <f xml:space="preserve"> IF( 'From SvanPC++'!A881= "", "", ('From SvanPC++'!A881))</f>
        <v/>
      </c>
      <c r="C881" s="6" t="s">
        <v>10</v>
      </c>
      <c r="G881" s="38" t="str">
        <f t="shared" si="65"/>
        <v/>
      </c>
      <c r="H881" s="141" t="str">
        <f t="shared" si="66"/>
        <v/>
      </c>
      <c r="J881" s="141" t="str">
        <f t="shared" si="67"/>
        <v/>
      </c>
      <c r="K881" s="141" t="str">
        <f t="shared" si="68"/>
        <v/>
      </c>
      <c r="L881" s="141" t="str">
        <f t="shared" si="69"/>
        <v/>
      </c>
    </row>
    <row r="882" spans="1:12" x14ac:dyDescent="0.3">
      <c r="A882" s="2" t="str">
        <f xml:space="preserve"> IF( 'From SvanPC++'!A882= "", "", ('From SvanPC++'!A882))</f>
        <v/>
      </c>
      <c r="C882" s="6" t="s">
        <v>10</v>
      </c>
      <c r="G882" s="38" t="str">
        <f t="shared" si="65"/>
        <v/>
      </c>
      <c r="H882" s="141" t="str">
        <f t="shared" si="66"/>
        <v/>
      </c>
      <c r="J882" s="141" t="str">
        <f t="shared" si="67"/>
        <v/>
      </c>
      <c r="K882" s="141" t="str">
        <f t="shared" si="68"/>
        <v/>
      </c>
      <c r="L882" s="141" t="str">
        <f t="shared" si="69"/>
        <v/>
      </c>
    </row>
    <row r="883" spans="1:12" x14ac:dyDescent="0.3">
      <c r="A883" s="2" t="str">
        <f xml:space="preserve"> IF( 'From SvanPC++'!A883= "", "", ('From SvanPC++'!A883))</f>
        <v/>
      </c>
      <c r="C883" s="6" t="s">
        <v>10</v>
      </c>
      <c r="G883" s="38" t="str">
        <f t="shared" si="65"/>
        <v/>
      </c>
      <c r="H883" s="141" t="str">
        <f t="shared" si="66"/>
        <v/>
      </c>
      <c r="J883" s="141" t="str">
        <f t="shared" si="67"/>
        <v/>
      </c>
      <c r="K883" s="141" t="str">
        <f t="shared" si="68"/>
        <v/>
      </c>
      <c r="L883" s="141" t="str">
        <f t="shared" si="69"/>
        <v/>
      </c>
    </row>
    <row r="884" spans="1:12" x14ac:dyDescent="0.3">
      <c r="A884" s="2" t="str">
        <f xml:space="preserve"> IF( 'From SvanPC++'!A884= "", "", ('From SvanPC++'!A884))</f>
        <v/>
      </c>
      <c r="C884" s="6" t="s">
        <v>10</v>
      </c>
      <c r="G884" s="38" t="str">
        <f t="shared" si="65"/>
        <v/>
      </c>
      <c r="H884" s="141" t="str">
        <f t="shared" si="66"/>
        <v/>
      </c>
      <c r="J884" s="141" t="str">
        <f t="shared" si="67"/>
        <v/>
      </c>
      <c r="K884" s="141" t="str">
        <f t="shared" si="68"/>
        <v/>
      </c>
      <c r="L884" s="141" t="str">
        <f t="shared" si="69"/>
        <v/>
      </c>
    </row>
    <row r="885" spans="1:12" x14ac:dyDescent="0.3">
      <c r="A885" s="2" t="str">
        <f xml:space="preserve"> IF( 'From SvanPC++'!A885= "", "", ('From SvanPC++'!A885))</f>
        <v/>
      </c>
      <c r="C885" s="6" t="s">
        <v>10</v>
      </c>
      <c r="G885" s="38" t="str">
        <f t="shared" si="65"/>
        <v/>
      </c>
      <c r="H885" s="141" t="str">
        <f t="shared" si="66"/>
        <v/>
      </c>
      <c r="J885" s="141" t="str">
        <f t="shared" si="67"/>
        <v/>
      </c>
      <c r="K885" s="141" t="str">
        <f t="shared" si="68"/>
        <v/>
      </c>
      <c r="L885" s="141" t="str">
        <f t="shared" si="69"/>
        <v/>
      </c>
    </row>
    <row r="886" spans="1:12" x14ac:dyDescent="0.3">
      <c r="A886" s="2" t="str">
        <f xml:space="preserve"> IF( 'From SvanPC++'!A886= "", "", ('From SvanPC++'!A886))</f>
        <v/>
      </c>
      <c r="C886" s="6" t="s">
        <v>10</v>
      </c>
      <c r="G886" s="38" t="str">
        <f t="shared" si="65"/>
        <v/>
      </c>
      <c r="H886" s="141" t="str">
        <f t="shared" si="66"/>
        <v/>
      </c>
      <c r="J886" s="141" t="str">
        <f t="shared" si="67"/>
        <v/>
      </c>
      <c r="K886" s="141" t="str">
        <f t="shared" si="68"/>
        <v/>
      </c>
      <c r="L886" s="141" t="str">
        <f t="shared" si="69"/>
        <v/>
      </c>
    </row>
    <row r="887" spans="1:12" x14ac:dyDescent="0.3">
      <c r="A887" s="2" t="str">
        <f xml:space="preserve"> IF( 'From SvanPC++'!A887= "", "", ('From SvanPC++'!A887))</f>
        <v/>
      </c>
      <c r="C887" s="6" t="s">
        <v>10</v>
      </c>
      <c r="G887" s="38" t="str">
        <f t="shared" si="65"/>
        <v/>
      </c>
      <c r="H887" s="141" t="str">
        <f t="shared" si="66"/>
        <v/>
      </c>
      <c r="J887" s="141" t="str">
        <f t="shared" si="67"/>
        <v/>
      </c>
      <c r="K887" s="141" t="str">
        <f t="shared" si="68"/>
        <v/>
      </c>
      <c r="L887" s="141" t="str">
        <f t="shared" si="69"/>
        <v/>
      </c>
    </row>
    <row r="888" spans="1:12" x14ac:dyDescent="0.3">
      <c r="A888" s="2" t="str">
        <f xml:space="preserve"> IF( 'From SvanPC++'!A888= "", "", ('From SvanPC++'!A888))</f>
        <v/>
      </c>
      <c r="C888" s="6" t="s">
        <v>10</v>
      </c>
      <c r="G888" s="38" t="str">
        <f t="shared" si="65"/>
        <v/>
      </c>
      <c r="H888" s="141" t="str">
        <f t="shared" si="66"/>
        <v/>
      </c>
      <c r="J888" s="141" t="str">
        <f t="shared" si="67"/>
        <v/>
      </c>
      <c r="K888" s="141" t="str">
        <f t="shared" si="68"/>
        <v/>
      </c>
      <c r="L888" s="141" t="str">
        <f t="shared" si="69"/>
        <v/>
      </c>
    </row>
    <row r="889" spans="1:12" x14ac:dyDescent="0.3">
      <c r="A889" s="2" t="str">
        <f xml:space="preserve"> IF( 'From SvanPC++'!A889= "", "", ('From SvanPC++'!A889))</f>
        <v/>
      </c>
      <c r="C889" s="6" t="s">
        <v>10</v>
      </c>
      <c r="G889" s="38" t="str">
        <f t="shared" si="65"/>
        <v/>
      </c>
      <c r="H889" s="141" t="str">
        <f t="shared" si="66"/>
        <v/>
      </c>
      <c r="J889" s="141" t="str">
        <f t="shared" si="67"/>
        <v/>
      </c>
      <c r="K889" s="141" t="str">
        <f t="shared" si="68"/>
        <v/>
      </c>
      <c r="L889" s="141" t="str">
        <f t="shared" si="69"/>
        <v/>
      </c>
    </row>
    <row r="890" spans="1:12" x14ac:dyDescent="0.3">
      <c r="A890" s="2" t="str">
        <f xml:space="preserve"> IF( 'From SvanPC++'!A890= "", "", ('From SvanPC++'!A890))</f>
        <v/>
      </c>
      <c r="C890" s="6" t="s">
        <v>10</v>
      </c>
      <c r="G890" s="38" t="str">
        <f t="shared" si="65"/>
        <v/>
      </c>
      <c r="H890" s="141" t="str">
        <f t="shared" si="66"/>
        <v/>
      </c>
      <c r="J890" s="141" t="str">
        <f t="shared" si="67"/>
        <v/>
      </c>
      <c r="K890" s="141" t="str">
        <f t="shared" si="68"/>
        <v/>
      </c>
      <c r="L890" s="141" t="str">
        <f t="shared" si="69"/>
        <v/>
      </c>
    </row>
    <row r="891" spans="1:12" x14ac:dyDescent="0.3">
      <c r="A891" s="2" t="str">
        <f xml:space="preserve"> IF( 'From SvanPC++'!A891= "", "", ('From SvanPC++'!A891))</f>
        <v/>
      </c>
      <c r="C891" s="6" t="s">
        <v>10</v>
      </c>
      <c r="G891" s="38" t="str">
        <f t="shared" si="65"/>
        <v/>
      </c>
      <c r="H891" s="141" t="str">
        <f t="shared" si="66"/>
        <v/>
      </c>
      <c r="J891" s="141" t="str">
        <f t="shared" si="67"/>
        <v/>
      </c>
      <c r="K891" s="141" t="str">
        <f t="shared" si="68"/>
        <v/>
      </c>
      <c r="L891" s="141" t="str">
        <f t="shared" si="69"/>
        <v/>
      </c>
    </row>
    <row r="892" spans="1:12" x14ac:dyDescent="0.3">
      <c r="A892" s="2" t="str">
        <f xml:space="preserve"> IF( 'From SvanPC++'!A892= "", "", ('From SvanPC++'!A892))</f>
        <v/>
      </c>
      <c r="C892" s="6" t="s">
        <v>10</v>
      </c>
      <c r="G892" s="38" t="str">
        <f t="shared" si="65"/>
        <v/>
      </c>
      <c r="H892" s="141" t="str">
        <f t="shared" si="66"/>
        <v/>
      </c>
      <c r="J892" s="141" t="str">
        <f t="shared" si="67"/>
        <v/>
      </c>
      <c r="K892" s="141" t="str">
        <f t="shared" si="68"/>
        <v/>
      </c>
      <c r="L892" s="141" t="str">
        <f t="shared" si="69"/>
        <v/>
      </c>
    </row>
    <row r="893" spans="1:12" x14ac:dyDescent="0.3">
      <c r="A893" s="2" t="str">
        <f xml:space="preserve"> IF( 'From SvanPC++'!A893= "", "", ('From SvanPC++'!A893))</f>
        <v/>
      </c>
      <c r="C893" s="6" t="s">
        <v>10</v>
      </c>
      <c r="G893" s="38" t="str">
        <f t="shared" si="65"/>
        <v/>
      </c>
      <c r="H893" s="141" t="str">
        <f t="shared" si="66"/>
        <v/>
      </c>
      <c r="J893" s="141" t="str">
        <f t="shared" si="67"/>
        <v/>
      </c>
      <c r="K893" s="141" t="str">
        <f t="shared" si="68"/>
        <v/>
      </c>
      <c r="L893" s="141" t="str">
        <f t="shared" si="69"/>
        <v/>
      </c>
    </row>
    <row r="894" spans="1:12" x14ac:dyDescent="0.3">
      <c r="A894" s="2" t="str">
        <f xml:space="preserve"> IF( 'From SvanPC++'!A894= "", "", ('From SvanPC++'!A894))</f>
        <v/>
      </c>
      <c r="C894" s="6" t="s">
        <v>10</v>
      </c>
      <c r="G894" s="38" t="str">
        <f t="shared" si="65"/>
        <v/>
      </c>
      <c r="H894" s="141" t="str">
        <f t="shared" si="66"/>
        <v/>
      </c>
      <c r="J894" s="141" t="str">
        <f t="shared" si="67"/>
        <v/>
      </c>
      <c r="K894" s="141" t="str">
        <f t="shared" si="68"/>
        <v/>
      </c>
      <c r="L894" s="141" t="str">
        <f t="shared" si="69"/>
        <v/>
      </c>
    </row>
    <row r="895" spans="1:12" x14ac:dyDescent="0.3">
      <c r="A895" s="2" t="str">
        <f xml:space="preserve"> IF( 'From SvanPC++'!A895= "", "", ('From SvanPC++'!A895))</f>
        <v/>
      </c>
      <c r="C895" s="6" t="s">
        <v>10</v>
      </c>
      <c r="G895" s="38" t="str">
        <f t="shared" si="65"/>
        <v/>
      </c>
      <c r="H895" s="141" t="str">
        <f t="shared" si="66"/>
        <v/>
      </c>
      <c r="J895" s="141" t="str">
        <f t="shared" si="67"/>
        <v/>
      </c>
      <c r="K895" s="141" t="str">
        <f t="shared" si="68"/>
        <v/>
      </c>
      <c r="L895" s="141" t="str">
        <f t="shared" si="69"/>
        <v/>
      </c>
    </row>
    <row r="896" spans="1:12" x14ac:dyDescent="0.3">
      <c r="A896" s="2" t="str">
        <f xml:space="preserve"> IF( 'From SvanPC++'!A896= "", "", ('From SvanPC++'!A896))</f>
        <v/>
      </c>
      <c r="C896" s="6" t="s">
        <v>10</v>
      </c>
      <c r="G896" s="38" t="str">
        <f t="shared" si="65"/>
        <v/>
      </c>
      <c r="H896" s="141" t="str">
        <f t="shared" si="66"/>
        <v/>
      </c>
      <c r="J896" s="141" t="str">
        <f t="shared" si="67"/>
        <v/>
      </c>
      <c r="K896" s="141" t="str">
        <f t="shared" si="68"/>
        <v/>
      </c>
      <c r="L896" s="141" t="str">
        <f t="shared" si="69"/>
        <v/>
      </c>
    </row>
    <row r="897" spans="1:12" x14ac:dyDescent="0.3">
      <c r="A897" s="2" t="str">
        <f xml:space="preserve"> IF( 'From SvanPC++'!A897= "", "", ('From SvanPC++'!A897))</f>
        <v/>
      </c>
      <c r="C897" s="6" t="s">
        <v>10</v>
      </c>
      <c r="G897" s="38" t="str">
        <f t="shared" si="65"/>
        <v/>
      </c>
      <c r="H897" s="141" t="str">
        <f t="shared" si="66"/>
        <v/>
      </c>
      <c r="J897" s="141" t="str">
        <f t="shared" si="67"/>
        <v/>
      </c>
      <c r="K897" s="141" t="str">
        <f t="shared" si="68"/>
        <v/>
      </c>
      <c r="L897" s="141" t="str">
        <f t="shared" si="69"/>
        <v/>
      </c>
    </row>
    <row r="898" spans="1:12" x14ac:dyDescent="0.3">
      <c r="A898" s="2" t="str">
        <f xml:space="preserve"> IF( 'From SvanPC++'!A898= "", "", ('From SvanPC++'!A898))</f>
        <v/>
      </c>
      <c r="C898" s="6" t="s">
        <v>10</v>
      </c>
      <c r="G898" s="38" t="str">
        <f t="shared" si="65"/>
        <v/>
      </c>
      <c r="H898" s="141" t="str">
        <f t="shared" si="66"/>
        <v/>
      </c>
      <c r="J898" s="141" t="str">
        <f t="shared" si="67"/>
        <v/>
      </c>
      <c r="K898" s="141" t="str">
        <f t="shared" si="68"/>
        <v/>
      </c>
      <c r="L898" s="141" t="str">
        <f t="shared" si="69"/>
        <v/>
      </c>
    </row>
    <row r="899" spans="1:12" x14ac:dyDescent="0.3">
      <c r="A899" s="2" t="str">
        <f xml:space="preserve"> IF( 'From SvanPC++'!A899= "", "", ('From SvanPC++'!A899))</f>
        <v/>
      </c>
      <c r="C899" s="6" t="s">
        <v>10</v>
      </c>
      <c r="G899" s="38" t="str">
        <f t="shared" si="65"/>
        <v/>
      </c>
      <c r="H899" s="141" t="str">
        <f t="shared" si="66"/>
        <v/>
      </c>
      <c r="J899" s="141" t="str">
        <f t="shared" si="67"/>
        <v/>
      </c>
      <c r="K899" s="141" t="str">
        <f t="shared" si="68"/>
        <v/>
      </c>
      <c r="L899" s="141" t="str">
        <f t="shared" si="69"/>
        <v/>
      </c>
    </row>
    <row r="900" spans="1:12" x14ac:dyDescent="0.3">
      <c r="A900" s="2" t="str">
        <f xml:space="preserve"> IF( 'From SvanPC++'!A900= "", "", ('From SvanPC++'!A900))</f>
        <v/>
      </c>
      <c r="C900" s="6" t="s">
        <v>10</v>
      </c>
      <c r="G900" s="38" t="str">
        <f t="shared" si="65"/>
        <v/>
      </c>
      <c r="H900" s="141" t="str">
        <f t="shared" si="66"/>
        <v/>
      </c>
      <c r="J900" s="141" t="str">
        <f t="shared" si="67"/>
        <v/>
      </c>
      <c r="K900" s="141" t="str">
        <f t="shared" si="68"/>
        <v/>
      </c>
      <c r="L900" s="141" t="str">
        <f t="shared" si="69"/>
        <v/>
      </c>
    </row>
    <row r="901" spans="1:12" x14ac:dyDescent="0.3">
      <c r="A901" s="2" t="str">
        <f xml:space="preserve"> IF( 'From SvanPC++'!A901= "", "", ('From SvanPC++'!A901))</f>
        <v/>
      </c>
      <c r="C901" s="6" t="s">
        <v>10</v>
      </c>
      <c r="G901" s="38" t="str">
        <f t="shared" si="65"/>
        <v/>
      </c>
      <c r="H901" s="141" t="str">
        <f t="shared" si="66"/>
        <v/>
      </c>
      <c r="J901" s="141" t="str">
        <f t="shared" si="67"/>
        <v/>
      </c>
      <c r="K901" s="141" t="str">
        <f t="shared" si="68"/>
        <v/>
      </c>
      <c r="L901" s="141" t="str">
        <f t="shared" si="69"/>
        <v/>
      </c>
    </row>
    <row r="902" spans="1:12" x14ac:dyDescent="0.3">
      <c r="A902" s="2" t="str">
        <f xml:space="preserve"> IF( 'From SvanPC++'!A902= "", "", ('From SvanPC++'!A902))</f>
        <v/>
      </c>
      <c r="C902" s="6" t="s">
        <v>10</v>
      </c>
      <c r="G902" s="38" t="str">
        <f t="shared" si="65"/>
        <v/>
      </c>
      <c r="H902" s="141" t="str">
        <f t="shared" si="66"/>
        <v/>
      </c>
      <c r="J902" s="141" t="str">
        <f t="shared" si="67"/>
        <v/>
      </c>
      <c r="K902" s="141" t="str">
        <f t="shared" si="68"/>
        <v/>
      </c>
      <c r="L902" s="141" t="str">
        <f t="shared" si="69"/>
        <v/>
      </c>
    </row>
    <row r="903" spans="1:12" x14ac:dyDescent="0.3">
      <c r="A903" s="2" t="str">
        <f xml:space="preserve"> IF( 'From SvanPC++'!A903= "", "", ('From SvanPC++'!A903))</f>
        <v/>
      </c>
      <c r="C903" s="6" t="s">
        <v>10</v>
      </c>
      <c r="G903" s="38" t="str">
        <f t="shared" ref="G903:G966" si="70" xml:space="preserve"> IF( D903= "", "", ( IF( AND( D903 &gt;= TIMEVALUE( "07:00:01" ), D903 &lt; TIMEVALUE( "08:00:01" ) ) = TRUE, (G902+1), (G902+0) )))</f>
        <v/>
      </c>
      <c r="H903" s="141" t="str">
        <f t="shared" ref="H903:H966" si="71" xml:space="preserve"> IF( D903= "", "", (
IF( AND( D903 &gt;= TIMEVALUE( "07:00:01" ), D903 &lt;= TIMEVALUE( "18:00:00" ), WEEKDAY( C903,1+N("            Weekday Day Period              ")) &gt;=2, ( WEEKDAY( C903,1) &lt;=6) ) = TRUE, "Day",
IF( AND( D903 &gt;= TIMEVALUE( "18:00:01" ), D903 &lt;= TIMEVALUE( "22:00:00" ), WEEKDAY( C903,1+N("            Weekday Evening Period          ")) &gt;=2, ( WEEKDAY( C903,1) &lt;=6) ) = TRUE, "Evening",
IF( AND( D903 &gt;= TIMEVALUE( "22:00:01" ), D903 &lt;= TIMEVALUE( "23:59:59" ), WEEKDAY( C903,1+N("            Weekday Night Period            ")) &gt;=2, ( WEEKDAY( C903,1) &lt;=6) ) = TRUE, "Night",
IF( AND( D903 &gt;= TIMEVALUE( "00:00:00" ), D903 &lt;= TIMEVALUE( "07:00:00" ), WEEKDAY( C903,1+N("            Weekday Night Period            ")) &gt;=2, ( WEEKDAY( C903,1) &lt;=6) ) = TRUE, "Night",
IF( AND( D903 &gt;= TIMEVALUE( "07:00:01" ), D903 &lt;= TIMEVALUE( "18:00:00" ), WEEKDAY( C903) =(7+N("         Saturday Day Period             ")) ) = TRUE, "Day",
IF( AND( D903 &gt;= TIMEVALUE( "18:00:01" ), D903 &lt;= TIMEVALUE( "22:00:00" ), WEEKDAY( C903) =(7+N("         Saturday Evening Period         ")) ) = TRUE, "Evening",
IF( AND( D903 &gt;= TIMEVALUE( "22:00:01" ), D903 &lt;= TIMEVALUE( "23:59:59" ), WEEKDAY( C903) =(7+N("         Saturday Night Period           ")) ) = TRUE, "Night",
IF( AND( D903 &gt;= TIMEVALUE( "00:00:00" ), D903 &lt;= TIMEVALUE( "07:00:00" ), WEEKDAY( C903) =(7+N("         Saturday Night Period           ")) ) = TRUE, "Night",
IF( AND( D903 &gt;= TIMEVALUE( "07:00:01" ), D903 &lt;= TIMEVALUE( "22:00:00" ), WEEKDAY( C903) =(1+N("         Sunday Evening Period           ")) ) = TRUE, "Evening",
IF( AND( D903 &gt;= TIMEVALUE( "20:00:01" ), D903 &lt;= TIMEVALUE( "23:59:59" ), WEEKDAY( C903) =(1+N("         Sunday Night Period             ")) ) = TRUE, "Night",
IF( AND( D903 &gt;= TIMEVALUE( "00:00:00" ), D903 &lt;= TIMEVALUE( "07:00:00" ), WEEKDAY( C903) =(1+N("         Sunday Night Period             ")) ) = TRUE, "Night",
)))))))))))))</f>
        <v/>
      </c>
      <c r="J903" s="141" t="str">
        <f t="shared" si="67"/>
        <v/>
      </c>
      <c r="K903" s="141" t="str">
        <f t="shared" si="68"/>
        <v/>
      </c>
      <c r="L903" s="141" t="str">
        <f t="shared" si="69"/>
        <v/>
      </c>
    </row>
    <row r="904" spans="1:12" x14ac:dyDescent="0.3">
      <c r="A904" s="2" t="str">
        <f xml:space="preserve"> IF( 'From SvanPC++'!A904= "", "", ('From SvanPC++'!A904))</f>
        <v/>
      </c>
      <c r="C904" s="6" t="s">
        <v>10</v>
      </c>
      <c r="G904" s="38" t="str">
        <f t="shared" si="70"/>
        <v/>
      </c>
      <c r="H904" s="141" t="str">
        <f t="shared" si="71"/>
        <v/>
      </c>
      <c r="J904" s="141" t="str">
        <f t="shared" ref="J904:J967" si="72" xml:space="preserve"> IF( ISERROR( IF( D904= "", "", ( IF( G904= (G903+1), ( AVERAGEIFS( E904:E1048, G904:G1048, G904, H904:H1048, "Day" )), "" )))), "",( IF( D904= "", "", ( IF( G904= (G903+1), ( AVERAGEIFS( E904:E1048, G904:G1048, G904, H904:H1048, "Day" )), "" )))))</f>
        <v/>
      </c>
      <c r="K904" s="141" t="str">
        <f t="shared" ref="K904:K967" si="73" xml:space="preserve"> IF( ISERROR( IF( D904= "", "", ( IF( G904= (G903+1), ( AVERAGEIFS( E904:E1048, G904:G1048, G904, H904:H1048, "Evening" )), "" )))), "",( IF( D904= "", "", ( IF( G904= (G903+1), ( AVERAGEIFS( E904:E1048, G904:G1048, G904, H904:H1048, "Evening" )), "" )))))</f>
        <v/>
      </c>
      <c r="L904" s="141" t="str">
        <f t="shared" ref="L904:L967" si="74" xml:space="preserve"> IF( ISERROR( IF( D904= "", "", ( IF( G904= (G903+1), ( AVERAGEIFS( E904:E1048, G904:G1048, G904, H904:H1048, "Night" )), "" )))), "",( IF( D904= "", "", ( IF( G904= (G903+1), ( AVERAGEIFS( E904:E1048, G904:G1048, G904, H904:H1048, "Night" )), "" )))))</f>
        <v/>
      </c>
    </row>
    <row r="905" spans="1:12" x14ac:dyDescent="0.3">
      <c r="A905" s="2" t="str">
        <f xml:space="preserve"> IF( 'From SvanPC++'!A905= "", "", ('From SvanPC++'!A905))</f>
        <v/>
      </c>
      <c r="C905" s="6" t="s">
        <v>10</v>
      </c>
      <c r="G905" s="38" t="str">
        <f t="shared" si="70"/>
        <v/>
      </c>
      <c r="H905" s="141" t="str">
        <f t="shared" si="71"/>
        <v/>
      </c>
      <c r="J905" s="141" t="str">
        <f t="shared" si="72"/>
        <v/>
      </c>
      <c r="K905" s="141" t="str">
        <f t="shared" si="73"/>
        <v/>
      </c>
      <c r="L905" s="141" t="str">
        <f t="shared" si="74"/>
        <v/>
      </c>
    </row>
    <row r="906" spans="1:12" x14ac:dyDescent="0.3">
      <c r="A906" s="2" t="str">
        <f xml:space="preserve"> IF( 'From SvanPC++'!A906= "", "", ('From SvanPC++'!A906))</f>
        <v/>
      </c>
      <c r="C906" s="6" t="s">
        <v>10</v>
      </c>
      <c r="G906" s="38" t="str">
        <f t="shared" si="70"/>
        <v/>
      </c>
      <c r="H906" s="141" t="str">
        <f t="shared" si="71"/>
        <v/>
      </c>
      <c r="J906" s="141" t="str">
        <f t="shared" si="72"/>
        <v/>
      </c>
      <c r="K906" s="141" t="str">
        <f t="shared" si="73"/>
        <v/>
      </c>
      <c r="L906" s="141" t="str">
        <f t="shared" si="74"/>
        <v/>
      </c>
    </row>
    <row r="907" spans="1:12" x14ac:dyDescent="0.3">
      <c r="A907" s="2" t="str">
        <f xml:space="preserve"> IF( 'From SvanPC++'!A907= "", "", ('From SvanPC++'!A907))</f>
        <v/>
      </c>
      <c r="C907" s="6" t="s">
        <v>10</v>
      </c>
      <c r="G907" s="38" t="str">
        <f t="shared" si="70"/>
        <v/>
      </c>
      <c r="H907" s="141" t="str">
        <f t="shared" si="71"/>
        <v/>
      </c>
      <c r="J907" s="141" t="str">
        <f t="shared" si="72"/>
        <v/>
      </c>
      <c r="K907" s="141" t="str">
        <f t="shared" si="73"/>
        <v/>
      </c>
      <c r="L907" s="141" t="str">
        <f t="shared" si="74"/>
        <v/>
      </c>
    </row>
    <row r="908" spans="1:12" x14ac:dyDescent="0.3">
      <c r="A908" s="2" t="str">
        <f xml:space="preserve"> IF( 'From SvanPC++'!A908= "", "", ('From SvanPC++'!A908))</f>
        <v/>
      </c>
      <c r="C908" s="6" t="s">
        <v>10</v>
      </c>
      <c r="G908" s="38" t="str">
        <f t="shared" si="70"/>
        <v/>
      </c>
      <c r="H908" s="141" t="str">
        <f t="shared" si="71"/>
        <v/>
      </c>
      <c r="J908" s="141" t="str">
        <f t="shared" si="72"/>
        <v/>
      </c>
      <c r="K908" s="141" t="str">
        <f t="shared" si="73"/>
        <v/>
      </c>
      <c r="L908" s="141" t="str">
        <f t="shared" si="74"/>
        <v/>
      </c>
    </row>
    <row r="909" spans="1:12" x14ac:dyDescent="0.3">
      <c r="A909" s="2" t="str">
        <f xml:space="preserve"> IF( 'From SvanPC++'!A909= "", "", ('From SvanPC++'!A909))</f>
        <v/>
      </c>
      <c r="C909" s="6" t="s">
        <v>10</v>
      </c>
      <c r="G909" s="38" t="str">
        <f t="shared" si="70"/>
        <v/>
      </c>
      <c r="H909" s="141" t="str">
        <f t="shared" si="71"/>
        <v/>
      </c>
      <c r="J909" s="141" t="str">
        <f t="shared" si="72"/>
        <v/>
      </c>
      <c r="K909" s="141" t="str">
        <f t="shared" si="73"/>
        <v/>
      </c>
      <c r="L909" s="141" t="str">
        <f t="shared" si="74"/>
        <v/>
      </c>
    </row>
    <row r="910" spans="1:12" x14ac:dyDescent="0.3">
      <c r="A910" s="2" t="str">
        <f xml:space="preserve"> IF( 'From SvanPC++'!A910= "", "", ('From SvanPC++'!A910))</f>
        <v/>
      </c>
      <c r="C910" s="6" t="s">
        <v>10</v>
      </c>
      <c r="G910" s="38" t="str">
        <f t="shared" si="70"/>
        <v/>
      </c>
      <c r="H910" s="141" t="str">
        <f t="shared" si="71"/>
        <v/>
      </c>
      <c r="J910" s="141" t="str">
        <f t="shared" si="72"/>
        <v/>
      </c>
      <c r="K910" s="141" t="str">
        <f t="shared" si="73"/>
        <v/>
      </c>
      <c r="L910" s="141" t="str">
        <f t="shared" si="74"/>
        <v/>
      </c>
    </row>
    <row r="911" spans="1:12" x14ac:dyDescent="0.3">
      <c r="A911" s="2" t="str">
        <f xml:space="preserve"> IF( 'From SvanPC++'!A911= "", "", ('From SvanPC++'!A911))</f>
        <v/>
      </c>
      <c r="C911" s="6" t="s">
        <v>10</v>
      </c>
      <c r="G911" s="38" t="str">
        <f t="shared" si="70"/>
        <v/>
      </c>
      <c r="H911" s="141" t="str">
        <f t="shared" si="71"/>
        <v/>
      </c>
      <c r="J911" s="141" t="str">
        <f t="shared" si="72"/>
        <v/>
      </c>
      <c r="K911" s="141" t="str">
        <f t="shared" si="73"/>
        <v/>
      </c>
      <c r="L911" s="141" t="str">
        <f t="shared" si="74"/>
        <v/>
      </c>
    </row>
    <row r="912" spans="1:12" x14ac:dyDescent="0.3">
      <c r="A912" s="2" t="str">
        <f xml:space="preserve"> IF( 'From SvanPC++'!A912= "", "", ('From SvanPC++'!A912))</f>
        <v/>
      </c>
      <c r="C912" s="6" t="s">
        <v>10</v>
      </c>
      <c r="G912" s="38" t="str">
        <f t="shared" si="70"/>
        <v/>
      </c>
      <c r="H912" s="141" t="str">
        <f t="shared" si="71"/>
        <v/>
      </c>
      <c r="J912" s="141" t="str">
        <f t="shared" si="72"/>
        <v/>
      </c>
      <c r="K912" s="141" t="str">
        <f t="shared" si="73"/>
        <v/>
      </c>
      <c r="L912" s="141" t="str">
        <f t="shared" si="74"/>
        <v/>
      </c>
    </row>
    <row r="913" spans="1:12" x14ac:dyDescent="0.3">
      <c r="A913" s="2" t="str">
        <f xml:space="preserve"> IF( 'From SvanPC++'!A913= "", "", ('From SvanPC++'!A913))</f>
        <v/>
      </c>
      <c r="C913" s="6" t="s">
        <v>10</v>
      </c>
      <c r="G913" s="38" t="str">
        <f t="shared" si="70"/>
        <v/>
      </c>
      <c r="H913" s="141" t="str">
        <f t="shared" si="71"/>
        <v/>
      </c>
      <c r="J913" s="141" t="str">
        <f t="shared" si="72"/>
        <v/>
      </c>
      <c r="K913" s="141" t="str">
        <f t="shared" si="73"/>
        <v/>
      </c>
      <c r="L913" s="141" t="str">
        <f t="shared" si="74"/>
        <v/>
      </c>
    </row>
    <row r="914" spans="1:12" x14ac:dyDescent="0.3">
      <c r="A914" s="2" t="str">
        <f xml:space="preserve"> IF( 'From SvanPC++'!A914= "", "", ('From SvanPC++'!A914))</f>
        <v/>
      </c>
      <c r="C914" s="6" t="s">
        <v>10</v>
      </c>
      <c r="G914" s="38" t="str">
        <f t="shared" si="70"/>
        <v/>
      </c>
      <c r="H914" s="141" t="str">
        <f t="shared" si="71"/>
        <v/>
      </c>
      <c r="J914" s="141" t="str">
        <f t="shared" si="72"/>
        <v/>
      </c>
      <c r="K914" s="141" t="str">
        <f t="shared" si="73"/>
        <v/>
      </c>
      <c r="L914" s="141" t="str">
        <f t="shared" si="74"/>
        <v/>
      </c>
    </row>
    <row r="915" spans="1:12" x14ac:dyDescent="0.3">
      <c r="A915" s="2" t="str">
        <f xml:space="preserve"> IF( 'From SvanPC++'!A915= "", "", ('From SvanPC++'!A915))</f>
        <v/>
      </c>
      <c r="C915" s="6" t="s">
        <v>10</v>
      </c>
      <c r="G915" s="38" t="str">
        <f t="shared" si="70"/>
        <v/>
      </c>
      <c r="H915" s="141" t="str">
        <f t="shared" si="71"/>
        <v/>
      </c>
      <c r="J915" s="141" t="str">
        <f t="shared" si="72"/>
        <v/>
      </c>
      <c r="K915" s="141" t="str">
        <f t="shared" si="73"/>
        <v/>
      </c>
      <c r="L915" s="141" t="str">
        <f t="shared" si="74"/>
        <v/>
      </c>
    </row>
    <row r="916" spans="1:12" x14ac:dyDescent="0.3">
      <c r="A916" s="2" t="str">
        <f xml:space="preserve"> IF( 'From SvanPC++'!A916= "", "", ('From SvanPC++'!A916))</f>
        <v/>
      </c>
      <c r="C916" s="6" t="s">
        <v>10</v>
      </c>
      <c r="G916" s="38" t="str">
        <f t="shared" si="70"/>
        <v/>
      </c>
      <c r="H916" s="141" t="str">
        <f t="shared" si="71"/>
        <v/>
      </c>
      <c r="J916" s="141" t="str">
        <f t="shared" si="72"/>
        <v/>
      </c>
      <c r="K916" s="141" t="str">
        <f t="shared" si="73"/>
        <v/>
      </c>
      <c r="L916" s="141" t="str">
        <f t="shared" si="74"/>
        <v/>
      </c>
    </row>
    <row r="917" spans="1:12" x14ac:dyDescent="0.3">
      <c r="A917" s="2" t="str">
        <f xml:space="preserve"> IF( 'From SvanPC++'!A917= "", "", ('From SvanPC++'!A917))</f>
        <v/>
      </c>
      <c r="C917" s="6" t="s">
        <v>10</v>
      </c>
      <c r="G917" s="38" t="str">
        <f t="shared" si="70"/>
        <v/>
      </c>
      <c r="H917" s="141" t="str">
        <f t="shared" si="71"/>
        <v/>
      </c>
      <c r="J917" s="141" t="str">
        <f t="shared" si="72"/>
        <v/>
      </c>
      <c r="K917" s="141" t="str">
        <f t="shared" si="73"/>
        <v/>
      </c>
      <c r="L917" s="141" t="str">
        <f t="shared" si="74"/>
        <v/>
      </c>
    </row>
    <row r="918" spans="1:12" x14ac:dyDescent="0.3">
      <c r="A918" s="2" t="str">
        <f xml:space="preserve"> IF( 'From SvanPC++'!A918= "", "", ('From SvanPC++'!A918))</f>
        <v/>
      </c>
      <c r="C918" s="6" t="s">
        <v>10</v>
      </c>
      <c r="G918" s="38" t="str">
        <f t="shared" si="70"/>
        <v/>
      </c>
      <c r="H918" s="141" t="str">
        <f t="shared" si="71"/>
        <v/>
      </c>
      <c r="J918" s="141" t="str">
        <f t="shared" si="72"/>
        <v/>
      </c>
      <c r="K918" s="141" t="str">
        <f t="shared" si="73"/>
        <v/>
      </c>
      <c r="L918" s="141" t="str">
        <f t="shared" si="74"/>
        <v/>
      </c>
    </row>
    <row r="919" spans="1:12" x14ac:dyDescent="0.3">
      <c r="A919" s="2" t="str">
        <f xml:space="preserve"> IF( 'From SvanPC++'!A919= "", "", ('From SvanPC++'!A919))</f>
        <v/>
      </c>
      <c r="C919" s="6" t="s">
        <v>10</v>
      </c>
      <c r="G919" s="38" t="str">
        <f t="shared" si="70"/>
        <v/>
      </c>
      <c r="H919" s="141" t="str">
        <f t="shared" si="71"/>
        <v/>
      </c>
      <c r="J919" s="141" t="str">
        <f t="shared" si="72"/>
        <v/>
      </c>
      <c r="K919" s="141" t="str">
        <f t="shared" si="73"/>
        <v/>
      </c>
      <c r="L919" s="141" t="str">
        <f t="shared" si="74"/>
        <v/>
      </c>
    </row>
    <row r="920" spans="1:12" x14ac:dyDescent="0.3">
      <c r="A920" s="2" t="str">
        <f xml:space="preserve"> IF( 'From SvanPC++'!A920= "", "", ('From SvanPC++'!A920))</f>
        <v/>
      </c>
      <c r="C920" s="6" t="s">
        <v>10</v>
      </c>
      <c r="G920" s="38" t="str">
        <f t="shared" si="70"/>
        <v/>
      </c>
      <c r="H920" s="141" t="str">
        <f t="shared" si="71"/>
        <v/>
      </c>
      <c r="J920" s="141" t="str">
        <f t="shared" si="72"/>
        <v/>
      </c>
      <c r="K920" s="141" t="str">
        <f t="shared" si="73"/>
        <v/>
      </c>
      <c r="L920" s="141" t="str">
        <f t="shared" si="74"/>
        <v/>
      </c>
    </row>
    <row r="921" spans="1:12" x14ac:dyDescent="0.3">
      <c r="A921" s="2" t="str">
        <f xml:space="preserve"> IF( 'From SvanPC++'!A921= "", "", ('From SvanPC++'!A921))</f>
        <v/>
      </c>
      <c r="C921" s="6" t="s">
        <v>10</v>
      </c>
      <c r="G921" s="38" t="str">
        <f t="shared" si="70"/>
        <v/>
      </c>
      <c r="H921" s="141" t="str">
        <f t="shared" si="71"/>
        <v/>
      </c>
      <c r="J921" s="141" t="str">
        <f t="shared" si="72"/>
        <v/>
      </c>
      <c r="K921" s="141" t="str">
        <f t="shared" si="73"/>
        <v/>
      </c>
      <c r="L921" s="141" t="str">
        <f t="shared" si="74"/>
        <v/>
      </c>
    </row>
    <row r="922" spans="1:12" x14ac:dyDescent="0.3">
      <c r="A922" s="2" t="str">
        <f xml:space="preserve"> IF( 'From SvanPC++'!A922= "", "", ('From SvanPC++'!A922))</f>
        <v/>
      </c>
      <c r="C922" s="6" t="s">
        <v>10</v>
      </c>
      <c r="G922" s="38" t="str">
        <f t="shared" si="70"/>
        <v/>
      </c>
      <c r="H922" s="141" t="str">
        <f t="shared" si="71"/>
        <v/>
      </c>
      <c r="J922" s="141" t="str">
        <f t="shared" si="72"/>
        <v/>
      </c>
      <c r="K922" s="141" t="str">
        <f t="shared" si="73"/>
        <v/>
      </c>
      <c r="L922" s="141" t="str">
        <f t="shared" si="74"/>
        <v/>
      </c>
    </row>
    <row r="923" spans="1:12" x14ac:dyDescent="0.3">
      <c r="A923" s="2" t="str">
        <f xml:space="preserve"> IF( 'From SvanPC++'!A923= "", "", ('From SvanPC++'!A923))</f>
        <v/>
      </c>
      <c r="C923" s="6" t="s">
        <v>10</v>
      </c>
      <c r="G923" s="38" t="str">
        <f t="shared" si="70"/>
        <v/>
      </c>
      <c r="H923" s="141" t="str">
        <f t="shared" si="71"/>
        <v/>
      </c>
      <c r="J923" s="141" t="str">
        <f t="shared" si="72"/>
        <v/>
      </c>
      <c r="K923" s="141" t="str">
        <f t="shared" si="73"/>
        <v/>
      </c>
      <c r="L923" s="141" t="str">
        <f t="shared" si="74"/>
        <v/>
      </c>
    </row>
    <row r="924" spans="1:12" x14ac:dyDescent="0.3">
      <c r="A924" s="2" t="str">
        <f xml:space="preserve"> IF( 'From SvanPC++'!A924= "", "", ('From SvanPC++'!A924))</f>
        <v/>
      </c>
      <c r="C924" s="6" t="s">
        <v>10</v>
      </c>
      <c r="G924" s="38" t="str">
        <f t="shared" si="70"/>
        <v/>
      </c>
      <c r="H924" s="141" t="str">
        <f t="shared" si="71"/>
        <v/>
      </c>
      <c r="J924" s="141" t="str">
        <f t="shared" si="72"/>
        <v/>
      </c>
      <c r="K924" s="141" t="str">
        <f t="shared" si="73"/>
        <v/>
      </c>
      <c r="L924" s="141" t="str">
        <f t="shared" si="74"/>
        <v/>
      </c>
    </row>
    <row r="925" spans="1:12" x14ac:dyDescent="0.3">
      <c r="A925" s="2" t="str">
        <f xml:space="preserve"> IF( 'From SvanPC++'!A925= "", "", ('From SvanPC++'!A925))</f>
        <v/>
      </c>
      <c r="C925" s="6" t="s">
        <v>10</v>
      </c>
      <c r="G925" s="38" t="str">
        <f t="shared" si="70"/>
        <v/>
      </c>
      <c r="H925" s="141" t="str">
        <f t="shared" si="71"/>
        <v/>
      </c>
      <c r="J925" s="141" t="str">
        <f t="shared" si="72"/>
        <v/>
      </c>
      <c r="K925" s="141" t="str">
        <f t="shared" si="73"/>
        <v/>
      </c>
      <c r="L925" s="141" t="str">
        <f t="shared" si="74"/>
        <v/>
      </c>
    </row>
    <row r="926" spans="1:12" x14ac:dyDescent="0.3">
      <c r="A926" s="2" t="str">
        <f xml:space="preserve"> IF( 'From SvanPC++'!A926= "", "", ('From SvanPC++'!A926))</f>
        <v/>
      </c>
      <c r="C926" s="6" t="s">
        <v>10</v>
      </c>
      <c r="G926" s="38" t="str">
        <f t="shared" si="70"/>
        <v/>
      </c>
      <c r="H926" s="141" t="str">
        <f t="shared" si="71"/>
        <v/>
      </c>
      <c r="J926" s="141" t="str">
        <f t="shared" si="72"/>
        <v/>
      </c>
      <c r="K926" s="141" t="str">
        <f t="shared" si="73"/>
        <v/>
      </c>
      <c r="L926" s="141" t="str">
        <f t="shared" si="74"/>
        <v/>
      </c>
    </row>
    <row r="927" spans="1:12" x14ac:dyDescent="0.3">
      <c r="A927" s="2" t="str">
        <f xml:space="preserve"> IF( 'From SvanPC++'!A927= "", "", ('From SvanPC++'!A927))</f>
        <v/>
      </c>
      <c r="C927" s="6" t="s">
        <v>10</v>
      </c>
      <c r="G927" s="38" t="str">
        <f t="shared" si="70"/>
        <v/>
      </c>
      <c r="H927" s="141" t="str">
        <f t="shared" si="71"/>
        <v/>
      </c>
      <c r="J927" s="141" t="str">
        <f t="shared" si="72"/>
        <v/>
      </c>
      <c r="K927" s="141" t="str">
        <f t="shared" si="73"/>
        <v/>
      </c>
      <c r="L927" s="141" t="str">
        <f t="shared" si="74"/>
        <v/>
      </c>
    </row>
    <row r="928" spans="1:12" x14ac:dyDescent="0.3">
      <c r="A928" s="2" t="str">
        <f xml:space="preserve"> IF( 'From SvanPC++'!A928= "", "", ('From SvanPC++'!A928))</f>
        <v/>
      </c>
      <c r="C928" s="6" t="s">
        <v>10</v>
      </c>
      <c r="G928" s="38" t="str">
        <f t="shared" si="70"/>
        <v/>
      </c>
      <c r="H928" s="141" t="str">
        <f t="shared" si="71"/>
        <v/>
      </c>
      <c r="J928" s="141" t="str">
        <f t="shared" si="72"/>
        <v/>
      </c>
      <c r="K928" s="141" t="str">
        <f t="shared" si="73"/>
        <v/>
      </c>
      <c r="L928" s="141" t="str">
        <f t="shared" si="74"/>
        <v/>
      </c>
    </row>
    <row r="929" spans="1:12" x14ac:dyDescent="0.3">
      <c r="A929" s="2" t="str">
        <f xml:space="preserve"> IF( 'From SvanPC++'!A929= "", "", ('From SvanPC++'!A929))</f>
        <v/>
      </c>
      <c r="C929" s="6" t="s">
        <v>10</v>
      </c>
      <c r="G929" s="38" t="str">
        <f t="shared" si="70"/>
        <v/>
      </c>
      <c r="H929" s="141" t="str">
        <f t="shared" si="71"/>
        <v/>
      </c>
      <c r="J929" s="141" t="str">
        <f t="shared" si="72"/>
        <v/>
      </c>
      <c r="K929" s="141" t="str">
        <f t="shared" si="73"/>
        <v/>
      </c>
      <c r="L929" s="141" t="str">
        <f t="shared" si="74"/>
        <v/>
      </c>
    </row>
    <row r="930" spans="1:12" x14ac:dyDescent="0.3">
      <c r="A930" s="2" t="str">
        <f xml:space="preserve"> IF( 'From SvanPC++'!A930= "", "", ('From SvanPC++'!A930))</f>
        <v/>
      </c>
      <c r="C930" s="6" t="s">
        <v>10</v>
      </c>
      <c r="G930" s="38" t="str">
        <f t="shared" si="70"/>
        <v/>
      </c>
      <c r="H930" s="141" t="str">
        <f t="shared" si="71"/>
        <v/>
      </c>
      <c r="J930" s="141" t="str">
        <f t="shared" si="72"/>
        <v/>
      </c>
      <c r="K930" s="141" t="str">
        <f t="shared" si="73"/>
        <v/>
      </c>
      <c r="L930" s="141" t="str">
        <f t="shared" si="74"/>
        <v/>
      </c>
    </row>
    <row r="931" spans="1:12" x14ac:dyDescent="0.3">
      <c r="A931" s="2" t="str">
        <f xml:space="preserve"> IF( 'From SvanPC++'!A931= "", "", ('From SvanPC++'!A931))</f>
        <v/>
      </c>
      <c r="C931" s="6" t="s">
        <v>10</v>
      </c>
      <c r="G931" s="38" t="str">
        <f t="shared" si="70"/>
        <v/>
      </c>
      <c r="H931" s="141" t="str">
        <f t="shared" si="71"/>
        <v/>
      </c>
      <c r="J931" s="141" t="str">
        <f t="shared" si="72"/>
        <v/>
      </c>
      <c r="K931" s="141" t="str">
        <f t="shared" si="73"/>
        <v/>
      </c>
      <c r="L931" s="141" t="str">
        <f t="shared" si="74"/>
        <v/>
      </c>
    </row>
    <row r="932" spans="1:12" x14ac:dyDescent="0.3">
      <c r="A932" s="2" t="str">
        <f xml:space="preserve"> IF( 'From SvanPC++'!A932= "", "", ('From SvanPC++'!A932))</f>
        <v/>
      </c>
      <c r="C932" s="6" t="s">
        <v>10</v>
      </c>
      <c r="G932" s="38" t="str">
        <f t="shared" si="70"/>
        <v/>
      </c>
      <c r="H932" s="141" t="str">
        <f t="shared" si="71"/>
        <v/>
      </c>
      <c r="J932" s="141" t="str">
        <f t="shared" si="72"/>
        <v/>
      </c>
      <c r="K932" s="141" t="str">
        <f t="shared" si="73"/>
        <v/>
      </c>
      <c r="L932" s="141" t="str">
        <f t="shared" si="74"/>
        <v/>
      </c>
    </row>
    <row r="933" spans="1:12" x14ac:dyDescent="0.3">
      <c r="A933" s="2" t="str">
        <f xml:space="preserve"> IF( 'From SvanPC++'!A933= "", "", ('From SvanPC++'!A933))</f>
        <v/>
      </c>
      <c r="C933" s="6" t="s">
        <v>10</v>
      </c>
      <c r="G933" s="38" t="str">
        <f t="shared" si="70"/>
        <v/>
      </c>
      <c r="H933" s="141" t="str">
        <f t="shared" si="71"/>
        <v/>
      </c>
      <c r="J933" s="141" t="str">
        <f t="shared" si="72"/>
        <v/>
      </c>
      <c r="K933" s="141" t="str">
        <f t="shared" si="73"/>
        <v/>
      </c>
      <c r="L933" s="141" t="str">
        <f t="shared" si="74"/>
        <v/>
      </c>
    </row>
    <row r="934" spans="1:12" x14ac:dyDescent="0.3">
      <c r="A934" s="2" t="str">
        <f xml:space="preserve"> IF( 'From SvanPC++'!A934= "", "", ('From SvanPC++'!A934))</f>
        <v/>
      </c>
      <c r="C934" s="6" t="s">
        <v>10</v>
      </c>
      <c r="G934" s="38" t="str">
        <f t="shared" si="70"/>
        <v/>
      </c>
      <c r="H934" s="141" t="str">
        <f t="shared" si="71"/>
        <v/>
      </c>
      <c r="J934" s="141" t="str">
        <f t="shared" si="72"/>
        <v/>
      </c>
      <c r="K934" s="141" t="str">
        <f t="shared" si="73"/>
        <v/>
      </c>
      <c r="L934" s="141" t="str">
        <f t="shared" si="74"/>
        <v/>
      </c>
    </row>
    <row r="935" spans="1:12" x14ac:dyDescent="0.3">
      <c r="A935" s="2" t="str">
        <f xml:space="preserve"> IF( 'From SvanPC++'!A935= "", "", ('From SvanPC++'!A935))</f>
        <v/>
      </c>
      <c r="C935" s="6" t="s">
        <v>10</v>
      </c>
      <c r="G935" s="38" t="str">
        <f t="shared" si="70"/>
        <v/>
      </c>
      <c r="H935" s="141" t="str">
        <f t="shared" si="71"/>
        <v/>
      </c>
      <c r="J935" s="141" t="str">
        <f t="shared" si="72"/>
        <v/>
      </c>
      <c r="K935" s="141" t="str">
        <f t="shared" si="73"/>
        <v/>
      </c>
      <c r="L935" s="141" t="str">
        <f t="shared" si="74"/>
        <v/>
      </c>
    </row>
    <row r="936" spans="1:12" x14ac:dyDescent="0.3">
      <c r="A936" s="2" t="str">
        <f xml:space="preserve"> IF( 'From SvanPC++'!A936= "", "", ('From SvanPC++'!A936))</f>
        <v/>
      </c>
      <c r="C936" s="6" t="s">
        <v>10</v>
      </c>
      <c r="G936" s="38" t="str">
        <f t="shared" si="70"/>
        <v/>
      </c>
      <c r="H936" s="141" t="str">
        <f t="shared" si="71"/>
        <v/>
      </c>
      <c r="J936" s="141" t="str">
        <f t="shared" si="72"/>
        <v/>
      </c>
      <c r="K936" s="141" t="str">
        <f t="shared" si="73"/>
        <v/>
      </c>
      <c r="L936" s="141" t="str">
        <f t="shared" si="74"/>
        <v/>
      </c>
    </row>
    <row r="937" spans="1:12" x14ac:dyDescent="0.3">
      <c r="A937" s="2" t="str">
        <f xml:space="preserve"> IF( 'From SvanPC++'!A937= "", "", ('From SvanPC++'!A937))</f>
        <v/>
      </c>
      <c r="C937" s="6" t="s">
        <v>10</v>
      </c>
      <c r="G937" s="38" t="str">
        <f t="shared" si="70"/>
        <v/>
      </c>
      <c r="H937" s="141" t="str">
        <f t="shared" si="71"/>
        <v/>
      </c>
      <c r="J937" s="141" t="str">
        <f t="shared" si="72"/>
        <v/>
      </c>
      <c r="K937" s="141" t="str">
        <f t="shared" si="73"/>
        <v/>
      </c>
      <c r="L937" s="141" t="str">
        <f t="shared" si="74"/>
        <v/>
      </c>
    </row>
    <row r="938" spans="1:12" x14ac:dyDescent="0.3">
      <c r="A938" s="2" t="str">
        <f xml:space="preserve"> IF( 'From SvanPC++'!A938= "", "", ('From SvanPC++'!A938))</f>
        <v/>
      </c>
      <c r="C938" s="6" t="s">
        <v>10</v>
      </c>
      <c r="G938" s="38" t="str">
        <f t="shared" si="70"/>
        <v/>
      </c>
      <c r="H938" s="141" t="str">
        <f t="shared" si="71"/>
        <v/>
      </c>
      <c r="J938" s="141" t="str">
        <f t="shared" si="72"/>
        <v/>
      </c>
      <c r="K938" s="141" t="str">
        <f t="shared" si="73"/>
        <v/>
      </c>
      <c r="L938" s="141" t="str">
        <f t="shared" si="74"/>
        <v/>
      </c>
    </row>
    <row r="939" spans="1:12" x14ac:dyDescent="0.3">
      <c r="A939" s="2" t="str">
        <f xml:space="preserve"> IF( 'From SvanPC++'!A939= "", "", ('From SvanPC++'!A939))</f>
        <v/>
      </c>
      <c r="C939" s="6" t="s">
        <v>10</v>
      </c>
      <c r="G939" s="38" t="str">
        <f t="shared" si="70"/>
        <v/>
      </c>
      <c r="H939" s="141" t="str">
        <f t="shared" si="71"/>
        <v/>
      </c>
      <c r="J939" s="141" t="str">
        <f t="shared" si="72"/>
        <v/>
      </c>
      <c r="K939" s="141" t="str">
        <f t="shared" si="73"/>
        <v/>
      </c>
      <c r="L939" s="141" t="str">
        <f t="shared" si="74"/>
        <v/>
      </c>
    </row>
    <row r="940" spans="1:12" x14ac:dyDescent="0.3">
      <c r="A940" s="2" t="str">
        <f xml:space="preserve"> IF( 'From SvanPC++'!A940= "", "", ('From SvanPC++'!A940))</f>
        <v/>
      </c>
      <c r="C940" s="6" t="s">
        <v>10</v>
      </c>
      <c r="G940" s="38" t="str">
        <f t="shared" si="70"/>
        <v/>
      </c>
      <c r="H940" s="141" t="str">
        <f t="shared" si="71"/>
        <v/>
      </c>
      <c r="J940" s="141" t="str">
        <f t="shared" si="72"/>
        <v/>
      </c>
      <c r="K940" s="141" t="str">
        <f t="shared" si="73"/>
        <v/>
      </c>
      <c r="L940" s="141" t="str">
        <f t="shared" si="74"/>
        <v/>
      </c>
    </row>
    <row r="941" spans="1:12" x14ac:dyDescent="0.3">
      <c r="A941" s="2" t="str">
        <f xml:space="preserve"> IF( 'From SvanPC++'!A941= "", "", ('From SvanPC++'!A941))</f>
        <v/>
      </c>
      <c r="C941" s="6" t="s">
        <v>10</v>
      </c>
      <c r="G941" s="38" t="str">
        <f t="shared" si="70"/>
        <v/>
      </c>
      <c r="H941" s="141" t="str">
        <f t="shared" si="71"/>
        <v/>
      </c>
      <c r="J941" s="141" t="str">
        <f t="shared" si="72"/>
        <v/>
      </c>
      <c r="K941" s="141" t="str">
        <f t="shared" si="73"/>
        <v/>
      </c>
      <c r="L941" s="141" t="str">
        <f t="shared" si="74"/>
        <v/>
      </c>
    </row>
    <row r="942" spans="1:12" x14ac:dyDescent="0.3">
      <c r="A942" s="2" t="str">
        <f xml:space="preserve"> IF( 'From SvanPC++'!A942= "", "", ('From SvanPC++'!A942))</f>
        <v/>
      </c>
      <c r="C942" s="6" t="s">
        <v>10</v>
      </c>
      <c r="G942" s="38" t="str">
        <f t="shared" si="70"/>
        <v/>
      </c>
      <c r="H942" s="141" t="str">
        <f t="shared" si="71"/>
        <v/>
      </c>
      <c r="J942" s="141" t="str">
        <f t="shared" si="72"/>
        <v/>
      </c>
      <c r="K942" s="141" t="str">
        <f t="shared" si="73"/>
        <v/>
      </c>
      <c r="L942" s="141" t="str">
        <f t="shared" si="74"/>
        <v/>
      </c>
    </row>
    <row r="943" spans="1:12" x14ac:dyDescent="0.3">
      <c r="A943" s="2" t="str">
        <f xml:space="preserve"> IF( 'From SvanPC++'!A943= "", "", ('From SvanPC++'!A943))</f>
        <v/>
      </c>
      <c r="C943" s="6" t="s">
        <v>10</v>
      </c>
      <c r="G943" s="38" t="str">
        <f t="shared" si="70"/>
        <v/>
      </c>
      <c r="H943" s="141" t="str">
        <f t="shared" si="71"/>
        <v/>
      </c>
      <c r="J943" s="141" t="str">
        <f t="shared" si="72"/>
        <v/>
      </c>
      <c r="K943" s="141" t="str">
        <f t="shared" si="73"/>
        <v/>
      </c>
      <c r="L943" s="141" t="str">
        <f t="shared" si="74"/>
        <v/>
      </c>
    </row>
    <row r="944" spans="1:12" x14ac:dyDescent="0.3">
      <c r="A944" s="2" t="str">
        <f xml:space="preserve"> IF( 'From SvanPC++'!A944= "", "", ('From SvanPC++'!A944))</f>
        <v/>
      </c>
      <c r="C944" s="6" t="s">
        <v>10</v>
      </c>
      <c r="G944" s="38" t="str">
        <f t="shared" si="70"/>
        <v/>
      </c>
      <c r="H944" s="141" t="str">
        <f t="shared" si="71"/>
        <v/>
      </c>
      <c r="J944" s="141" t="str">
        <f t="shared" si="72"/>
        <v/>
      </c>
      <c r="K944" s="141" t="str">
        <f t="shared" si="73"/>
        <v/>
      </c>
      <c r="L944" s="141" t="str">
        <f t="shared" si="74"/>
        <v/>
      </c>
    </row>
    <row r="945" spans="1:12" x14ac:dyDescent="0.3">
      <c r="A945" s="2" t="str">
        <f xml:space="preserve"> IF( 'From SvanPC++'!A945= "", "", ('From SvanPC++'!A945))</f>
        <v/>
      </c>
      <c r="C945" s="6" t="s">
        <v>10</v>
      </c>
      <c r="G945" s="38" t="str">
        <f t="shared" si="70"/>
        <v/>
      </c>
      <c r="H945" s="141" t="str">
        <f t="shared" si="71"/>
        <v/>
      </c>
      <c r="J945" s="141" t="str">
        <f t="shared" si="72"/>
        <v/>
      </c>
      <c r="K945" s="141" t="str">
        <f t="shared" si="73"/>
        <v/>
      </c>
      <c r="L945" s="141" t="str">
        <f t="shared" si="74"/>
        <v/>
      </c>
    </row>
    <row r="946" spans="1:12" x14ac:dyDescent="0.3">
      <c r="A946" s="2" t="str">
        <f xml:space="preserve"> IF( 'From SvanPC++'!A946= "", "", ('From SvanPC++'!A946))</f>
        <v/>
      </c>
      <c r="C946" s="6" t="s">
        <v>10</v>
      </c>
      <c r="G946" s="38" t="str">
        <f t="shared" si="70"/>
        <v/>
      </c>
      <c r="H946" s="141" t="str">
        <f t="shared" si="71"/>
        <v/>
      </c>
      <c r="J946" s="141" t="str">
        <f t="shared" si="72"/>
        <v/>
      </c>
      <c r="K946" s="141" t="str">
        <f t="shared" si="73"/>
        <v/>
      </c>
      <c r="L946" s="141" t="str">
        <f t="shared" si="74"/>
        <v/>
      </c>
    </row>
    <row r="947" spans="1:12" x14ac:dyDescent="0.3">
      <c r="A947" s="2" t="str">
        <f xml:space="preserve"> IF( 'From SvanPC++'!A947= "", "", ('From SvanPC++'!A947))</f>
        <v/>
      </c>
      <c r="C947" s="6" t="s">
        <v>10</v>
      </c>
      <c r="G947" s="38" t="str">
        <f t="shared" si="70"/>
        <v/>
      </c>
      <c r="H947" s="141" t="str">
        <f t="shared" si="71"/>
        <v/>
      </c>
      <c r="J947" s="141" t="str">
        <f t="shared" si="72"/>
        <v/>
      </c>
      <c r="K947" s="141" t="str">
        <f t="shared" si="73"/>
        <v/>
      </c>
      <c r="L947" s="141" t="str">
        <f t="shared" si="74"/>
        <v/>
      </c>
    </row>
    <row r="948" spans="1:12" x14ac:dyDescent="0.3">
      <c r="A948" s="2" t="str">
        <f xml:space="preserve"> IF( 'From SvanPC++'!A948= "", "", ('From SvanPC++'!A948))</f>
        <v/>
      </c>
      <c r="C948" s="6" t="s">
        <v>10</v>
      </c>
      <c r="G948" s="38" t="str">
        <f t="shared" si="70"/>
        <v/>
      </c>
      <c r="H948" s="141" t="str">
        <f t="shared" si="71"/>
        <v/>
      </c>
      <c r="J948" s="141" t="str">
        <f t="shared" si="72"/>
        <v/>
      </c>
      <c r="K948" s="141" t="str">
        <f t="shared" si="73"/>
        <v/>
      </c>
      <c r="L948" s="141" t="str">
        <f t="shared" si="74"/>
        <v/>
      </c>
    </row>
    <row r="949" spans="1:12" x14ac:dyDescent="0.3">
      <c r="A949" s="2" t="str">
        <f xml:space="preserve"> IF( 'From SvanPC++'!A949= "", "", ('From SvanPC++'!A949))</f>
        <v/>
      </c>
      <c r="C949" s="6" t="s">
        <v>10</v>
      </c>
      <c r="G949" s="38" t="str">
        <f t="shared" si="70"/>
        <v/>
      </c>
      <c r="H949" s="141" t="str">
        <f t="shared" si="71"/>
        <v/>
      </c>
      <c r="J949" s="141" t="str">
        <f t="shared" si="72"/>
        <v/>
      </c>
      <c r="K949" s="141" t="str">
        <f t="shared" si="73"/>
        <v/>
      </c>
      <c r="L949" s="141" t="str">
        <f t="shared" si="74"/>
        <v/>
      </c>
    </row>
    <row r="950" spans="1:12" x14ac:dyDescent="0.3">
      <c r="A950" s="2" t="str">
        <f xml:space="preserve"> IF( 'From SvanPC++'!A950= "", "", ('From SvanPC++'!A950))</f>
        <v/>
      </c>
      <c r="C950" s="6" t="s">
        <v>10</v>
      </c>
      <c r="G950" s="38" t="str">
        <f t="shared" si="70"/>
        <v/>
      </c>
      <c r="H950" s="141" t="str">
        <f t="shared" si="71"/>
        <v/>
      </c>
      <c r="J950" s="141" t="str">
        <f t="shared" si="72"/>
        <v/>
      </c>
      <c r="K950" s="141" t="str">
        <f t="shared" si="73"/>
        <v/>
      </c>
      <c r="L950" s="141" t="str">
        <f t="shared" si="74"/>
        <v/>
      </c>
    </row>
    <row r="951" spans="1:12" x14ac:dyDescent="0.3">
      <c r="A951" s="2" t="str">
        <f xml:space="preserve"> IF( 'From SvanPC++'!A951= "", "", ('From SvanPC++'!A951))</f>
        <v/>
      </c>
      <c r="C951" s="6" t="s">
        <v>10</v>
      </c>
      <c r="G951" s="38" t="str">
        <f t="shared" si="70"/>
        <v/>
      </c>
      <c r="H951" s="141" t="str">
        <f t="shared" si="71"/>
        <v/>
      </c>
      <c r="J951" s="141" t="str">
        <f t="shared" si="72"/>
        <v/>
      </c>
      <c r="K951" s="141" t="str">
        <f t="shared" si="73"/>
        <v/>
      </c>
      <c r="L951" s="141" t="str">
        <f t="shared" si="74"/>
        <v/>
      </c>
    </row>
    <row r="952" spans="1:12" x14ac:dyDescent="0.3">
      <c r="A952" s="2" t="str">
        <f xml:space="preserve"> IF( 'From SvanPC++'!A952= "", "", ('From SvanPC++'!A952))</f>
        <v/>
      </c>
      <c r="C952" s="6" t="s">
        <v>10</v>
      </c>
      <c r="G952" s="38" t="str">
        <f t="shared" si="70"/>
        <v/>
      </c>
      <c r="H952" s="141" t="str">
        <f t="shared" si="71"/>
        <v/>
      </c>
      <c r="J952" s="141" t="str">
        <f t="shared" si="72"/>
        <v/>
      </c>
      <c r="K952" s="141" t="str">
        <f t="shared" si="73"/>
        <v/>
      </c>
      <c r="L952" s="141" t="str">
        <f t="shared" si="74"/>
        <v/>
      </c>
    </row>
    <row r="953" spans="1:12" x14ac:dyDescent="0.3">
      <c r="A953" s="2" t="str">
        <f xml:space="preserve"> IF( 'From SvanPC++'!A953= "", "", ('From SvanPC++'!A953))</f>
        <v/>
      </c>
      <c r="C953" s="6" t="s">
        <v>10</v>
      </c>
      <c r="G953" s="38" t="str">
        <f t="shared" si="70"/>
        <v/>
      </c>
      <c r="H953" s="141" t="str">
        <f t="shared" si="71"/>
        <v/>
      </c>
      <c r="J953" s="141" t="str">
        <f t="shared" si="72"/>
        <v/>
      </c>
      <c r="K953" s="141" t="str">
        <f t="shared" si="73"/>
        <v/>
      </c>
      <c r="L953" s="141" t="str">
        <f t="shared" si="74"/>
        <v/>
      </c>
    </row>
    <row r="954" spans="1:12" x14ac:dyDescent="0.3">
      <c r="A954" s="2" t="str">
        <f xml:space="preserve"> IF( 'From SvanPC++'!A954= "", "", ('From SvanPC++'!A954))</f>
        <v/>
      </c>
      <c r="C954" s="6" t="s">
        <v>10</v>
      </c>
      <c r="G954" s="38" t="str">
        <f t="shared" si="70"/>
        <v/>
      </c>
      <c r="H954" s="141" t="str">
        <f t="shared" si="71"/>
        <v/>
      </c>
      <c r="J954" s="141" t="str">
        <f t="shared" si="72"/>
        <v/>
      </c>
      <c r="K954" s="141" t="str">
        <f t="shared" si="73"/>
        <v/>
      </c>
      <c r="L954" s="141" t="str">
        <f t="shared" si="74"/>
        <v/>
      </c>
    </row>
    <row r="955" spans="1:12" x14ac:dyDescent="0.3">
      <c r="A955" s="2" t="str">
        <f xml:space="preserve"> IF( 'From SvanPC++'!A955= "", "", ('From SvanPC++'!A955))</f>
        <v/>
      </c>
      <c r="C955" s="6" t="s">
        <v>10</v>
      </c>
      <c r="G955" s="38" t="str">
        <f t="shared" si="70"/>
        <v/>
      </c>
      <c r="H955" s="141" t="str">
        <f t="shared" si="71"/>
        <v/>
      </c>
      <c r="J955" s="141" t="str">
        <f t="shared" si="72"/>
        <v/>
      </c>
      <c r="K955" s="141" t="str">
        <f t="shared" si="73"/>
        <v/>
      </c>
      <c r="L955" s="141" t="str">
        <f t="shared" si="74"/>
        <v/>
      </c>
    </row>
    <row r="956" spans="1:12" x14ac:dyDescent="0.3">
      <c r="A956" s="2" t="str">
        <f xml:space="preserve"> IF( 'From SvanPC++'!A956= "", "", ('From SvanPC++'!A956))</f>
        <v/>
      </c>
      <c r="C956" s="6" t="s">
        <v>10</v>
      </c>
      <c r="G956" s="38" t="str">
        <f t="shared" si="70"/>
        <v/>
      </c>
      <c r="H956" s="141" t="str">
        <f t="shared" si="71"/>
        <v/>
      </c>
      <c r="J956" s="141" t="str">
        <f t="shared" si="72"/>
        <v/>
      </c>
      <c r="K956" s="141" t="str">
        <f t="shared" si="73"/>
        <v/>
      </c>
      <c r="L956" s="141" t="str">
        <f t="shared" si="74"/>
        <v/>
      </c>
    </row>
    <row r="957" spans="1:12" x14ac:dyDescent="0.3">
      <c r="A957" s="2" t="str">
        <f xml:space="preserve"> IF( 'From SvanPC++'!A957= "", "", ('From SvanPC++'!A957))</f>
        <v/>
      </c>
      <c r="C957" s="6" t="s">
        <v>10</v>
      </c>
      <c r="G957" s="38" t="str">
        <f t="shared" si="70"/>
        <v/>
      </c>
      <c r="H957" s="141" t="str">
        <f t="shared" si="71"/>
        <v/>
      </c>
      <c r="J957" s="141" t="str">
        <f t="shared" si="72"/>
        <v/>
      </c>
      <c r="K957" s="141" t="str">
        <f t="shared" si="73"/>
        <v/>
      </c>
      <c r="L957" s="141" t="str">
        <f t="shared" si="74"/>
        <v/>
      </c>
    </row>
    <row r="958" spans="1:12" x14ac:dyDescent="0.3">
      <c r="A958" s="2" t="str">
        <f xml:space="preserve"> IF( 'From SvanPC++'!A958= "", "", ('From SvanPC++'!A958))</f>
        <v/>
      </c>
      <c r="C958" s="6" t="s">
        <v>10</v>
      </c>
      <c r="G958" s="38" t="str">
        <f t="shared" si="70"/>
        <v/>
      </c>
      <c r="H958" s="141" t="str">
        <f t="shared" si="71"/>
        <v/>
      </c>
      <c r="J958" s="141" t="str">
        <f t="shared" si="72"/>
        <v/>
      </c>
      <c r="K958" s="141" t="str">
        <f t="shared" si="73"/>
        <v/>
      </c>
      <c r="L958" s="141" t="str">
        <f t="shared" si="74"/>
        <v/>
      </c>
    </row>
    <row r="959" spans="1:12" x14ac:dyDescent="0.3">
      <c r="A959" s="2" t="str">
        <f xml:space="preserve"> IF( 'From SvanPC++'!A959= "", "", ('From SvanPC++'!A959))</f>
        <v/>
      </c>
      <c r="C959" s="6" t="s">
        <v>10</v>
      </c>
      <c r="G959" s="38" t="str">
        <f t="shared" si="70"/>
        <v/>
      </c>
      <c r="H959" s="141" t="str">
        <f t="shared" si="71"/>
        <v/>
      </c>
      <c r="J959" s="141" t="str">
        <f t="shared" si="72"/>
        <v/>
      </c>
      <c r="K959" s="141" t="str">
        <f t="shared" si="73"/>
        <v/>
      </c>
      <c r="L959" s="141" t="str">
        <f t="shared" si="74"/>
        <v/>
      </c>
    </row>
    <row r="960" spans="1:12" x14ac:dyDescent="0.3">
      <c r="A960" s="2" t="str">
        <f xml:space="preserve"> IF( 'From SvanPC++'!A960= "", "", ('From SvanPC++'!A960))</f>
        <v/>
      </c>
      <c r="C960" s="6" t="s">
        <v>10</v>
      </c>
      <c r="G960" s="38" t="str">
        <f t="shared" si="70"/>
        <v/>
      </c>
      <c r="H960" s="141" t="str">
        <f t="shared" si="71"/>
        <v/>
      </c>
      <c r="J960" s="141" t="str">
        <f t="shared" si="72"/>
        <v/>
      </c>
      <c r="K960" s="141" t="str">
        <f t="shared" si="73"/>
        <v/>
      </c>
      <c r="L960" s="141" t="str">
        <f t="shared" si="74"/>
        <v/>
      </c>
    </row>
    <row r="961" spans="1:12" x14ac:dyDescent="0.3">
      <c r="A961" s="2" t="str">
        <f xml:space="preserve"> IF( 'From SvanPC++'!A961= "", "", ('From SvanPC++'!A961))</f>
        <v/>
      </c>
      <c r="C961" s="6" t="s">
        <v>10</v>
      </c>
      <c r="G961" s="38" t="str">
        <f t="shared" si="70"/>
        <v/>
      </c>
      <c r="H961" s="141" t="str">
        <f t="shared" si="71"/>
        <v/>
      </c>
      <c r="J961" s="141" t="str">
        <f t="shared" si="72"/>
        <v/>
      </c>
      <c r="K961" s="141" t="str">
        <f t="shared" si="73"/>
        <v/>
      </c>
      <c r="L961" s="141" t="str">
        <f t="shared" si="74"/>
        <v/>
      </c>
    </row>
    <row r="962" spans="1:12" x14ac:dyDescent="0.3">
      <c r="A962" s="2" t="str">
        <f xml:space="preserve"> IF( 'From SvanPC++'!A962= "", "", ('From SvanPC++'!A962))</f>
        <v/>
      </c>
      <c r="C962" s="6" t="s">
        <v>10</v>
      </c>
      <c r="G962" s="38" t="str">
        <f t="shared" si="70"/>
        <v/>
      </c>
      <c r="H962" s="141" t="str">
        <f t="shared" si="71"/>
        <v/>
      </c>
      <c r="J962" s="141" t="str">
        <f t="shared" si="72"/>
        <v/>
      </c>
      <c r="K962" s="141" t="str">
        <f t="shared" si="73"/>
        <v/>
      </c>
      <c r="L962" s="141" t="str">
        <f t="shared" si="74"/>
        <v/>
      </c>
    </row>
    <row r="963" spans="1:12" x14ac:dyDescent="0.3">
      <c r="A963" s="2" t="str">
        <f xml:space="preserve"> IF( 'From SvanPC++'!A963= "", "", ('From SvanPC++'!A963))</f>
        <v/>
      </c>
      <c r="C963" s="6" t="s">
        <v>10</v>
      </c>
      <c r="G963" s="38" t="str">
        <f t="shared" si="70"/>
        <v/>
      </c>
      <c r="H963" s="141" t="str">
        <f t="shared" si="71"/>
        <v/>
      </c>
      <c r="J963" s="141" t="str">
        <f t="shared" si="72"/>
        <v/>
      </c>
      <c r="K963" s="141" t="str">
        <f t="shared" si="73"/>
        <v/>
      </c>
      <c r="L963" s="141" t="str">
        <f t="shared" si="74"/>
        <v/>
      </c>
    </row>
    <row r="964" spans="1:12" x14ac:dyDescent="0.3">
      <c r="A964" s="2" t="str">
        <f xml:space="preserve"> IF( 'From SvanPC++'!A964= "", "", ('From SvanPC++'!A964))</f>
        <v/>
      </c>
      <c r="C964" s="6" t="s">
        <v>10</v>
      </c>
      <c r="G964" s="38" t="str">
        <f t="shared" si="70"/>
        <v/>
      </c>
      <c r="H964" s="141" t="str">
        <f t="shared" si="71"/>
        <v/>
      </c>
      <c r="J964" s="141" t="str">
        <f t="shared" si="72"/>
        <v/>
      </c>
      <c r="K964" s="141" t="str">
        <f t="shared" si="73"/>
        <v/>
      </c>
      <c r="L964" s="141" t="str">
        <f t="shared" si="74"/>
        <v/>
      </c>
    </row>
    <row r="965" spans="1:12" x14ac:dyDescent="0.3">
      <c r="A965" s="2" t="str">
        <f xml:space="preserve"> IF( 'From SvanPC++'!A965= "", "", ('From SvanPC++'!A965))</f>
        <v/>
      </c>
      <c r="C965" s="6" t="s">
        <v>10</v>
      </c>
      <c r="G965" s="38" t="str">
        <f t="shared" si="70"/>
        <v/>
      </c>
      <c r="H965" s="141" t="str">
        <f t="shared" si="71"/>
        <v/>
      </c>
      <c r="J965" s="141" t="str">
        <f t="shared" si="72"/>
        <v/>
      </c>
      <c r="K965" s="141" t="str">
        <f t="shared" si="73"/>
        <v/>
      </c>
      <c r="L965" s="141" t="str">
        <f t="shared" si="74"/>
        <v/>
      </c>
    </row>
    <row r="966" spans="1:12" x14ac:dyDescent="0.3">
      <c r="A966" s="2" t="str">
        <f xml:space="preserve"> IF( 'From SvanPC++'!A966= "", "", ('From SvanPC++'!A966))</f>
        <v/>
      </c>
      <c r="C966" s="6" t="s">
        <v>10</v>
      </c>
      <c r="G966" s="38" t="str">
        <f t="shared" si="70"/>
        <v/>
      </c>
      <c r="H966" s="141" t="str">
        <f t="shared" si="71"/>
        <v/>
      </c>
      <c r="J966" s="141" t="str">
        <f t="shared" si="72"/>
        <v/>
      </c>
      <c r="K966" s="141" t="str">
        <f t="shared" si="73"/>
        <v/>
      </c>
      <c r="L966" s="141" t="str">
        <f t="shared" si="74"/>
        <v/>
      </c>
    </row>
    <row r="967" spans="1:12" x14ac:dyDescent="0.3">
      <c r="A967" s="2" t="str">
        <f xml:space="preserve"> IF( 'From SvanPC++'!A967= "", "", ('From SvanPC++'!A967))</f>
        <v/>
      </c>
      <c r="C967" s="6" t="s">
        <v>10</v>
      </c>
      <c r="G967" s="38" t="str">
        <f t="shared" ref="G967:G1030" si="75" xml:space="preserve"> IF( D967= "", "", ( IF( AND( D967 &gt;= TIMEVALUE( "07:00:01" ), D967 &lt; TIMEVALUE( "08:00:01" ) ) = TRUE, (G966+1), (G966+0) )))</f>
        <v/>
      </c>
      <c r="H967" s="141" t="str">
        <f t="shared" ref="H967:H1030" si="76" xml:space="preserve"> IF( D967= "", "", (
IF( AND( D967 &gt;= TIMEVALUE( "07:00:01" ), D967 &lt;= TIMEVALUE( "18:00:00" ), WEEKDAY( C967,1+N("            Weekday Day Period              ")) &gt;=2, ( WEEKDAY( C967,1) &lt;=6) ) = TRUE, "Day",
IF( AND( D967 &gt;= TIMEVALUE( "18:00:01" ), D967 &lt;= TIMEVALUE( "22:00:00" ), WEEKDAY( C967,1+N("            Weekday Evening Period          ")) &gt;=2, ( WEEKDAY( C967,1) &lt;=6) ) = TRUE, "Evening",
IF( AND( D967 &gt;= TIMEVALUE( "22:00:01" ), D967 &lt;= TIMEVALUE( "23:59:59" ), WEEKDAY( C967,1+N("            Weekday Night Period            ")) &gt;=2, ( WEEKDAY( C967,1) &lt;=6) ) = TRUE, "Night",
IF( AND( D967 &gt;= TIMEVALUE( "00:00:00" ), D967 &lt;= TIMEVALUE( "07:00:00" ), WEEKDAY( C967,1+N("            Weekday Night Period            ")) &gt;=2, ( WEEKDAY( C967,1) &lt;=6) ) = TRUE, "Night",
IF( AND( D967 &gt;= TIMEVALUE( "07:00:01" ), D967 &lt;= TIMEVALUE( "18:00:00" ), WEEKDAY( C967) =(7+N("         Saturday Day Period             ")) ) = TRUE, "Day",
IF( AND( D967 &gt;= TIMEVALUE( "18:00:01" ), D967 &lt;= TIMEVALUE( "22:00:00" ), WEEKDAY( C967) =(7+N("         Saturday Evening Period         ")) ) = TRUE, "Evening",
IF( AND( D967 &gt;= TIMEVALUE( "22:00:01" ), D967 &lt;= TIMEVALUE( "23:59:59" ), WEEKDAY( C967) =(7+N("         Saturday Night Period           ")) ) = TRUE, "Night",
IF( AND( D967 &gt;= TIMEVALUE( "00:00:00" ), D967 &lt;= TIMEVALUE( "07:00:00" ), WEEKDAY( C967) =(7+N("         Saturday Night Period           ")) ) = TRUE, "Night",
IF( AND( D967 &gt;= TIMEVALUE( "07:00:01" ), D967 &lt;= TIMEVALUE( "22:00:00" ), WEEKDAY( C967) =(1+N("         Sunday Evening Period           ")) ) = TRUE, "Evening",
IF( AND( D967 &gt;= TIMEVALUE( "20:00:01" ), D967 &lt;= TIMEVALUE( "23:59:59" ), WEEKDAY( C967) =(1+N("         Sunday Night Period             ")) ) = TRUE, "Night",
IF( AND( D967 &gt;= TIMEVALUE( "00:00:00" ), D967 &lt;= TIMEVALUE( "07:00:00" ), WEEKDAY( C967) =(1+N("         Sunday Night Period             ")) ) = TRUE, "Night",
)))))))))))))</f>
        <v/>
      </c>
      <c r="J967" s="141" t="str">
        <f t="shared" si="72"/>
        <v/>
      </c>
      <c r="K967" s="141" t="str">
        <f t="shared" si="73"/>
        <v/>
      </c>
      <c r="L967" s="141" t="str">
        <f t="shared" si="74"/>
        <v/>
      </c>
    </row>
    <row r="968" spans="1:12" x14ac:dyDescent="0.3">
      <c r="A968" s="2" t="str">
        <f xml:space="preserve"> IF( 'From SvanPC++'!A968= "", "", ('From SvanPC++'!A968))</f>
        <v/>
      </c>
      <c r="C968" s="6" t="s">
        <v>10</v>
      </c>
      <c r="G968" s="38" t="str">
        <f t="shared" si="75"/>
        <v/>
      </c>
      <c r="H968" s="141" t="str">
        <f t="shared" si="76"/>
        <v/>
      </c>
      <c r="J968" s="141" t="str">
        <f t="shared" ref="J968:J1031" si="77" xml:space="preserve"> IF( ISERROR( IF( D968= "", "", ( IF( G968= (G967+1), ( AVERAGEIFS( E968:E1112, G968:G1112, G968, H968:H1112, "Day" )), "" )))), "",( IF( D968= "", "", ( IF( G968= (G967+1), ( AVERAGEIFS( E968:E1112, G968:G1112, G968, H968:H1112, "Day" )), "" )))))</f>
        <v/>
      </c>
      <c r="K968" s="141" t="str">
        <f t="shared" ref="K968:K1031" si="78" xml:space="preserve"> IF( ISERROR( IF( D968= "", "", ( IF( G968= (G967+1), ( AVERAGEIFS( E968:E1112, G968:G1112, G968, H968:H1112, "Evening" )), "" )))), "",( IF( D968= "", "", ( IF( G968= (G967+1), ( AVERAGEIFS( E968:E1112, G968:G1112, G968, H968:H1112, "Evening" )), "" )))))</f>
        <v/>
      </c>
      <c r="L968" s="141" t="str">
        <f t="shared" ref="L968:L1031" si="79" xml:space="preserve"> IF( ISERROR( IF( D968= "", "", ( IF( G968= (G967+1), ( AVERAGEIFS( E968:E1112, G968:G1112, G968, H968:H1112, "Night" )), "" )))), "",( IF( D968= "", "", ( IF( G968= (G967+1), ( AVERAGEIFS( E968:E1112, G968:G1112, G968, H968:H1112, "Night" )), "" )))))</f>
        <v/>
      </c>
    </row>
    <row r="969" spans="1:12" x14ac:dyDescent="0.3">
      <c r="A969" s="2" t="str">
        <f xml:space="preserve"> IF( 'From SvanPC++'!A969= "", "", ('From SvanPC++'!A969))</f>
        <v/>
      </c>
      <c r="C969" s="6" t="s">
        <v>10</v>
      </c>
      <c r="G969" s="38" t="str">
        <f t="shared" si="75"/>
        <v/>
      </c>
      <c r="H969" s="141" t="str">
        <f t="shared" si="76"/>
        <v/>
      </c>
      <c r="J969" s="141" t="str">
        <f t="shared" si="77"/>
        <v/>
      </c>
      <c r="K969" s="141" t="str">
        <f t="shared" si="78"/>
        <v/>
      </c>
      <c r="L969" s="141" t="str">
        <f t="shared" si="79"/>
        <v/>
      </c>
    </row>
    <row r="970" spans="1:12" x14ac:dyDescent="0.3">
      <c r="A970" s="2" t="str">
        <f xml:space="preserve"> IF( 'From SvanPC++'!A970= "", "", ('From SvanPC++'!A970))</f>
        <v/>
      </c>
      <c r="C970" s="6" t="s">
        <v>10</v>
      </c>
      <c r="G970" s="38" t="str">
        <f t="shared" si="75"/>
        <v/>
      </c>
      <c r="H970" s="141" t="str">
        <f t="shared" si="76"/>
        <v/>
      </c>
      <c r="J970" s="141" t="str">
        <f t="shared" si="77"/>
        <v/>
      </c>
      <c r="K970" s="141" t="str">
        <f t="shared" si="78"/>
        <v/>
      </c>
      <c r="L970" s="141" t="str">
        <f t="shared" si="79"/>
        <v/>
      </c>
    </row>
    <row r="971" spans="1:12" x14ac:dyDescent="0.3">
      <c r="A971" s="2" t="str">
        <f xml:space="preserve"> IF( 'From SvanPC++'!A971= "", "", ('From SvanPC++'!A971))</f>
        <v/>
      </c>
      <c r="C971" s="6" t="s">
        <v>10</v>
      </c>
      <c r="G971" s="38" t="str">
        <f t="shared" si="75"/>
        <v/>
      </c>
      <c r="H971" s="141" t="str">
        <f t="shared" si="76"/>
        <v/>
      </c>
      <c r="J971" s="141" t="str">
        <f t="shared" si="77"/>
        <v/>
      </c>
      <c r="K971" s="141" t="str">
        <f t="shared" si="78"/>
        <v/>
      </c>
      <c r="L971" s="141" t="str">
        <f t="shared" si="79"/>
        <v/>
      </c>
    </row>
    <row r="972" spans="1:12" x14ac:dyDescent="0.3">
      <c r="A972" s="2" t="str">
        <f xml:space="preserve"> IF( 'From SvanPC++'!A972= "", "", ('From SvanPC++'!A972))</f>
        <v/>
      </c>
      <c r="C972" s="6" t="s">
        <v>10</v>
      </c>
      <c r="G972" s="38" t="str">
        <f t="shared" si="75"/>
        <v/>
      </c>
      <c r="H972" s="141" t="str">
        <f t="shared" si="76"/>
        <v/>
      </c>
      <c r="J972" s="141" t="str">
        <f t="shared" si="77"/>
        <v/>
      </c>
      <c r="K972" s="141" t="str">
        <f t="shared" si="78"/>
        <v/>
      </c>
      <c r="L972" s="141" t="str">
        <f t="shared" si="79"/>
        <v/>
      </c>
    </row>
    <row r="973" spans="1:12" x14ac:dyDescent="0.3">
      <c r="A973" s="2" t="str">
        <f xml:space="preserve"> IF( 'From SvanPC++'!A973= "", "", ('From SvanPC++'!A973))</f>
        <v/>
      </c>
      <c r="C973" s="6" t="s">
        <v>10</v>
      </c>
      <c r="G973" s="38" t="str">
        <f t="shared" si="75"/>
        <v/>
      </c>
      <c r="H973" s="141" t="str">
        <f t="shared" si="76"/>
        <v/>
      </c>
      <c r="J973" s="141" t="str">
        <f t="shared" si="77"/>
        <v/>
      </c>
      <c r="K973" s="141" t="str">
        <f t="shared" si="78"/>
        <v/>
      </c>
      <c r="L973" s="141" t="str">
        <f t="shared" si="79"/>
        <v/>
      </c>
    </row>
    <row r="974" spans="1:12" x14ac:dyDescent="0.3">
      <c r="A974" s="2" t="str">
        <f xml:space="preserve"> IF( 'From SvanPC++'!A974= "", "", ('From SvanPC++'!A974))</f>
        <v/>
      </c>
      <c r="C974" s="6" t="s">
        <v>10</v>
      </c>
      <c r="G974" s="38" t="str">
        <f t="shared" si="75"/>
        <v/>
      </c>
      <c r="H974" s="141" t="str">
        <f t="shared" si="76"/>
        <v/>
      </c>
      <c r="J974" s="141" t="str">
        <f t="shared" si="77"/>
        <v/>
      </c>
      <c r="K974" s="141" t="str">
        <f t="shared" si="78"/>
        <v/>
      </c>
      <c r="L974" s="141" t="str">
        <f t="shared" si="79"/>
        <v/>
      </c>
    </row>
    <row r="975" spans="1:12" x14ac:dyDescent="0.3">
      <c r="A975" s="2" t="str">
        <f xml:space="preserve"> IF( 'From SvanPC++'!A975= "", "", ('From SvanPC++'!A975))</f>
        <v/>
      </c>
      <c r="C975" s="6" t="s">
        <v>10</v>
      </c>
      <c r="G975" s="38" t="str">
        <f t="shared" si="75"/>
        <v/>
      </c>
      <c r="H975" s="141" t="str">
        <f t="shared" si="76"/>
        <v/>
      </c>
      <c r="J975" s="141" t="str">
        <f t="shared" si="77"/>
        <v/>
      </c>
      <c r="K975" s="141" t="str">
        <f t="shared" si="78"/>
        <v/>
      </c>
      <c r="L975" s="141" t="str">
        <f t="shared" si="79"/>
        <v/>
      </c>
    </row>
    <row r="976" spans="1:12" x14ac:dyDescent="0.3">
      <c r="A976" s="2" t="str">
        <f xml:space="preserve"> IF( 'From SvanPC++'!A976= "", "", ('From SvanPC++'!A976))</f>
        <v/>
      </c>
      <c r="C976" s="6" t="s">
        <v>10</v>
      </c>
      <c r="G976" s="38" t="str">
        <f t="shared" si="75"/>
        <v/>
      </c>
      <c r="H976" s="141" t="str">
        <f t="shared" si="76"/>
        <v/>
      </c>
      <c r="J976" s="141" t="str">
        <f t="shared" si="77"/>
        <v/>
      </c>
      <c r="K976" s="141" t="str">
        <f t="shared" si="78"/>
        <v/>
      </c>
      <c r="L976" s="141" t="str">
        <f t="shared" si="79"/>
        <v/>
      </c>
    </row>
    <row r="977" spans="1:12" x14ac:dyDescent="0.3">
      <c r="A977" s="2" t="str">
        <f xml:space="preserve"> IF( 'From SvanPC++'!A977= "", "", ('From SvanPC++'!A977))</f>
        <v/>
      </c>
      <c r="C977" s="6" t="s">
        <v>10</v>
      </c>
      <c r="G977" s="38" t="str">
        <f t="shared" si="75"/>
        <v/>
      </c>
      <c r="H977" s="141" t="str">
        <f t="shared" si="76"/>
        <v/>
      </c>
      <c r="J977" s="141" t="str">
        <f t="shared" si="77"/>
        <v/>
      </c>
      <c r="K977" s="141" t="str">
        <f t="shared" si="78"/>
        <v/>
      </c>
      <c r="L977" s="141" t="str">
        <f t="shared" si="79"/>
        <v/>
      </c>
    </row>
    <row r="978" spans="1:12" x14ac:dyDescent="0.3">
      <c r="A978" s="2" t="str">
        <f xml:space="preserve"> IF( 'From SvanPC++'!A978= "", "", ('From SvanPC++'!A978))</f>
        <v/>
      </c>
      <c r="C978" s="6" t="s">
        <v>10</v>
      </c>
      <c r="G978" s="38" t="str">
        <f t="shared" si="75"/>
        <v/>
      </c>
      <c r="H978" s="141" t="str">
        <f t="shared" si="76"/>
        <v/>
      </c>
      <c r="J978" s="141" t="str">
        <f t="shared" si="77"/>
        <v/>
      </c>
      <c r="K978" s="141" t="str">
        <f t="shared" si="78"/>
        <v/>
      </c>
      <c r="L978" s="141" t="str">
        <f t="shared" si="79"/>
        <v/>
      </c>
    </row>
    <row r="979" spans="1:12" x14ac:dyDescent="0.3">
      <c r="A979" s="2" t="str">
        <f xml:space="preserve"> IF( 'From SvanPC++'!A979= "", "", ('From SvanPC++'!A979))</f>
        <v/>
      </c>
      <c r="C979" s="6" t="s">
        <v>10</v>
      </c>
      <c r="G979" s="38" t="str">
        <f t="shared" si="75"/>
        <v/>
      </c>
      <c r="H979" s="141" t="str">
        <f t="shared" si="76"/>
        <v/>
      </c>
      <c r="J979" s="141" t="str">
        <f t="shared" si="77"/>
        <v/>
      </c>
      <c r="K979" s="141" t="str">
        <f t="shared" si="78"/>
        <v/>
      </c>
      <c r="L979" s="141" t="str">
        <f t="shared" si="79"/>
        <v/>
      </c>
    </row>
    <row r="980" spans="1:12" x14ac:dyDescent="0.3">
      <c r="A980" s="2" t="str">
        <f xml:space="preserve"> IF( 'From SvanPC++'!A980= "", "", ('From SvanPC++'!A980))</f>
        <v/>
      </c>
      <c r="C980" s="6" t="s">
        <v>10</v>
      </c>
      <c r="G980" s="38" t="str">
        <f t="shared" si="75"/>
        <v/>
      </c>
      <c r="H980" s="141" t="str">
        <f t="shared" si="76"/>
        <v/>
      </c>
      <c r="J980" s="141" t="str">
        <f t="shared" si="77"/>
        <v/>
      </c>
      <c r="K980" s="141" t="str">
        <f t="shared" si="78"/>
        <v/>
      </c>
      <c r="L980" s="141" t="str">
        <f t="shared" si="79"/>
        <v/>
      </c>
    </row>
    <row r="981" spans="1:12" x14ac:dyDescent="0.3">
      <c r="A981" s="2" t="str">
        <f xml:space="preserve"> IF( 'From SvanPC++'!A981= "", "", ('From SvanPC++'!A981))</f>
        <v/>
      </c>
      <c r="C981" s="6" t="s">
        <v>10</v>
      </c>
      <c r="G981" s="38" t="str">
        <f t="shared" si="75"/>
        <v/>
      </c>
      <c r="H981" s="141" t="str">
        <f t="shared" si="76"/>
        <v/>
      </c>
      <c r="J981" s="141" t="str">
        <f t="shared" si="77"/>
        <v/>
      </c>
      <c r="K981" s="141" t="str">
        <f t="shared" si="78"/>
        <v/>
      </c>
      <c r="L981" s="141" t="str">
        <f t="shared" si="79"/>
        <v/>
      </c>
    </row>
    <row r="982" spans="1:12" x14ac:dyDescent="0.3">
      <c r="A982" s="2" t="str">
        <f xml:space="preserve"> IF( 'From SvanPC++'!A982= "", "", ('From SvanPC++'!A982))</f>
        <v/>
      </c>
      <c r="C982" s="6" t="s">
        <v>10</v>
      </c>
      <c r="G982" s="38" t="str">
        <f t="shared" si="75"/>
        <v/>
      </c>
      <c r="H982" s="141" t="str">
        <f t="shared" si="76"/>
        <v/>
      </c>
      <c r="J982" s="141" t="str">
        <f t="shared" si="77"/>
        <v/>
      </c>
      <c r="K982" s="141" t="str">
        <f t="shared" si="78"/>
        <v/>
      </c>
      <c r="L982" s="141" t="str">
        <f t="shared" si="79"/>
        <v/>
      </c>
    </row>
    <row r="983" spans="1:12" x14ac:dyDescent="0.3">
      <c r="A983" s="2" t="str">
        <f xml:space="preserve"> IF( 'From SvanPC++'!A983= "", "", ('From SvanPC++'!A983))</f>
        <v/>
      </c>
      <c r="C983" s="6" t="s">
        <v>10</v>
      </c>
      <c r="G983" s="38" t="str">
        <f t="shared" si="75"/>
        <v/>
      </c>
      <c r="H983" s="141" t="str">
        <f t="shared" si="76"/>
        <v/>
      </c>
      <c r="J983" s="141" t="str">
        <f t="shared" si="77"/>
        <v/>
      </c>
      <c r="K983" s="141" t="str">
        <f t="shared" si="78"/>
        <v/>
      </c>
      <c r="L983" s="141" t="str">
        <f t="shared" si="79"/>
        <v/>
      </c>
    </row>
    <row r="984" spans="1:12" x14ac:dyDescent="0.3">
      <c r="A984" s="2" t="str">
        <f xml:space="preserve"> IF( 'From SvanPC++'!A984= "", "", ('From SvanPC++'!A984))</f>
        <v/>
      </c>
      <c r="C984" s="6" t="s">
        <v>10</v>
      </c>
      <c r="G984" s="38" t="str">
        <f t="shared" si="75"/>
        <v/>
      </c>
      <c r="H984" s="141" t="str">
        <f t="shared" si="76"/>
        <v/>
      </c>
      <c r="J984" s="141" t="str">
        <f t="shared" si="77"/>
        <v/>
      </c>
      <c r="K984" s="141" t="str">
        <f t="shared" si="78"/>
        <v/>
      </c>
      <c r="L984" s="141" t="str">
        <f t="shared" si="79"/>
        <v/>
      </c>
    </row>
    <row r="985" spans="1:12" x14ac:dyDescent="0.3">
      <c r="A985" s="2" t="str">
        <f xml:space="preserve"> IF( 'From SvanPC++'!A985= "", "", ('From SvanPC++'!A985))</f>
        <v/>
      </c>
      <c r="C985" s="6" t="s">
        <v>10</v>
      </c>
      <c r="G985" s="38" t="str">
        <f t="shared" si="75"/>
        <v/>
      </c>
      <c r="H985" s="141" t="str">
        <f t="shared" si="76"/>
        <v/>
      </c>
      <c r="J985" s="141" t="str">
        <f t="shared" si="77"/>
        <v/>
      </c>
      <c r="K985" s="141" t="str">
        <f t="shared" si="78"/>
        <v/>
      </c>
      <c r="L985" s="141" t="str">
        <f t="shared" si="79"/>
        <v/>
      </c>
    </row>
    <row r="986" spans="1:12" x14ac:dyDescent="0.3">
      <c r="A986" s="2" t="str">
        <f xml:space="preserve"> IF( 'From SvanPC++'!A986= "", "", ('From SvanPC++'!A986))</f>
        <v/>
      </c>
      <c r="C986" s="6" t="s">
        <v>10</v>
      </c>
      <c r="G986" s="38" t="str">
        <f t="shared" si="75"/>
        <v/>
      </c>
      <c r="H986" s="141" t="str">
        <f t="shared" si="76"/>
        <v/>
      </c>
      <c r="J986" s="141" t="str">
        <f t="shared" si="77"/>
        <v/>
      </c>
      <c r="K986" s="141" t="str">
        <f t="shared" si="78"/>
        <v/>
      </c>
      <c r="L986" s="141" t="str">
        <f t="shared" si="79"/>
        <v/>
      </c>
    </row>
    <row r="987" spans="1:12" x14ac:dyDescent="0.3">
      <c r="A987" s="2" t="str">
        <f xml:space="preserve"> IF( 'From SvanPC++'!A987= "", "", ('From SvanPC++'!A987))</f>
        <v/>
      </c>
      <c r="C987" s="6" t="s">
        <v>10</v>
      </c>
      <c r="G987" s="38" t="str">
        <f t="shared" si="75"/>
        <v/>
      </c>
      <c r="H987" s="141" t="str">
        <f t="shared" si="76"/>
        <v/>
      </c>
      <c r="J987" s="141" t="str">
        <f t="shared" si="77"/>
        <v/>
      </c>
      <c r="K987" s="141" t="str">
        <f t="shared" si="78"/>
        <v/>
      </c>
      <c r="L987" s="141" t="str">
        <f t="shared" si="79"/>
        <v/>
      </c>
    </row>
    <row r="988" spans="1:12" x14ac:dyDescent="0.3">
      <c r="A988" s="2" t="str">
        <f xml:space="preserve"> IF( 'From SvanPC++'!A988= "", "", ('From SvanPC++'!A988))</f>
        <v/>
      </c>
      <c r="C988" s="6" t="s">
        <v>10</v>
      </c>
      <c r="G988" s="38" t="str">
        <f t="shared" si="75"/>
        <v/>
      </c>
      <c r="H988" s="141" t="str">
        <f t="shared" si="76"/>
        <v/>
      </c>
      <c r="J988" s="141" t="str">
        <f t="shared" si="77"/>
        <v/>
      </c>
      <c r="K988" s="141" t="str">
        <f t="shared" si="78"/>
        <v/>
      </c>
      <c r="L988" s="141" t="str">
        <f t="shared" si="79"/>
        <v/>
      </c>
    </row>
    <row r="989" spans="1:12" x14ac:dyDescent="0.3">
      <c r="A989" s="2" t="str">
        <f xml:space="preserve"> IF( 'From SvanPC++'!A989= "", "", ('From SvanPC++'!A989))</f>
        <v/>
      </c>
      <c r="C989" s="6" t="s">
        <v>10</v>
      </c>
      <c r="G989" s="38" t="str">
        <f t="shared" si="75"/>
        <v/>
      </c>
      <c r="H989" s="141" t="str">
        <f t="shared" si="76"/>
        <v/>
      </c>
      <c r="J989" s="141" t="str">
        <f t="shared" si="77"/>
        <v/>
      </c>
      <c r="K989" s="141" t="str">
        <f t="shared" si="78"/>
        <v/>
      </c>
      <c r="L989" s="141" t="str">
        <f t="shared" si="79"/>
        <v/>
      </c>
    </row>
    <row r="990" spans="1:12" x14ac:dyDescent="0.3">
      <c r="A990" s="2" t="str">
        <f xml:space="preserve"> IF( 'From SvanPC++'!A990= "", "", ('From SvanPC++'!A990))</f>
        <v/>
      </c>
      <c r="C990" s="6" t="s">
        <v>10</v>
      </c>
      <c r="G990" s="38" t="str">
        <f t="shared" si="75"/>
        <v/>
      </c>
      <c r="H990" s="141" t="str">
        <f t="shared" si="76"/>
        <v/>
      </c>
      <c r="J990" s="141" t="str">
        <f t="shared" si="77"/>
        <v/>
      </c>
      <c r="K990" s="141" t="str">
        <f t="shared" si="78"/>
        <v/>
      </c>
      <c r="L990" s="141" t="str">
        <f t="shared" si="79"/>
        <v/>
      </c>
    </row>
    <row r="991" spans="1:12" x14ac:dyDescent="0.3">
      <c r="A991" s="2" t="str">
        <f xml:space="preserve"> IF( 'From SvanPC++'!A991= "", "", ('From SvanPC++'!A991))</f>
        <v/>
      </c>
      <c r="C991" s="6" t="s">
        <v>10</v>
      </c>
      <c r="G991" s="38" t="str">
        <f t="shared" si="75"/>
        <v/>
      </c>
      <c r="H991" s="141" t="str">
        <f t="shared" si="76"/>
        <v/>
      </c>
      <c r="J991" s="141" t="str">
        <f t="shared" si="77"/>
        <v/>
      </c>
      <c r="K991" s="141" t="str">
        <f t="shared" si="78"/>
        <v/>
      </c>
      <c r="L991" s="141" t="str">
        <f t="shared" si="79"/>
        <v/>
      </c>
    </row>
    <row r="992" spans="1:12" x14ac:dyDescent="0.3">
      <c r="A992" s="2" t="str">
        <f xml:space="preserve"> IF( 'From SvanPC++'!A992= "", "", ('From SvanPC++'!A992))</f>
        <v/>
      </c>
      <c r="C992" s="6" t="s">
        <v>10</v>
      </c>
      <c r="G992" s="38" t="str">
        <f t="shared" si="75"/>
        <v/>
      </c>
      <c r="H992" s="141" t="str">
        <f t="shared" si="76"/>
        <v/>
      </c>
      <c r="J992" s="141" t="str">
        <f t="shared" si="77"/>
        <v/>
      </c>
      <c r="K992" s="141" t="str">
        <f t="shared" si="78"/>
        <v/>
      </c>
      <c r="L992" s="141" t="str">
        <f t="shared" si="79"/>
        <v/>
      </c>
    </row>
    <row r="993" spans="1:12" x14ac:dyDescent="0.3">
      <c r="A993" s="2" t="str">
        <f xml:space="preserve"> IF( 'From SvanPC++'!A993= "", "", ('From SvanPC++'!A993))</f>
        <v/>
      </c>
      <c r="C993" s="6" t="s">
        <v>10</v>
      </c>
      <c r="G993" s="38" t="str">
        <f t="shared" si="75"/>
        <v/>
      </c>
      <c r="H993" s="141" t="str">
        <f t="shared" si="76"/>
        <v/>
      </c>
      <c r="J993" s="141" t="str">
        <f t="shared" si="77"/>
        <v/>
      </c>
      <c r="K993" s="141" t="str">
        <f t="shared" si="78"/>
        <v/>
      </c>
      <c r="L993" s="141" t="str">
        <f t="shared" si="79"/>
        <v/>
      </c>
    </row>
    <row r="994" spans="1:12" x14ac:dyDescent="0.3">
      <c r="A994" s="2" t="str">
        <f xml:space="preserve"> IF( 'From SvanPC++'!A994= "", "", ('From SvanPC++'!A994))</f>
        <v/>
      </c>
      <c r="C994" s="6" t="s">
        <v>10</v>
      </c>
      <c r="G994" s="38" t="str">
        <f t="shared" si="75"/>
        <v/>
      </c>
      <c r="H994" s="141" t="str">
        <f t="shared" si="76"/>
        <v/>
      </c>
      <c r="J994" s="141" t="str">
        <f t="shared" si="77"/>
        <v/>
      </c>
      <c r="K994" s="141" t="str">
        <f t="shared" si="78"/>
        <v/>
      </c>
      <c r="L994" s="141" t="str">
        <f t="shared" si="79"/>
        <v/>
      </c>
    </row>
    <row r="995" spans="1:12" x14ac:dyDescent="0.3">
      <c r="A995" s="2" t="str">
        <f xml:space="preserve"> IF( 'From SvanPC++'!A995= "", "", ('From SvanPC++'!A995))</f>
        <v/>
      </c>
      <c r="C995" s="6" t="s">
        <v>10</v>
      </c>
      <c r="G995" s="38" t="str">
        <f t="shared" si="75"/>
        <v/>
      </c>
      <c r="H995" s="141" t="str">
        <f t="shared" si="76"/>
        <v/>
      </c>
      <c r="J995" s="141" t="str">
        <f t="shared" si="77"/>
        <v/>
      </c>
      <c r="K995" s="141" t="str">
        <f t="shared" si="78"/>
        <v/>
      </c>
      <c r="L995" s="141" t="str">
        <f t="shared" si="79"/>
        <v/>
      </c>
    </row>
    <row r="996" spans="1:12" x14ac:dyDescent="0.3">
      <c r="A996" s="2" t="str">
        <f xml:space="preserve"> IF( 'From SvanPC++'!A996= "", "", ('From SvanPC++'!A996))</f>
        <v/>
      </c>
      <c r="C996" s="6" t="s">
        <v>10</v>
      </c>
      <c r="G996" s="38" t="str">
        <f t="shared" si="75"/>
        <v/>
      </c>
      <c r="H996" s="141" t="str">
        <f t="shared" si="76"/>
        <v/>
      </c>
      <c r="J996" s="141" t="str">
        <f t="shared" si="77"/>
        <v/>
      </c>
      <c r="K996" s="141" t="str">
        <f t="shared" si="78"/>
        <v/>
      </c>
      <c r="L996" s="141" t="str">
        <f t="shared" si="79"/>
        <v/>
      </c>
    </row>
    <row r="997" spans="1:12" x14ac:dyDescent="0.3">
      <c r="A997" s="2" t="str">
        <f xml:space="preserve"> IF( 'From SvanPC++'!A997= "", "", ('From SvanPC++'!A997))</f>
        <v/>
      </c>
      <c r="C997" s="6" t="s">
        <v>10</v>
      </c>
      <c r="G997" s="38" t="str">
        <f t="shared" si="75"/>
        <v/>
      </c>
      <c r="H997" s="141" t="str">
        <f t="shared" si="76"/>
        <v/>
      </c>
      <c r="J997" s="141" t="str">
        <f t="shared" si="77"/>
        <v/>
      </c>
      <c r="K997" s="141" t="str">
        <f t="shared" si="78"/>
        <v/>
      </c>
      <c r="L997" s="141" t="str">
        <f t="shared" si="79"/>
        <v/>
      </c>
    </row>
    <row r="998" spans="1:12" x14ac:dyDescent="0.3">
      <c r="A998" s="2" t="str">
        <f xml:space="preserve"> IF( 'From SvanPC++'!A998= "", "", ('From SvanPC++'!A998))</f>
        <v/>
      </c>
      <c r="C998" s="6" t="s">
        <v>10</v>
      </c>
      <c r="G998" s="38" t="str">
        <f t="shared" si="75"/>
        <v/>
      </c>
      <c r="H998" s="141" t="str">
        <f t="shared" si="76"/>
        <v/>
      </c>
      <c r="J998" s="141" t="str">
        <f t="shared" si="77"/>
        <v/>
      </c>
      <c r="K998" s="141" t="str">
        <f t="shared" si="78"/>
        <v/>
      </c>
      <c r="L998" s="141" t="str">
        <f t="shared" si="79"/>
        <v/>
      </c>
    </row>
    <row r="999" spans="1:12" x14ac:dyDescent="0.3">
      <c r="A999" s="2" t="str">
        <f xml:space="preserve"> IF( 'From SvanPC++'!A999= "", "", ('From SvanPC++'!A999))</f>
        <v/>
      </c>
      <c r="C999" s="6" t="s">
        <v>10</v>
      </c>
      <c r="G999" s="38" t="str">
        <f t="shared" si="75"/>
        <v/>
      </c>
      <c r="H999" s="141" t="str">
        <f t="shared" si="76"/>
        <v/>
      </c>
      <c r="J999" s="141" t="str">
        <f t="shared" si="77"/>
        <v/>
      </c>
      <c r="K999" s="141" t="str">
        <f t="shared" si="78"/>
        <v/>
      </c>
      <c r="L999" s="141" t="str">
        <f t="shared" si="79"/>
        <v/>
      </c>
    </row>
    <row r="1000" spans="1:12" x14ac:dyDescent="0.3">
      <c r="A1000" s="2" t="str">
        <f xml:space="preserve"> IF( 'From SvanPC++'!A1000= "", "", ('From SvanPC++'!A1000))</f>
        <v/>
      </c>
      <c r="C1000" s="6" t="s">
        <v>10</v>
      </c>
      <c r="G1000" s="38" t="str">
        <f t="shared" si="75"/>
        <v/>
      </c>
      <c r="H1000" s="141" t="str">
        <f t="shared" si="76"/>
        <v/>
      </c>
      <c r="J1000" s="141" t="str">
        <f t="shared" si="77"/>
        <v/>
      </c>
      <c r="K1000" s="141" t="str">
        <f t="shared" si="78"/>
        <v/>
      </c>
      <c r="L1000" s="141" t="str">
        <f t="shared" si="79"/>
        <v/>
      </c>
    </row>
    <row r="1001" spans="1:12" x14ac:dyDescent="0.3">
      <c r="A1001" s="2" t="str">
        <f xml:space="preserve"> IF( 'From SvanPC++'!A1001= "", "", ('From SvanPC++'!A1001))</f>
        <v/>
      </c>
      <c r="C1001" s="6" t="s">
        <v>10</v>
      </c>
      <c r="G1001" s="38" t="str">
        <f t="shared" si="75"/>
        <v/>
      </c>
      <c r="H1001" s="141" t="str">
        <f t="shared" si="76"/>
        <v/>
      </c>
      <c r="J1001" s="141" t="str">
        <f t="shared" si="77"/>
        <v/>
      </c>
      <c r="K1001" s="141" t="str">
        <f t="shared" si="78"/>
        <v/>
      </c>
      <c r="L1001" s="141" t="str">
        <f t="shared" si="79"/>
        <v/>
      </c>
    </row>
    <row r="1002" spans="1:12" x14ac:dyDescent="0.3">
      <c r="A1002" s="2" t="str">
        <f xml:space="preserve"> IF( 'From SvanPC++'!A1002= "", "", ('From SvanPC++'!A1002))</f>
        <v/>
      </c>
      <c r="C1002" s="6" t="s">
        <v>10</v>
      </c>
      <c r="G1002" s="38" t="str">
        <f t="shared" si="75"/>
        <v/>
      </c>
      <c r="H1002" s="141" t="str">
        <f t="shared" si="76"/>
        <v/>
      </c>
      <c r="J1002" s="141" t="str">
        <f t="shared" si="77"/>
        <v/>
      </c>
      <c r="K1002" s="141" t="str">
        <f t="shared" si="78"/>
        <v/>
      </c>
      <c r="L1002" s="141" t="str">
        <f t="shared" si="79"/>
        <v/>
      </c>
    </row>
    <row r="1003" spans="1:12" x14ac:dyDescent="0.3">
      <c r="A1003" s="2" t="str">
        <f xml:space="preserve"> IF( 'From SvanPC++'!A1003= "", "", ('From SvanPC++'!A1003))</f>
        <v/>
      </c>
      <c r="C1003" s="6" t="s">
        <v>10</v>
      </c>
      <c r="G1003" s="38" t="str">
        <f t="shared" si="75"/>
        <v/>
      </c>
      <c r="H1003" s="141" t="str">
        <f t="shared" si="76"/>
        <v/>
      </c>
      <c r="J1003" s="141" t="str">
        <f t="shared" si="77"/>
        <v/>
      </c>
      <c r="K1003" s="141" t="str">
        <f t="shared" si="78"/>
        <v/>
      </c>
      <c r="L1003" s="141" t="str">
        <f t="shared" si="79"/>
        <v/>
      </c>
    </row>
    <row r="1004" spans="1:12" x14ac:dyDescent="0.3">
      <c r="A1004" s="2" t="str">
        <f xml:space="preserve"> IF( 'From SvanPC++'!A1004= "", "", ('From SvanPC++'!A1004))</f>
        <v/>
      </c>
      <c r="C1004" s="6" t="s">
        <v>10</v>
      </c>
      <c r="G1004" s="38" t="str">
        <f t="shared" si="75"/>
        <v/>
      </c>
      <c r="H1004" s="141" t="str">
        <f t="shared" si="76"/>
        <v/>
      </c>
      <c r="J1004" s="141" t="str">
        <f t="shared" si="77"/>
        <v/>
      </c>
      <c r="K1004" s="141" t="str">
        <f t="shared" si="78"/>
        <v/>
      </c>
      <c r="L1004" s="141" t="str">
        <f t="shared" si="79"/>
        <v/>
      </c>
    </row>
    <row r="1005" spans="1:12" x14ac:dyDescent="0.3">
      <c r="A1005" s="2" t="str">
        <f xml:space="preserve"> IF( 'From SvanPC++'!A1005= "", "", ('From SvanPC++'!A1005))</f>
        <v/>
      </c>
      <c r="C1005" s="6" t="s">
        <v>10</v>
      </c>
      <c r="G1005" s="38" t="str">
        <f t="shared" si="75"/>
        <v/>
      </c>
      <c r="H1005" s="141" t="str">
        <f t="shared" si="76"/>
        <v/>
      </c>
      <c r="J1005" s="141" t="str">
        <f t="shared" si="77"/>
        <v/>
      </c>
      <c r="K1005" s="141" t="str">
        <f t="shared" si="78"/>
        <v/>
      </c>
      <c r="L1005" s="141" t="str">
        <f t="shared" si="79"/>
        <v/>
      </c>
    </row>
    <row r="1006" spans="1:12" x14ac:dyDescent="0.3">
      <c r="A1006" s="2" t="str">
        <f xml:space="preserve"> IF( 'From SvanPC++'!A1006= "", "", ('From SvanPC++'!A1006))</f>
        <v/>
      </c>
      <c r="C1006" s="6" t="s">
        <v>10</v>
      </c>
      <c r="G1006" s="38" t="str">
        <f t="shared" si="75"/>
        <v/>
      </c>
      <c r="H1006" s="141" t="str">
        <f t="shared" si="76"/>
        <v/>
      </c>
      <c r="J1006" s="141" t="str">
        <f t="shared" si="77"/>
        <v/>
      </c>
      <c r="K1006" s="141" t="str">
        <f t="shared" si="78"/>
        <v/>
      </c>
      <c r="L1006" s="141" t="str">
        <f t="shared" si="79"/>
        <v/>
      </c>
    </row>
    <row r="1007" spans="1:12" x14ac:dyDescent="0.3">
      <c r="A1007" s="2" t="str">
        <f xml:space="preserve"> IF( 'From SvanPC++'!A1007= "", "", ('From SvanPC++'!A1007))</f>
        <v/>
      </c>
      <c r="C1007" s="6" t="s">
        <v>10</v>
      </c>
      <c r="G1007" s="38" t="str">
        <f t="shared" si="75"/>
        <v/>
      </c>
      <c r="H1007" s="141" t="str">
        <f t="shared" si="76"/>
        <v/>
      </c>
      <c r="J1007" s="141" t="str">
        <f t="shared" si="77"/>
        <v/>
      </c>
      <c r="K1007" s="141" t="str">
        <f t="shared" si="78"/>
        <v/>
      </c>
      <c r="L1007" s="141" t="str">
        <f t="shared" si="79"/>
        <v/>
      </c>
    </row>
    <row r="1008" spans="1:12" x14ac:dyDescent="0.3">
      <c r="A1008" s="2" t="str">
        <f xml:space="preserve"> IF( 'From SvanPC++'!A1008= "", "", ('From SvanPC++'!A1008))</f>
        <v/>
      </c>
      <c r="C1008" s="6" t="s">
        <v>10</v>
      </c>
      <c r="G1008" s="38" t="str">
        <f t="shared" si="75"/>
        <v/>
      </c>
      <c r="H1008" s="141" t="str">
        <f t="shared" si="76"/>
        <v/>
      </c>
      <c r="J1008" s="141" t="str">
        <f t="shared" si="77"/>
        <v/>
      </c>
      <c r="K1008" s="141" t="str">
        <f t="shared" si="78"/>
        <v/>
      </c>
      <c r="L1008" s="141" t="str">
        <f t="shared" si="79"/>
        <v/>
      </c>
    </row>
    <row r="1009" spans="1:12" x14ac:dyDescent="0.3">
      <c r="A1009" s="2" t="str">
        <f xml:space="preserve"> IF( 'From SvanPC++'!A1009= "", "", ('From SvanPC++'!A1009))</f>
        <v/>
      </c>
      <c r="C1009" s="6" t="s">
        <v>10</v>
      </c>
      <c r="G1009" s="38" t="str">
        <f t="shared" si="75"/>
        <v/>
      </c>
      <c r="H1009" s="141" t="str">
        <f t="shared" si="76"/>
        <v/>
      </c>
      <c r="J1009" s="141" t="str">
        <f t="shared" si="77"/>
        <v/>
      </c>
      <c r="K1009" s="141" t="str">
        <f t="shared" si="78"/>
        <v/>
      </c>
      <c r="L1009" s="141" t="str">
        <f t="shared" si="79"/>
        <v/>
      </c>
    </row>
    <row r="1010" spans="1:12" x14ac:dyDescent="0.3">
      <c r="A1010" s="2" t="str">
        <f xml:space="preserve"> IF( 'From SvanPC++'!A1010= "", "", ('From SvanPC++'!A1010))</f>
        <v/>
      </c>
      <c r="C1010" s="6" t="s">
        <v>10</v>
      </c>
      <c r="G1010" s="38" t="str">
        <f t="shared" si="75"/>
        <v/>
      </c>
      <c r="H1010" s="141" t="str">
        <f t="shared" si="76"/>
        <v/>
      </c>
      <c r="J1010" s="141" t="str">
        <f t="shared" si="77"/>
        <v/>
      </c>
      <c r="K1010" s="141" t="str">
        <f t="shared" si="78"/>
        <v/>
      </c>
      <c r="L1010" s="141" t="str">
        <f t="shared" si="79"/>
        <v/>
      </c>
    </row>
    <row r="1011" spans="1:12" x14ac:dyDescent="0.3">
      <c r="A1011" s="2" t="str">
        <f xml:space="preserve"> IF( 'From SvanPC++'!A1011= "", "", ('From SvanPC++'!A1011))</f>
        <v/>
      </c>
      <c r="C1011" s="6" t="s">
        <v>10</v>
      </c>
      <c r="G1011" s="38" t="str">
        <f t="shared" si="75"/>
        <v/>
      </c>
      <c r="H1011" s="141" t="str">
        <f t="shared" si="76"/>
        <v/>
      </c>
      <c r="J1011" s="141" t="str">
        <f t="shared" si="77"/>
        <v/>
      </c>
      <c r="K1011" s="141" t="str">
        <f t="shared" si="78"/>
        <v/>
      </c>
      <c r="L1011" s="141" t="str">
        <f t="shared" si="79"/>
        <v/>
      </c>
    </row>
    <row r="1012" spans="1:12" x14ac:dyDescent="0.3">
      <c r="A1012" s="2" t="str">
        <f xml:space="preserve"> IF( 'From SvanPC++'!A1012= "", "", ('From SvanPC++'!A1012))</f>
        <v/>
      </c>
      <c r="C1012" s="6" t="s">
        <v>10</v>
      </c>
      <c r="G1012" s="38" t="str">
        <f t="shared" si="75"/>
        <v/>
      </c>
      <c r="H1012" s="141" t="str">
        <f t="shared" si="76"/>
        <v/>
      </c>
      <c r="J1012" s="141" t="str">
        <f t="shared" si="77"/>
        <v/>
      </c>
      <c r="K1012" s="141" t="str">
        <f t="shared" si="78"/>
        <v/>
      </c>
      <c r="L1012" s="141" t="str">
        <f t="shared" si="79"/>
        <v/>
      </c>
    </row>
    <row r="1013" spans="1:12" x14ac:dyDescent="0.3">
      <c r="A1013" s="2" t="str">
        <f xml:space="preserve"> IF( 'From SvanPC++'!A1013= "", "", ('From SvanPC++'!A1013))</f>
        <v/>
      </c>
      <c r="C1013" s="6" t="s">
        <v>10</v>
      </c>
      <c r="G1013" s="38" t="str">
        <f t="shared" si="75"/>
        <v/>
      </c>
      <c r="H1013" s="141" t="str">
        <f t="shared" si="76"/>
        <v/>
      </c>
      <c r="J1013" s="141" t="str">
        <f t="shared" si="77"/>
        <v/>
      </c>
      <c r="K1013" s="141" t="str">
        <f t="shared" si="78"/>
        <v/>
      </c>
      <c r="L1013" s="141" t="str">
        <f t="shared" si="79"/>
        <v/>
      </c>
    </row>
    <row r="1014" spans="1:12" x14ac:dyDescent="0.3">
      <c r="A1014" s="2" t="str">
        <f xml:space="preserve"> IF( 'From SvanPC++'!A1014= "", "", ('From SvanPC++'!A1014))</f>
        <v/>
      </c>
      <c r="C1014" s="6" t="s">
        <v>10</v>
      </c>
      <c r="G1014" s="38" t="str">
        <f t="shared" si="75"/>
        <v/>
      </c>
      <c r="H1014" s="141" t="str">
        <f t="shared" si="76"/>
        <v/>
      </c>
      <c r="J1014" s="141" t="str">
        <f t="shared" si="77"/>
        <v/>
      </c>
      <c r="K1014" s="141" t="str">
        <f t="shared" si="78"/>
        <v/>
      </c>
      <c r="L1014" s="141" t="str">
        <f t="shared" si="79"/>
        <v/>
      </c>
    </row>
    <row r="1015" spans="1:12" x14ac:dyDescent="0.3">
      <c r="A1015" s="2" t="str">
        <f xml:space="preserve"> IF( 'From SvanPC++'!A1015= "", "", ('From SvanPC++'!A1015))</f>
        <v/>
      </c>
      <c r="C1015" s="6" t="s">
        <v>10</v>
      </c>
      <c r="G1015" s="38" t="str">
        <f t="shared" si="75"/>
        <v/>
      </c>
      <c r="H1015" s="141" t="str">
        <f t="shared" si="76"/>
        <v/>
      </c>
      <c r="J1015" s="141" t="str">
        <f t="shared" si="77"/>
        <v/>
      </c>
      <c r="K1015" s="141" t="str">
        <f t="shared" si="78"/>
        <v/>
      </c>
      <c r="L1015" s="141" t="str">
        <f t="shared" si="79"/>
        <v/>
      </c>
    </row>
    <row r="1016" spans="1:12" x14ac:dyDescent="0.3">
      <c r="A1016" s="2" t="str">
        <f xml:space="preserve"> IF( 'From SvanPC++'!A1016= "", "", ('From SvanPC++'!A1016))</f>
        <v/>
      </c>
      <c r="C1016" s="6" t="s">
        <v>10</v>
      </c>
      <c r="G1016" s="38" t="str">
        <f t="shared" si="75"/>
        <v/>
      </c>
      <c r="H1016" s="141" t="str">
        <f t="shared" si="76"/>
        <v/>
      </c>
      <c r="J1016" s="141" t="str">
        <f t="shared" si="77"/>
        <v/>
      </c>
      <c r="K1016" s="141" t="str">
        <f t="shared" si="78"/>
        <v/>
      </c>
      <c r="L1016" s="141" t="str">
        <f t="shared" si="79"/>
        <v/>
      </c>
    </row>
    <row r="1017" spans="1:12" x14ac:dyDescent="0.3">
      <c r="A1017" s="2" t="str">
        <f xml:space="preserve"> IF( 'From SvanPC++'!A1017= "", "", ('From SvanPC++'!A1017))</f>
        <v/>
      </c>
      <c r="C1017" s="6" t="s">
        <v>10</v>
      </c>
      <c r="G1017" s="38" t="str">
        <f t="shared" si="75"/>
        <v/>
      </c>
      <c r="H1017" s="141" t="str">
        <f t="shared" si="76"/>
        <v/>
      </c>
      <c r="J1017" s="141" t="str">
        <f t="shared" si="77"/>
        <v/>
      </c>
      <c r="K1017" s="141" t="str">
        <f t="shared" si="78"/>
        <v/>
      </c>
      <c r="L1017" s="141" t="str">
        <f t="shared" si="79"/>
        <v/>
      </c>
    </row>
    <row r="1018" spans="1:12" x14ac:dyDescent="0.3">
      <c r="A1018" s="2" t="str">
        <f xml:space="preserve"> IF( 'From SvanPC++'!A1018= "", "", ('From SvanPC++'!A1018))</f>
        <v/>
      </c>
      <c r="C1018" s="6" t="s">
        <v>10</v>
      </c>
      <c r="G1018" s="38" t="str">
        <f t="shared" si="75"/>
        <v/>
      </c>
      <c r="H1018" s="141" t="str">
        <f t="shared" si="76"/>
        <v/>
      </c>
      <c r="J1018" s="141" t="str">
        <f t="shared" si="77"/>
        <v/>
      </c>
      <c r="K1018" s="141" t="str">
        <f t="shared" si="78"/>
        <v/>
      </c>
      <c r="L1018" s="141" t="str">
        <f t="shared" si="79"/>
        <v/>
      </c>
    </row>
    <row r="1019" spans="1:12" x14ac:dyDescent="0.3">
      <c r="A1019" s="2" t="str">
        <f xml:space="preserve"> IF( 'From SvanPC++'!A1019= "", "", ('From SvanPC++'!A1019))</f>
        <v/>
      </c>
      <c r="C1019" s="6" t="s">
        <v>10</v>
      </c>
      <c r="G1019" s="38" t="str">
        <f t="shared" si="75"/>
        <v/>
      </c>
      <c r="H1019" s="141" t="str">
        <f t="shared" si="76"/>
        <v/>
      </c>
      <c r="J1019" s="141" t="str">
        <f t="shared" si="77"/>
        <v/>
      </c>
      <c r="K1019" s="141" t="str">
        <f t="shared" si="78"/>
        <v/>
      </c>
      <c r="L1019" s="141" t="str">
        <f t="shared" si="79"/>
        <v/>
      </c>
    </row>
    <row r="1020" spans="1:12" x14ac:dyDescent="0.3">
      <c r="A1020" s="2" t="str">
        <f xml:space="preserve"> IF( 'From SvanPC++'!A1020= "", "", ('From SvanPC++'!A1020))</f>
        <v/>
      </c>
      <c r="C1020" s="6" t="s">
        <v>10</v>
      </c>
      <c r="G1020" s="38" t="str">
        <f t="shared" si="75"/>
        <v/>
      </c>
      <c r="H1020" s="141" t="str">
        <f t="shared" si="76"/>
        <v/>
      </c>
      <c r="J1020" s="141" t="str">
        <f t="shared" si="77"/>
        <v/>
      </c>
      <c r="K1020" s="141" t="str">
        <f t="shared" si="78"/>
        <v/>
      </c>
      <c r="L1020" s="141" t="str">
        <f t="shared" si="79"/>
        <v/>
      </c>
    </row>
    <row r="1021" spans="1:12" x14ac:dyDescent="0.3">
      <c r="A1021" s="2" t="str">
        <f xml:space="preserve"> IF( 'From SvanPC++'!A1021= "", "", ('From SvanPC++'!A1021))</f>
        <v/>
      </c>
      <c r="C1021" s="6" t="s">
        <v>10</v>
      </c>
      <c r="G1021" s="38" t="str">
        <f t="shared" si="75"/>
        <v/>
      </c>
      <c r="H1021" s="141" t="str">
        <f t="shared" si="76"/>
        <v/>
      </c>
      <c r="J1021" s="141" t="str">
        <f t="shared" si="77"/>
        <v/>
      </c>
      <c r="K1021" s="141" t="str">
        <f t="shared" si="78"/>
        <v/>
      </c>
      <c r="L1021" s="141" t="str">
        <f t="shared" si="79"/>
        <v/>
      </c>
    </row>
    <row r="1022" spans="1:12" x14ac:dyDescent="0.3">
      <c r="A1022" s="2" t="str">
        <f xml:space="preserve"> IF( 'From SvanPC++'!A1022= "", "", ('From SvanPC++'!A1022))</f>
        <v/>
      </c>
      <c r="C1022" s="6" t="s">
        <v>10</v>
      </c>
      <c r="G1022" s="38" t="str">
        <f t="shared" si="75"/>
        <v/>
      </c>
      <c r="H1022" s="141" t="str">
        <f t="shared" si="76"/>
        <v/>
      </c>
      <c r="J1022" s="141" t="str">
        <f t="shared" si="77"/>
        <v/>
      </c>
      <c r="K1022" s="141" t="str">
        <f t="shared" si="78"/>
        <v/>
      </c>
      <c r="L1022" s="141" t="str">
        <f t="shared" si="79"/>
        <v/>
      </c>
    </row>
    <row r="1023" spans="1:12" x14ac:dyDescent="0.3">
      <c r="A1023" s="2" t="str">
        <f xml:space="preserve"> IF( 'From SvanPC++'!A1023= "", "", ('From SvanPC++'!A1023))</f>
        <v/>
      </c>
      <c r="C1023" s="6" t="s">
        <v>10</v>
      </c>
      <c r="G1023" s="38" t="str">
        <f t="shared" si="75"/>
        <v/>
      </c>
      <c r="H1023" s="141" t="str">
        <f t="shared" si="76"/>
        <v/>
      </c>
      <c r="J1023" s="141" t="str">
        <f t="shared" si="77"/>
        <v/>
      </c>
      <c r="K1023" s="141" t="str">
        <f t="shared" si="78"/>
        <v/>
      </c>
      <c r="L1023" s="141" t="str">
        <f t="shared" si="79"/>
        <v/>
      </c>
    </row>
    <row r="1024" spans="1:12" x14ac:dyDescent="0.3">
      <c r="A1024" s="2" t="str">
        <f xml:space="preserve"> IF( 'From SvanPC++'!A1024= "", "", ('From SvanPC++'!A1024))</f>
        <v/>
      </c>
      <c r="C1024" s="6" t="s">
        <v>10</v>
      </c>
      <c r="G1024" s="38" t="str">
        <f t="shared" si="75"/>
        <v/>
      </c>
      <c r="H1024" s="141" t="str">
        <f t="shared" si="76"/>
        <v/>
      </c>
      <c r="J1024" s="141" t="str">
        <f t="shared" si="77"/>
        <v/>
      </c>
      <c r="K1024" s="141" t="str">
        <f t="shared" si="78"/>
        <v/>
      </c>
      <c r="L1024" s="141" t="str">
        <f t="shared" si="79"/>
        <v/>
      </c>
    </row>
    <row r="1025" spans="1:12" x14ac:dyDescent="0.3">
      <c r="A1025" s="2" t="str">
        <f xml:space="preserve"> IF( 'From SvanPC++'!A1025= "", "", ('From SvanPC++'!A1025))</f>
        <v/>
      </c>
      <c r="C1025" s="6" t="s">
        <v>10</v>
      </c>
      <c r="G1025" s="38" t="str">
        <f t="shared" si="75"/>
        <v/>
      </c>
      <c r="H1025" s="141" t="str">
        <f t="shared" si="76"/>
        <v/>
      </c>
      <c r="J1025" s="141" t="str">
        <f t="shared" si="77"/>
        <v/>
      </c>
      <c r="K1025" s="141" t="str">
        <f t="shared" si="78"/>
        <v/>
      </c>
      <c r="L1025" s="141" t="str">
        <f t="shared" si="79"/>
        <v/>
      </c>
    </row>
    <row r="1026" spans="1:12" x14ac:dyDescent="0.3">
      <c r="A1026" s="2" t="str">
        <f xml:space="preserve"> IF( 'From SvanPC++'!A1026= "", "", ('From SvanPC++'!A1026))</f>
        <v/>
      </c>
      <c r="C1026" s="6" t="s">
        <v>10</v>
      </c>
      <c r="G1026" s="38" t="str">
        <f t="shared" si="75"/>
        <v/>
      </c>
      <c r="H1026" s="141" t="str">
        <f t="shared" si="76"/>
        <v/>
      </c>
      <c r="J1026" s="141" t="str">
        <f t="shared" si="77"/>
        <v/>
      </c>
      <c r="K1026" s="141" t="str">
        <f t="shared" si="78"/>
        <v/>
      </c>
      <c r="L1026" s="141" t="str">
        <f t="shared" si="79"/>
        <v/>
      </c>
    </row>
    <row r="1027" spans="1:12" x14ac:dyDescent="0.3">
      <c r="A1027" s="2" t="str">
        <f xml:space="preserve"> IF( 'From SvanPC++'!A1027= "", "", ('From SvanPC++'!A1027))</f>
        <v/>
      </c>
      <c r="C1027" s="6" t="s">
        <v>10</v>
      </c>
      <c r="G1027" s="38" t="str">
        <f t="shared" si="75"/>
        <v/>
      </c>
      <c r="H1027" s="141" t="str">
        <f t="shared" si="76"/>
        <v/>
      </c>
      <c r="J1027" s="141" t="str">
        <f t="shared" si="77"/>
        <v/>
      </c>
      <c r="K1027" s="141" t="str">
        <f t="shared" si="78"/>
        <v/>
      </c>
      <c r="L1027" s="141" t="str">
        <f t="shared" si="79"/>
        <v/>
      </c>
    </row>
    <row r="1028" spans="1:12" x14ac:dyDescent="0.3">
      <c r="A1028" s="2" t="str">
        <f xml:space="preserve"> IF( 'From SvanPC++'!A1028= "", "", ('From SvanPC++'!A1028))</f>
        <v/>
      </c>
      <c r="C1028" s="6" t="s">
        <v>10</v>
      </c>
      <c r="G1028" s="38" t="str">
        <f t="shared" si="75"/>
        <v/>
      </c>
      <c r="H1028" s="141" t="str">
        <f t="shared" si="76"/>
        <v/>
      </c>
      <c r="J1028" s="141" t="str">
        <f t="shared" si="77"/>
        <v/>
      </c>
      <c r="K1028" s="141" t="str">
        <f t="shared" si="78"/>
        <v/>
      </c>
      <c r="L1028" s="141" t="str">
        <f t="shared" si="79"/>
        <v/>
      </c>
    </row>
    <row r="1029" spans="1:12" x14ac:dyDescent="0.3">
      <c r="A1029" s="2" t="str">
        <f xml:space="preserve"> IF( 'From SvanPC++'!A1029= "", "", ('From SvanPC++'!A1029))</f>
        <v/>
      </c>
      <c r="C1029" s="6" t="s">
        <v>10</v>
      </c>
      <c r="G1029" s="38" t="str">
        <f t="shared" si="75"/>
        <v/>
      </c>
      <c r="H1029" s="141" t="str">
        <f t="shared" si="76"/>
        <v/>
      </c>
      <c r="J1029" s="141" t="str">
        <f t="shared" si="77"/>
        <v/>
      </c>
      <c r="K1029" s="141" t="str">
        <f t="shared" si="78"/>
        <v/>
      </c>
      <c r="L1029" s="141" t="str">
        <f t="shared" si="79"/>
        <v/>
      </c>
    </row>
    <row r="1030" spans="1:12" x14ac:dyDescent="0.3">
      <c r="A1030" s="2" t="str">
        <f xml:space="preserve"> IF( 'From SvanPC++'!A1030= "", "", ('From SvanPC++'!A1030))</f>
        <v/>
      </c>
      <c r="C1030" s="6" t="s">
        <v>10</v>
      </c>
      <c r="G1030" s="38" t="str">
        <f t="shared" si="75"/>
        <v/>
      </c>
      <c r="H1030" s="141" t="str">
        <f t="shared" si="76"/>
        <v/>
      </c>
      <c r="J1030" s="141" t="str">
        <f t="shared" si="77"/>
        <v/>
      </c>
      <c r="K1030" s="141" t="str">
        <f t="shared" si="78"/>
        <v/>
      </c>
      <c r="L1030" s="141" t="str">
        <f t="shared" si="79"/>
        <v/>
      </c>
    </row>
    <row r="1031" spans="1:12" x14ac:dyDescent="0.3">
      <c r="A1031" s="2" t="str">
        <f xml:space="preserve"> IF( 'From SvanPC++'!A1031= "", "", ('From SvanPC++'!A1031))</f>
        <v/>
      </c>
      <c r="C1031" s="6" t="s">
        <v>10</v>
      </c>
      <c r="G1031" s="38" t="str">
        <f t="shared" ref="G1031:G1094" si="80" xml:space="preserve"> IF( D1031= "", "", ( IF( AND( D1031 &gt;= TIMEVALUE( "07:00:01" ), D1031 &lt; TIMEVALUE( "08:00:01" ) ) = TRUE, (G1030+1), (G1030+0) )))</f>
        <v/>
      </c>
      <c r="H1031" s="141" t="str">
        <f t="shared" ref="H1031:H1094" si="81" xml:space="preserve"> IF( D1031= "", "", (
IF( AND( D1031 &gt;= TIMEVALUE( "07:00:01" ), D1031 &lt;= TIMEVALUE( "18:00:00" ), WEEKDAY( C1031,1+N("            Weekday Day Period              ")) &gt;=2, ( WEEKDAY( C1031,1) &lt;=6) ) = TRUE, "Day",
IF( AND( D1031 &gt;= TIMEVALUE( "18:00:01" ), D1031 &lt;= TIMEVALUE( "22:00:00" ), WEEKDAY( C1031,1+N("            Weekday Evening Period          ")) &gt;=2, ( WEEKDAY( C1031,1) &lt;=6) ) = TRUE, "Evening",
IF( AND( D1031 &gt;= TIMEVALUE( "22:00:01" ), D1031 &lt;= TIMEVALUE( "23:59:59" ), WEEKDAY( C1031,1+N("            Weekday Night Period            ")) &gt;=2, ( WEEKDAY( C1031,1) &lt;=6) ) = TRUE, "Night",
IF( AND( D1031 &gt;= TIMEVALUE( "00:00:00" ), D1031 &lt;= TIMEVALUE( "07:00:00" ), WEEKDAY( C1031,1+N("            Weekday Night Period            ")) &gt;=2, ( WEEKDAY( C1031,1) &lt;=6) ) = TRUE, "Night",
IF( AND( D1031 &gt;= TIMEVALUE( "07:00:01" ), D1031 &lt;= TIMEVALUE( "18:00:00" ), WEEKDAY( C1031) =(7+N("         Saturday Day Period             ")) ) = TRUE, "Day",
IF( AND( D1031 &gt;= TIMEVALUE( "18:00:01" ), D1031 &lt;= TIMEVALUE( "22:00:00" ), WEEKDAY( C1031) =(7+N("         Saturday Evening Period         ")) ) = TRUE, "Evening",
IF( AND( D1031 &gt;= TIMEVALUE( "22:00:01" ), D1031 &lt;= TIMEVALUE( "23:59:59" ), WEEKDAY( C1031) =(7+N("         Saturday Night Period           ")) ) = TRUE, "Night",
IF( AND( D1031 &gt;= TIMEVALUE( "00:00:00" ), D1031 &lt;= TIMEVALUE( "07:00:00" ), WEEKDAY( C1031) =(7+N("         Saturday Night Period           ")) ) = TRUE, "Night",
IF( AND( D1031 &gt;= TIMEVALUE( "07:00:01" ), D1031 &lt;= TIMEVALUE( "22:00:00" ), WEEKDAY( C1031) =(1+N("         Sunday Evening Period           ")) ) = TRUE, "Evening",
IF( AND( D1031 &gt;= TIMEVALUE( "20:00:01" ), D1031 &lt;= TIMEVALUE( "23:59:59" ), WEEKDAY( C1031) =(1+N("         Sunday Night Period             ")) ) = TRUE, "Night",
IF( AND( D1031 &gt;= TIMEVALUE( "00:00:00" ), D1031 &lt;= TIMEVALUE( "07:00:00" ), WEEKDAY( C1031) =(1+N("         Sunday Night Period             ")) ) = TRUE, "Night",
)))))))))))))</f>
        <v/>
      </c>
      <c r="J1031" s="141" t="str">
        <f t="shared" si="77"/>
        <v/>
      </c>
      <c r="K1031" s="141" t="str">
        <f t="shared" si="78"/>
        <v/>
      </c>
      <c r="L1031" s="141" t="str">
        <f t="shared" si="79"/>
        <v/>
      </c>
    </row>
    <row r="1032" spans="1:12" x14ac:dyDescent="0.3">
      <c r="A1032" s="2" t="str">
        <f xml:space="preserve"> IF( 'From SvanPC++'!A1032= "", "", ('From SvanPC++'!A1032))</f>
        <v/>
      </c>
      <c r="C1032" s="6" t="s">
        <v>10</v>
      </c>
      <c r="G1032" s="38" t="str">
        <f t="shared" si="80"/>
        <v/>
      </c>
      <c r="H1032" s="141" t="str">
        <f t="shared" si="81"/>
        <v/>
      </c>
      <c r="J1032" s="141" t="str">
        <f t="shared" ref="J1032:J1095" si="82" xml:space="preserve"> IF( ISERROR( IF( D1032= "", "", ( IF( G1032= (G1031+1), ( AVERAGEIFS( E1032:E1176, G1032:G1176, G1032, H1032:H1176, "Day" )), "" )))), "",( IF( D1032= "", "", ( IF( G1032= (G1031+1), ( AVERAGEIFS( E1032:E1176, G1032:G1176, G1032, H1032:H1176, "Day" )), "" )))))</f>
        <v/>
      </c>
      <c r="K1032" s="141" t="str">
        <f t="shared" ref="K1032:K1095" si="83" xml:space="preserve"> IF( ISERROR( IF( D1032= "", "", ( IF( G1032= (G1031+1), ( AVERAGEIFS( E1032:E1176, G1032:G1176, G1032, H1032:H1176, "Evening" )), "" )))), "",( IF( D1032= "", "", ( IF( G1032= (G1031+1), ( AVERAGEIFS( E1032:E1176, G1032:G1176, G1032, H1032:H1176, "Evening" )), "" )))))</f>
        <v/>
      </c>
      <c r="L1032" s="141" t="str">
        <f t="shared" ref="L1032:L1095" si="84" xml:space="preserve"> IF( ISERROR( IF( D1032= "", "", ( IF( G1032= (G1031+1), ( AVERAGEIFS( E1032:E1176, G1032:G1176, G1032, H1032:H1176, "Night" )), "" )))), "",( IF( D1032= "", "", ( IF( G1032= (G1031+1), ( AVERAGEIFS( E1032:E1176, G1032:G1176, G1032, H1032:H1176, "Night" )), "" )))))</f>
        <v/>
      </c>
    </row>
    <row r="1033" spans="1:12" x14ac:dyDescent="0.3">
      <c r="A1033" s="2" t="str">
        <f xml:space="preserve"> IF( 'From SvanPC++'!A1033= "", "", ('From SvanPC++'!A1033))</f>
        <v/>
      </c>
      <c r="C1033" s="6" t="s">
        <v>10</v>
      </c>
      <c r="G1033" s="38" t="str">
        <f t="shared" si="80"/>
        <v/>
      </c>
      <c r="H1033" s="141" t="str">
        <f t="shared" si="81"/>
        <v/>
      </c>
      <c r="J1033" s="141" t="str">
        <f t="shared" si="82"/>
        <v/>
      </c>
      <c r="K1033" s="141" t="str">
        <f t="shared" si="83"/>
        <v/>
      </c>
      <c r="L1033" s="141" t="str">
        <f t="shared" si="84"/>
        <v/>
      </c>
    </row>
    <row r="1034" spans="1:12" x14ac:dyDescent="0.3">
      <c r="A1034" s="2" t="str">
        <f xml:space="preserve"> IF( 'From SvanPC++'!A1034= "", "", ('From SvanPC++'!A1034))</f>
        <v/>
      </c>
      <c r="C1034" s="6" t="s">
        <v>10</v>
      </c>
      <c r="G1034" s="38" t="str">
        <f t="shared" si="80"/>
        <v/>
      </c>
      <c r="H1034" s="141" t="str">
        <f t="shared" si="81"/>
        <v/>
      </c>
      <c r="J1034" s="141" t="str">
        <f t="shared" si="82"/>
        <v/>
      </c>
      <c r="K1034" s="141" t="str">
        <f t="shared" si="83"/>
        <v/>
      </c>
      <c r="L1034" s="141" t="str">
        <f t="shared" si="84"/>
        <v/>
      </c>
    </row>
    <row r="1035" spans="1:12" x14ac:dyDescent="0.3">
      <c r="A1035" s="2" t="str">
        <f xml:space="preserve"> IF( 'From SvanPC++'!A1035= "", "", ('From SvanPC++'!A1035))</f>
        <v/>
      </c>
      <c r="C1035" s="6" t="s">
        <v>10</v>
      </c>
      <c r="G1035" s="38" t="str">
        <f t="shared" si="80"/>
        <v/>
      </c>
      <c r="H1035" s="141" t="str">
        <f t="shared" si="81"/>
        <v/>
      </c>
      <c r="J1035" s="141" t="str">
        <f t="shared" si="82"/>
        <v/>
      </c>
      <c r="K1035" s="141" t="str">
        <f t="shared" si="83"/>
        <v/>
      </c>
      <c r="L1035" s="141" t="str">
        <f t="shared" si="84"/>
        <v/>
      </c>
    </row>
    <row r="1036" spans="1:12" x14ac:dyDescent="0.3">
      <c r="A1036" s="2" t="str">
        <f xml:space="preserve"> IF( 'From SvanPC++'!A1036= "", "", ('From SvanPC++'!A1036))</f>
        <v/>
      </c>
      <c r="C1036" s="6" t="s">
        <v>10</v>
      </c>
      <c r="G1036" s="38" t="str">
        <f t="shared" si="80"/>
        <v/>
      </c>
      <c r="H1036" s="141" t="str">
        <f t="shared" si="81"/>
        <v/>
      </c>
      <c r="J1036" s="141" t="str">
        <f t="shared" si="82"/>
        <v/>
      </c>
      <c r="K1036" s="141" t="str">
        <f t="shared" si="83"/>
        <v/>
      </c>
      <c r="L1036" s="141" t="str">
        <f t="shared" si="84"/>
        <v/>
      </c>
    </row>
    <row r="1037" spans="1:12" x14ac:dyDescent="0.3">
      <c r="A1037" s="2" t="str">
        <f xml:space="preserve"> IF( 'From SvanPC++'!A1037= "", "", ('From SvanPC++'!A1037))</f>
        <v/>
      </c>
      <c r="C1037" s="6" t="s">
        <v>10</v>
      </c>
      <c r="G1037" s="38" t="str">
        <f t="shared" si="80"/>
        <v/>
      </c>
      <c r="H1037" s="141" t="str">
        <f t="shared" si="81"/>
        <v/>
      </c>
      <c r="J1037" s="141" t="str">
        <f t="shared" si="82"/>
        <v/>
      </c>
      <c r="K1037" s="141" t="str">
        <f t="shared" si="83"/>
        <v/>
      </c>
      <c r="L1037" s="141" t="str">
        <f t="shared" si="84"/>
        <v/>
      </c>
    </row>
    <row r="1038" spans="1:12" x14ac:dyDescent="0.3">
      <c r="A1038" s="2" t="str">
        <f xml:space="preserve"> IF( 'From SvanPC++'!A1038= "", "", ('From SvanPC++'!A1038))</f>
        <v/>
      </c>
      <c r="C1038" s="6" t="s">
        <v>10</v>
      </c>
      <c r="G1038" s="38" t="str">
        <f t="shared" si="80"/>
        <v/>
      </c>
      <c r="H1038" s="141" t="str">
        <f t="shared" si="81"/>
        <v/>
      </c>
      <c r="J1038" s="141" t="str">
        <f t="shared" si="82"/>
        <v/>
      </c>
      <c r="K1038" s="141" t="str">
        <f t="shared" si="83"/>
        <v/>
      </c>
      <c r="L1038" s="141" t="str">
        <f t="shared" si="84"/>
        <v/>
      </c>
    </row>
    <row r="1039" spans="1:12" x14ac:dyDescent="0.3">
      <c r="A1039" s="2" t="str">
        <f xml:space="preserve"> IF( 'From SvanPC++'!A1039= "", "", ('From SvanPC++'!A1039))</f>
        <v/>
      </c>
      <c r="C1039" s="6" t="s">
        <v>10</v>
      </c>
      <c r="G1039" s="38" t="str">
        <f t="shared" si="80"/>
        <v/>
      </c>
      <c r="H1039" s="141" t="str">
        <f t="shared" si="81"/>
        <v/>
      </c>
      <c r="J1039" s="141" t="str">
        <f t="shared" si="82"/>
        <v/>
      </c>
      <c r="K1039" s="141" t="str">
        <f t="shared" si="83"/>
        <v/>
      </c>
      <c r="L1039" s="141" t="str">
        <f t="shared" si="84"/>
        <v/>
      </c>
    </row>
    <row r="1040" spans="1:12" x14ac:dyDescent="0.3">
      <c r="A1040" s="2" t="str">
        <f xml:space="preserve"> IF( 'From SvanPC++'!A1040= "", "", ('From SvanPC++'!A1040))</f>
        <v/>
      </c>
      <c r="C1040" s="6" t="s">
        <v>10</v>
      </c>
      <c r="G1040" s="38" t="str">
        <f t="shared" si="80"/>
        <v/>
      </c>
      <c r="H1040" s="141" t="str">
        <f t="shared" si="81"/>
        <v/>
      </c>
      <c r="J1040" s="141" t="str">
        <f t="shared" si="82"/>
        <v/>
      </c>
      <c r="K1040" s="141" t="str">
        <f t="shared" si="83"/>
        <v/>
      </c>
      <c r="L1040" s="141" t="str">
        <f t="shared" si="84"/>
        <v/>
      </c>
    </row>
    <row r="1041" spans="1:12" x14ac:dyDescent="0.3">
      <c r="A1041" s="2" t="str">
        <f xml:space="preserve"> IF( 'From SvanPC++'!A1041= "", "", ('From SvanPC++'!A1041))</f>
        <v/>
      </c>
      <c r="C1041" s="6" t="s">
        <v>10</v>
      </c>
      <c r="G1041" s="38" t="str">
        <f t="shared" si="80"/>
        <v/>
      </c>
      <c r="H1041" s="141" t="str">
        <f t="shared" si="81"/>
        <v/>
      </c>
      <c r="J1041" s="141" t="str">
        <f t="shared" si="82"/>
        <v/>
      </c>
      <c r="K1041" s="141" t="str">
        <f t="shared" si="83"/>
        <v/>
      </c>
      <c r="L1041" s="141" t="str">
        <f t="shared" si="84"/>
        <v/>
      </c>
    </row>
    <row r="1042" spans="1:12" x14ac:dyDescent="0.3">
      <c r="A1042" s="2" t="str">
        <f xml:space="preserve"> IF( 'From SvanPC++'!A1042= "", "", ('From SvanPC++'!A1042))</f>
        <v/>
      </c>
      <c r="C1042" s="6" t="s">
        <v>10</v>
      </c>
      <c r="G1042" s="38" t="str">
        <f t="shared" si="80"/>
        <v/>
      </c>
      <c r="H1042" s="141" t="str">
        <f t="shared" si="81"/>
        <v/>
      </c>
      <c r="J1042" s="141" t="str">
        <f t="shared" si="82"/>
        <v/>
      </c>
      <c r="K1042" s="141" t="str">
        <f t="shared" si="83"/>
        <v/>
      </c>
      <c r="L1042" s="141" t="str">
        <f t="shared" si="84"/>
        <v/>
      </c>
    </row>
    <row r="1043" spans="1:12" x14ac:dyDescent="0.3">
      <c r="A1043" s="2" t="str">
        <f xml:space="preserve"> IF( 'From SvanPC++'!A1043= "", "", ('From SvanPC++'!A1043))</f>
        <v/>
      </c>
      <c r="C1043" s="6" t="s">
        <v>10</v>
      </c>
      <c r="G1043" s="38" t="str">
        <f t="shared" si="80"/>
        <v/>
      </c>
      <c r="H1043" s="141" t="str">
        <f t="shared" si="81"/>
        <v/>
      </c>
      <c r="J1043" s="141" t="str">
        <f t="shared" si="82"/>
        <v/>
      </c>
      <c r="K1043" s="141" t="str">
        <f t="shared" si="83"/>
        <v/>
      </c>
      <c r="L1043" s="141" t="str">
        <f t="shared" si="84"/>
        <v/>
      </c>
    </row>
    <row r="1044" spans="1:12" x14ac:dyDescent="0.3">
      <c r="A1044" s="2" t="str">
        <f xml:space="preserve"> IF( 'From SvanPC++'!A1044= "", "", ('From SvanPC++'!A1044))</f>
        <v/>
      </c>
      <c r="C1044" s="6" t="s">
        <v>10</v>
      </c>
      <c r="G1044" s="38" t="str">
        <f t="shared" si="80"/>
        <v/>
      </c>
      <c r="H1044" s="141" t="str">
        <f t="shared" si="81"/>
        <v/>
      </c>
      <c r="J1044" s="141" t="str">
        <f t="shared" si="82"/>
        <v/>
      </c>
      <c r="K1044" s="141" t="str">
        <f t="shared" si="83"/>
        <v/>
      </c>
      <c r="L1044" s="141" t="str">
        <f t="shared" si="84"/>
        <v/>
      </c>
    </row>
    <row r="1045" spans="1:12" x14ac:dyDescent="0.3">
      <c r="A1045" s="2" t="str">
        <f xml:space="preserve"> IF( 'From SvanPC++'!A1045= "", "", ('From SvanPC++'!A1045))</f>
        <v/>
      </c>
      <c r="C1045" s="6" t="s">
        <v>10</v>
      </c>
      <c r="G1045" s="38" t="str">
        <f t="shared" si="80"/>
        <v/>
      </c>
      <c r="H1045" s="141" t="str">
        <f t="shared" si="81"/>
        <v/>
      </c>
      <c r="J1045" s="141" t="str">
        <f t="shared" si="82"/>
        <v/>
      </c>
      <c r="K1045" s="141" t="str">
        <f t="shared" si="83"/>
        <v/>
      </c>
      <c r="L1045" s="141" t="str">
        <f t="shared" si="84"/>
        <v/>
      </c>
    </row>
    <row r="1046" spans="1:12" x14ac:dyDescent="0.3">
      <c r="A1046" s="2" t="str">
        <f xml:space="preserve"> IF( 'From SvanPC++'!A1046= "", "", ('From SvanPC++'!A1046))</f>
        <v/>
      </c>
      <c r="C1046" s="6" t="s">
        <v>10</v>
      </c>
      <c r="G1046" s="38" t="str">
        <f t="shared" si="80"/>
        <v/>
      </c>
      <c r="H1046" s="141" t="str">
        <f t="shared" si="81"/>
        <v/>
      </c>
      <c r="J1046" s="141" t="str">
        <f t="shared" si="82"/>
        <v/>
      </c>
      <c r="K1046" s="141" t="str">
        <f t="shared" si="83"/>
        <v/>
      </c>
      <c r="L1046" s="141" t="str">
        <f t="shared" si="84"/>
        <v/>
      </c>
    </row>
    <row r="1047" spans="1:12" x14ac:dyDescent="0.3">
      <c r="A1047" s="2" t="str">
        <f xml:space="preserve"> IF( 'From SvanPC++'!A1047= "", "", ('From SvanPC++'!A1047))</f>
        <v/>
      </c>
      <c r="C1047" s="6" t="s">
        <v>10</v>
      </c>
      <c r="G1047" s="38" t="str">
        <f t="shared" si="80"/>
        <v/>
      </c>
      <c r="H1047" s="141" t="str">
        <f t="shared" si="81"/>
        <v/>
      </c>
      <c r="J1047" s="141" t="str">
        <f t="shared" si="82"/>
        <v/>
      </c>
      <c r="K1047" s="141" t="str">
        <f t="shared" si="83"/>
        <v/>
      </c>
      <c r="L1047" s="141" t="str">
        <f t="shared" si="84"/>
        <v/>
      </c>
    </row>
    <row r="1048" spans="1:12" x14ac:dyDescent="0.3">
      <c r="A1048" s="2" t="str">
        <f xml:space="preserve"> IF( 'From SvanPC++'!A1048= "", "", ('From SvanPC++'!A1048))</f>
        <v/>
      </c>
      <c r="C1048" s="6" t="s">
        <v>10</v>
      </c>
      <c r="G1048" s="38" t="str">
        <f t="shared" si="80"/>
        <v/>
      </c>
      <c r="H1048" s="141" t="str">
        <f t="shared" si="81"/>
        <v/>
      </c>
      <c r="J1048" s="141" t="str">
        <f t="shared" si="82"/>
        <v/>
      </c>
      <c r="K1048" s="141" t="str">
        <f t="shared" si="83"/>
        <v/>
      </c>
      <c r="L1048" s="141" t="str">
        <f t="shared" si="84"/>
        <v/>
      </c>
    </row>
    <row r="1049" spans="1:12" x14ac:dyDescent="0.3">
      <c r="A1049" s="2" t="str">
        <f xml:space="preserve"> IF( 'From SvanPC++'!A1049= "", "", ('From SvanPC++'!A1049))</f>
        <v/>
      </c>
      <c r="C1049" s="6" t="s">
        <v>10</v>
      </c>
      <c r="G1049" s="38" t="str">
        <f t="shared" si="80"/>
        <v/>
      </c>
      <c r="H1049" s="141" t="str">
        <f t="shared" si="81"/>
        <v/>
      </c>
      <c r="J1049" s="141" t="str">
        <f t="shared" si="82"/>
        <v/>
      </c>
      <c r="K1049" s="141" t="str">
        <f t="shared" si="83"/>
        <v/>
      </c>
      <c r="L1049" s="141" t="str">
        <f t="shared" si="84"/>
        <v/>
      </c>
    </row>
    <row r="1050" spans="1:12" x14ac:dyDescent="0.3">
      <c r="A1050" s="2" t="str">
        <f xml:space="preserve"> IF( 'From SvanPC++'!A1050= "", "", ('From SvanPC++'!A1050))</f>
        <v/>
      </c>
      <c r="C1050" s="6" t="s">
        <v>10</v>
      </c>
      <c r="G1050" s="38" t="str">
        <f t="shared" si="80"/>
        <v/>
      </c>
      <c r="H1050" s="141" t="str">
        <f t="shared" si="81"/>
        <v/>
      </c>
      <c r="J1050" s="141" t="str">
        <f t="shared" si="82"/>
        <v/>
      </c>
      <c r="K1050" s="141" t="str">
        <f t="shared" si="83"/>
        <v/>
      </c>
      <c r="L1050" s="141" t="str">
        <f t="shared" si="84"/>
        <v/>
      </c>
    </row>
    <row r="1051" spans="1:12" x14ac:dyDescent="0.3">
      <c r="A1051" s="2" t="str">
        <f xml:space="preserve"> IF( 'From SvanPC++'!A1051= "", "", ('From SvanPC++'!A1051))</f>
        <v/>
      </c>
      <c r="C1051" s="6" t="s">
        <v>10</v>
      </c>
      <c r="G1051" s="38" t="str">
        <f t="shared" si="80"/>
        <v/>
      </c>
      <c r="H1051" s="141" t="str">
        <f t="shared" si="81"/>
        <v/>
      </c>
      <c r="J1051" s="141" t="str">
        <f t="shared" si="82"/>
        <v/>
      </c>
      <c r="K1051" s="141" t="str">
        <f t="shared" si="83"/>
        <v/>
      </c>
      <c r="L1051" s="141" t="str">
        <f t="shared" si="84"/>
        <v/>
      </c>
    </row>
    <row r="1052" spans="1:12" x14ac:dyDescent="0.3">
      <c r="A1052" s="2" t="str">
        <f xml:space="preserve"> IF( 'From SvanPC++'!A1052= "", "", ('From SvanPC++'!A1052))</f>
        <v/>
      </c>
      <c r="C1052" s="6" t="s">
        <v>10</v>
      </c>
      <c r="G1052" s="38" t="str">
        <f t="shared" si="80"/>
        <v/>
      </c>
      <c r="H1052" s="141" t="str">
        <f t="shared" si="81"/>
        <v/>
      </c>
      <c r="J1052" s="141" t="str">
        <f t="shared" si="82"/>
        <v/>
      </c>
      <c r="K1052" s="141" t="str">
        <f t="shared" si="83"/>
        <v/>
      </c>
      <c r="L1052" s="141" t="str">
        <f t="shared" si="84"/>
        <v/>
      </c>
    </row>
    <row r="1053" spans="1:12" x14ac:dyDescent="0.3">
      <c r="A1053" s="2" t="str">
        <f xml:space="preserve"> IF( 'From SvanPC++'!A1053= "", "", ('From SvanPC++'!A1053))</f>
        <v/>
      </c>
      <c r="C1053" s="6" t="s">
        <v>10</v>
      </c>
      <c r="G1053" s="38" t="str">
        <f t="shared" si="80"/>
        <v/>
      </c>
      <c r="H1053" s="141" t="str">
        <f t="shared" si="81"/>
        <v/>
      </c>
      <c r="J1053" s="141" t="str">
        <f t="shared" si="82"/>
        <v/>
      </c>
      <c r="K1053" s="141" t="str">
        <f t="shared" si="83"/>
        <v/>
      </c>
      <c r="L1053" s="141" t="str">
        <f t="shared" si="84"/>
        <v/>
      </c>
    </row>
    <row r="1054" spans="1:12" x14ac:dyDescent="0.3">
      <c r="A1054" s="2" t="str">
        <f xml:space="preserve"> IF( 'From SvanPC++'!A1054= "", "", ('From SvanPC++'!A1054))</f>
        <v/>
      </c>
      <c r="C1054" s="6" t="s">
        <v>10</v>
      </c>
      <c r="G1054" s="38" t="str">
        <f t="shared" si="80"/>
        <v/>
      </c>
      <c r="H1054" s="141" t="str">
        <f t="shared" si="81"/>
        <v/>
      </c>
      <c r="J1054" s="141" t="str">
        <f t="shared" si="82"/>
        <v/>
      </c>
      <c r="K1054" s="141" t="str">
        <f t="shared" si="83"/>
        <v/>
      </c>
      <c r="L1054" s="141" t="str">
        <f t="shared" si="84"/>
        <v/>
      </c>
    </row>
    <row r="1055" spans="1:12" x14ac:dyDescent="0.3">
      <c r="A1055" s="2" t="str">
        <f xml:space="preserve"> IF( 'From SvanPC++'!A1055= "", "", ('From SvanPC++'!A1055))</f>
        <v/>
      </c>
      <c r="C1055" s="6" t="s">
        <v>10</v>
      </c>
      <c r="G1055" s="38" t="str">
        <f t="shared" si="80"/>
        <v/>
      </c>
      <c r="H1055" s="141" t="str">
        <f t="shared" si="81"/>
        <v/>
      </c>
      <c r="J1055" s="141" t="str">
        <f t="shared" si="82"/>
        <v/>
      </c>
      <c r="K1055" s="141" t="str">
        <f t="shared" si="83"/>
        <v/>
      </c>
      <c r="L1055" s="141" t="str">
        <f t="shared" si="84"/>
        <v/>
      </c>
    </row>
    <row r="1056" spans="1:12" x14ac:dyDescent="0.3">
      <c r="A1056" s="2" t="str">
        <f xml:space="preserve"> IF( 'From SvanPC++'!A1056= "", "", ('From SvanPC++'!A1056))</f>
        <v/>
      </c>
      <c r="C1056" s="6" t="s">
        <v>10</v>
      </c>
      <c r="G1056" s="38" t="str">
        <f t="shared" si="80"/>
        <v/>
      </c>
      <c r="H1056" s="141" t="str">
        <f t="shared" si="81"/>
        <v/>
      </c>
      <c r="J1056" s="141" t="str">
        <f t="shared" si="82"/>
        <v/>
      </c>
      <c r="K1056" s="141" t="str">
        <f t="shared" si="83"/>
        <v/>
      </c>
      <c r="L1056" s="141" t="str">
        <f t="shared" si="84"/>
        <v/>
      </c>
    </row>
    <row r="1057" spans="1:12" x14ac:dyDescent="0.3">
      <c r="A1057" s="2" t="str">
        <f xml:space="preserve"> IF( 'From SvanPC++'!A1057= "", "", ('From SvanPC++'!A1057))</f>
        <v/>
      </c>
      <c r="C1057" s="6" t="s">
        <v>10</v>
      </c>
      <c r="G1057" s="38" t="str">
        <f t="shared" si="80"/>
        <v/>
      </c>
      <c r="H1057" s="141" t="str">
        <f t="shared" si="81"/>
        <v/>
      </c>
      <c r="J1057" s="141" t="str">
        <f t="shared" si="82"/>
        <v/>
      </c>
      <c r="K1057" s="141" t="str">
        <f t="shared" si="83"/>
        <v/>
      </c>
      <c r="L1057" s="141" t="str">
        <f t="shared" si="84"/>
        <v/>
      </c>
    </row>
    <row r="1058" spans="1:12" x14ac:dyDescent="0.3">
      <c r="A1058" s="2" t="str">
        <f xml:space="preserve"> IF( 'From SvanPC++'!A1058= "", "", ('From SvanPC++'!A1058))</f>
        <v/>
      </c>
      <c r="C1058" s="6" t="s">
        <v>10</v>
      </c>
      <c r="G1058" s="38" t="str">
        <f t="shared" si="80"/>
        <v/>
      </c>
      <c r="H1058" s="141" t="str">
        <f t="shared" si="81"/>
        <v/>
      </c>
      <c r="J1058" s="141" t="str">
        <f t="shared" si="82"/>
        <v/>
      </c>
      <c r="K1058" s="141" t="str">
        <f t="shared" si="83"/>
        <v/>
      </c>
      <c r="L1058" s="141" t="str">
        <f t="shared" si="84"/>
        <v/>
      </c>
    </row>
    <row r="1059" spans="1:12" x14ac:dyDescent="0.3">
      <c r="A1059" s="2" t="str">
        <f xml:space="preserve"> IF( 'From SvanPC++'!A1059= "", "", ('From SvanPC++'!A1059))</f>
        <v/>
      </c>
      <c r="C1059" s="6" t="s">
        <v>10</v>
      </c>
      <c r="G1059" s="38" t="str">
        <f t="shared" si="80"/>
        <v/>
      </c>
      <c r="H1059" s="141" t="str">
        <f t="shared" si="81"/>
        <v/>
      </c>
      <c r="J1059" s="141" t="str">
        <f t="shared" si="82"/>
        <v/>
      </c>
      <c r="K1059" s="141" t="str">
        <f t="shared" si="83"/>
        <v/>
      </c>
      <c r="L1059" s="141" t="str">
        <f t="shared" si="84"/>
        <v/>
      </c>
    </row>
    <row r="1060" spans="1:12" x14ac:dyDescent="0.3">
      <c r="A1060" s="2" t="str">
        <f xml:space="preserve"> IF( 'From SvanPC++'!A1060= "", "", ('From SvanPC++'!A1060))</f>
        <v/>
      </c>
      <c r="C1060" s="6" t="s">
        <v>10</v>
      </c>
      <c r="G1060" s="38" t="str">
        <f t="shared" si="80"/>
        <v/>
      </c>
      <c r="H1060" s="141" t="str">
        <f t="shared" si="81"/>
        <v/>
      </c>
      <c r="J1060" s="141" t="str">
        <f t="shared" si="82"/>
        <v/>
      </c>
      <c r="K1060" s="141" t="str">
        <f t="shared" si="83"/>
        <v/>
      </c>
      <c r="L1060" s="141" t="str">
        <f t="shared" si="84"/>
        <v/>
      </c>
    </row>
    <row r="1061" spans="1:12" x14ac:dyDescent="0.3">
      <c r="A1061" s="2" t="str">
        <f xml:space="preserve"> IF( 'From SvanPC++'!A1061= "", "", ('From SvanPC++'!A1061))</f>
        <v/>
      </c>
      <c r="C1061" s="6" t="s">
        <v>10</v>
      </c>
      <c r="G1061" s="38" t="str">
        <f t="shared" si="80"/>
        <v/>
      </c>
      <c r="H1061" s="141" t="str">
        <f t="shared" si="81"/>
        <v/>
      </c>
      <c r="J1061" s="141" t="str">
        <f t="shared" si="82"/>
        <v/>
      </c>
      <c r="K1061" s="141" t="str">
        <f t="shared" si="83"/>
        <v/>
      </c>
      <c r="L1061" s="141" t="str">
        <f t="shared" si="84"/>
        <v/>
      </c>
    </row>
    <row r="1062" spans="1:12" x14ac:dyDescent="0.3">
      <c r="A1062" s="2" t="str">
        <f xml:space="preserve"> IF( 'From SvanPC++'!A1062= "", "", ('From SvanPC++'!A1062))</f>
        <v/>
      </c>
      <c r="C1062" s="6" t="s">
        <v>10</v>
      </c>
      <c r="G1062" s="38" t="str">
        <f t="shared" si="80"/>
        <v/>
      </c>
      <c r="H1062" s="141" t="str">
        <f t="shared" si="81"/>
        <v/>
      </c>
      <c r="J1062" s="141" t="str">
        <f t="shared" si="82"/>
        <v/>
      </c>
      <c r="K1062" s="141" t="str">
        <f t="shared" si="83"/>
        <v/>
      </c>
      <c r="L1062" s="141" t="str">
        <f t="shared" si="84"/>
        <v/>
      </c>
    </row>
    <row r="1063" spans="1:12" x14ac:dyDescent="0.3">
      <c r="A1063" s="2" t="str">
        <f xml:space="preserve"> IF( 'From SvanPC++'!A1063= "", "", ('From SvanPC++'!A1063))</f>
        <v/>
      </c>
      <c r="C1063" s="6" t="s">
        <v>10</v>
      </c>
      <c r="G1063" s="38" t="str">
        <f t="shared" si="80"/>
        <v/>
      </c>
      <c r="H1063" s="141" t="str">
        <f t="shared" si="81"/>
        <v/>
      </c>
      <c r="J1063" s="141" t="str">
        <f t="shared" si="82"/>
        <v/>
      </c>
      <c r="K1063" s="141" t="str">
        <f t="shared" si="83"/>
        <v/>
      </c>
      <c r="L1063" s="141" t="str">
        <f t="shared" si="84"/>
        <v/>
      </c>
    </row>
    <row r="1064" spans="1:12" x14ac:dyDescent="0.3">
      <c r="A1064" s="2" t="str">
        <f xml:space="preserve"> IF( 'From SvanPC++'!A1064= "", "", ('From SvanPC++'!A1064))</f>
        <v/>
      </c>
      <c r="C1064" s="6" t="s">
        <v>10</v>
      </c>
      <c r="G1064" s="38" t="str">
        <f t="shared" si="80"/>
        <v/>
      </c>
      <c r="H1064" s="141" t="str">
        <f t="shared" si="81"/>
        <v/>
      </c>
      <c r="J1064" s="141" t="str">
        <f t="shared" si="82"/>
        <v/>
      </c>
      <c r="K1064" s="141" t="str">
        <f t="shared" si="83"/>
        <v/>
      </c>
      <c r="L1064" s="141" t="str">
        <f t="shared" si="84"/>
        <v/>
      </c>
    </row>
    <row r="1065" spans="1:12" x14ac:dyDescent="0.3">
      <c r="A1065" s="2" t="str">
        <f xml:space="preserve"> IF( 'From SvanPC++'!A1065= "", "", ('From SvanPC++'!A1065))</f>
        <v/>
      </c>
      <c r="C1065" s="6" t="s">
        <v>10</v>
      </c>
      <c r="G1065" s="38" t="str">
        <f t="shared" si="80"/>
        <v/>
      </c>
      <c r="H1065" s="141" t="str">
        <f t="shared" si="81"/>
        <v/>
      </c>
      <c r="J1065" s="141" t="str">
        <f t="shared" si="82"/>
        <v/>
      </c>
      <c r="K1065" s="141" t="str">
        <f t="shared" si="83"/>
        <v/>
      </c>
      <c r="L1065" s="141" t="str">
        <f t="shared" si="84"/>
        <v/>
      </c>
    </row>
    <row r="1066" spans="1:12" x14ac:dyDescent="0.3">
      <c r="A1066" s="2" t="str">
        <f xml:space="preserve"> IF( 'From SvanPC++'!A1066= "", "", ('From SvanPC++'!A1066))</f>
        <v/>
      </c>
      <c r="C1066" s="6" t="s">
        <v>10</v>
      </c>
      <c r="G1066" s="38" t="str">
        <f t="shared" si="80"/>
        <v/>
      </c>
      <c r="H1066" s="141" t="str">
        <f t="shared" si="81"/>
        <v/>
      </c>
      <c r="J1066" s="141" t="str">
        <f t="shared" si="82"/>
        <v/>
      </c>
      <c r="K1066" s="141" t="str">
        <f t="shared" si="83"/>
        <v/>
      </c>
      <c r="L1066" s="141" t="str">
        <f t="shared" si="84"/>
        <v/>
      </c>
    </row>
    <row r="1067" spans="1:12" x14ac:dyDescent="0.3">
      <c r="A1067" s="2" t="str">
        <f xml:space="preserve"> IF( 'From SvanPC++'!A1067= "", "", ('From SvanPC++'!A1067))</f>
        <v/>
      </c>
      <c r="C1067" s="6" t="s">
        <v>10</v>
      </c>
      <c r="G1067" s="38" t="str">
        <f t="shared" si="80"/>
        <v/>
      </c>
      <c r="H1067" s="141" t="str">
        <f t="shared" si="81"/>
        <v/>
      </c>
      <c r="J1067" s="141" t="str">
        <f t="shared" si="82"/>
        <v/>
      </c>
      <c r="K1067" s="141" t="str">
        <f t="shared" si="83"/>
        <v/>
      </c>
      <c r="L1067" s="141" t="str">
        <f t="shared" si="84"/>
        <v/>
      </c>
    </row>
    <row r="1068" spans="1:12" x14ac:dyDescent="0.3">
      <c r="A1068" s="2" t="str">
        <f xml:space="preserve"> IF( 'From SvanPC++'!A1068= "", "", ('From SvanPC++'!A1068))</f>
        <v/>
      </c>
      <c r="C1068" s="6" t="s">
        <v>10</v>
      </c>
      <c r="G1068" s="38" t="str">
        <f t="shared" si="80"/>
        <v/>
      </c>
      <c r="H1068" s="141" t="str">
        <f t="shared" si="81"/>
        <v/>
      </c>
      <c r="J1068" s="141" t="str">
        <f t="shared" si="82"/>
        <v/>
      </c>
      <c r="K1068" s="141" t="str">
        <f t="shared" si="83"/>
        <v/>
      </c>
      <c r="L1068" s="141" t="str">
        <f t="shared" si="84"/>
        <v/>
      </c>
    </row>
    <row r="1069" spans="1:12" x14ac:dyDescent="0.3">
      <c r="A1069" s="2" t="str">
        <f xml:space="preserve"> IF( 'From SvanPC++'!A1069= "", "", ('From SvanPC++'!A1069))</f>
        <v/>
      </c>
      <c r="C1069" s="6" t="s">
        <v>10</v>
      </c>
      <c r="G1069" s="38" t="str">
        <f t="shared" si="80"/>
        <v/>
      </c>
      <c r="H1069" s="141" t="str">
        <f t="shared" si="81"/>
        <v/>
      </c>
      <c r="J1069" s="141" t="str">
        <f t="shared" si="82"/>
        <v/>
      </c>
      <c r="K1069" s="141" t="str">
        <f t="shared" si="83"/>
        <v/>
      </c>
      <c r="L1069" s="141" t="str">
        <f t="shared" si="84"/>
        <v/>
      </c>
    </row>
    <row r="1070" spans="1:12" x14ac:dyDescent="0.3">
      <c r="A1070" s="2" t="str">
        <f xml:space="preserve"> IF( 'From SvanPC++'!A1070= "", "", ('From SvanPC++'!A1070))</f>
        <v/>
      </c>
      <c r="C1070" s="6" t="s">
        <v>10</v>
      </c>
      <c r="G1070" s="38" t="str">
        <f t="shared" si="80"/>
        <v/>
      </c>
      <c r="H1070" s="141" t="str">
        <f t="shared" si="81"/>
        <v/>
      </c>
      <c r="J1070" s="141" t="str">
        <f t="shared" si="82"/>
        <v/>
      </c>
      <c r="K1070" s="141" t="str">
        <f t="shared" si="83"/>
        <v/>
      </c>
      <c r="L1070" s="141" t="str">
        <f t="shared" si="84"/>
        <v/>
      </c>
    </row>
    <row r="1071" spans="1:12" x14ac:dyDescent="0.3">
      <c r="A1071" s="2" t="str">
        <f xml:space="preserve"> IF( 'From SvanPC++'!A1071= "", "", ('From SvanPC++'!A1071))</f>
        <v/>
      </c>
      <c r="C1071" s="6" t="s">
        <v>10</v>
      </c>
      <c r="G1071" s="38" t="str">
        <f t="shared" si="80"/>
        <v/>
      </c>
      <c r="H1071" s="141" t="str">
        <f t="shared" si="81"/>
        <v/>
      </c>
      <c r="J1071" s="141" t="str">
        <f t="shared" si="82"/>
        <v/>
      </c>
      <c r="K1071" s="141" t="str">
        <f t="shared" si="83"/>
        <v/>
      </c>
      <c r="L1071" s="141" t="str">
        <f t="shared" si="84"/>
        <v/>
      </c>
    </row>
    <row r="1072" spans="1:12" x14ac:dyDescent="0.3">
      <c r="A1072" s="2" t="str">
        <f xml:space="preserve"> IF( 'From SvanPC++'!A1072= "", "", ('From SvanPC++'!A1072))</f>
        <v/>
      </c>
      <c r="C1072" s="6" t="s">
        <v>10</v>
      </c>
      <c r="G1072" s="38" t="str">
        <f t="shared" si="80"/>
        <v/>
      </c>
      <c r="H1072" s="141" t="str">
        <f t="shared" si="81"/>
        <v/>
      </c>
      <c r="J1072" s="141" t="str">
        <f t="shared" si="82"/>
        <v/>
      </c>
      <c r="K1072" s="141" t="str">
        <f t="shared" si="83"/>
        <v/>
      </c>
      <c r="L1072" s="141" t="str">
        <f t="shared" si="84"/>
        <v/>
      </c>
    </row>
    <row r="1073" spans="1:12" x14ac:dyDescent="0.3">
      <c r="A1073" s="2" t="str">
        <f xml:space="preserve"> IF( 'From SvanPC++'!A1073= "", "", ('From SvanPC++'!A1073))</f>
        <v/>
      </c>
      <c r="C1073" s="6" t="s">
        <v>10</v>
      </c>
      <c r="G1073" s="38" t="str">
        <f t="shared" si="80"/>
        <v/>
      </c>
      <c r="H1073" s="141" t="str">
        <f t="shared" si="81"/>
        <v/>
      </c>
      <c r="J1073" s="141" t="str">
        <f t="shared" si="82"/>
        <v/>
      </c>
      <c r="K1073" s="141" t="str">
        <f t="shared" si="83"/>
        <v/>
      </c>
      <c r="L1073" s="141" t="str">
        <f t="shared" si="84"/>
        <v/>
      </c>
    </row>
    <row r="1074" spans="1:12" x14ac:dyDescent="0.3">
      <c r="A1074" s="2" t="str">
        <f xml:space="preserve"> IF( 'From SvanPC++'!A1074= "", "", ('From SvanPC++'!A1074))</f>
        <v/>
      </c>
      <c r="C1074" s="6" t="s">
        <v>10</v>
      </c>
      <c r="G1074" s="38" t="str">
        <f t="shared" si="80"/>
        <v/>
      </c>
      <c r="H1074" s="141" t="str">
        <f t="shared" si="81"/>
        <v/>
      </c>
      <c r="J1074" s="141" t="str">
        <f t="shared" si="82"/>
        <v/>
      </c>
      <c r="K1074" s="141" t="str">
        <f t="shared" si="83"/>
        <v/>
      </c>
      <c r="L1074" s="141" t="str">
        <f t="shared" si="84"/>
        <v/>
      </c>
    </row>
    <row r="1075" spans="1:12" x14ac:dyDescent="0.3">
      <c r="A1075" s="2" t="str">
        <f xml:space="preserve"> IF( 'From SvanPC++'!A1075= "", "", ('From SvanPC++'!A1075))</f>
        <v/>
      </c>
      <c r="C1075" s="6" t="s">
        <v>10</v>
      </c>
      <c r="G1075" s="38" t="str">
        <f t="shared" si="80"/>
        <v/>
      </c>
      <c r="H1075" s="141" t="str">
        <f t="shared" si="81"/>
        <v/>
      </c>
      <c r="J1075" s="141" t="str">
        <f t="shared" si="82"/>
        <v/>
      </c>
      <c r="K1075" s="141" t="str">
        <f t="shared" si="83"/>
        <v/>
      </c>
      <c r="L1075" s="141" t="str">
        <f t="shared" si="84"/>
        <v/>
      </c>
    </row>
    <row r="1076" spans="1:12" x14ac:dyDescent="0.3">
      <c r="A1076" s="2" t="str">
        <f xml:space="preserve"> IF( 'From SvanPC++'!A1076= "", "", ('From SvanPC++'!A1076))</f>
        <v/>
      </c>
      <c r="C1076" s="6" t="s">
        <v>10</v>
      </c>
      <c r="G1076" s="38" t="str">
        <f t="shared" si="80"/>
        <v/>
      </c>
      <c r="H1076" s="141" t="str">
        <f t="shared" si="81"/>
        <v/>
      </c>
      <c r="J1076" s="141" t="str">
        <f t="shared" si="82"/>
        <v/>
      </c>
      <c r="K1076" s="141" t="str">
        <f t="shared" si="83"/>
        <v/>
      </c>
      <c r="L1076" s="141" t="str">
        <f t="shared" si="84"/>
        <v/>
      </c>
    </row>
    <row r="1077" spans="1:12" x14ac:dyDescent="0.3">
      <c r="A1077" s="2" t="str">
        <f xml:space="preserve"> IF( 'From SvanPC++'!A1077= "", "", ('From SvanPC++'!A1077))</f>
        <v/>
      </c>
      <c r="C1077" s="6" t="s">
        <v>10</v>
      </c>
      <c r="G1077" s="38" t="str">
        <f t="shared" si="80"/>
        <v/>
      </c>
      <c r="H1077" s="141" t="str">
        <f t="shared" si="81"/>
        <v/>
      </c>
      <c r="J1077" s="141" t="str">
        <f t="shared" si="82"/>
        <v/>
      </c>
      <c r="K1077" s="141" t="str">
        <f t="shared" si="83"/>
        <v/>
      </c>
      <c r="L1077" s="141" t="str">
        <f t="shared" si="84"/>
        <v/>
      </c>
    </row>
    <row r="1078" spans="1:12" x14ac:dyDescent="0.3">
      <c r="A1078" s="2" t="str">
        <f xml:space="preserve"> IF( 'From SvanPC++'!A1078= "", "", ('From SvanPC++'!A1078))</f>
        <v/>
      </c>
      <c r="C1078" s="6" t="s">
        <v>10</v>
      </c>
      <c r="G1078" s="38" t="str">
        <f t="shared" si="80"/>
        <v/>
      </c>
      <c r="H1078" s="141" t="str">
        <f t="shared" si="81"/>
        <v/>
      </c>
      <c r="J1078" s="141" t="str">
        <f t="shared" si="82"/>
        <v/>
      </c>
      <c r="K1078" s="141" t="str">
        <f t="shared" si="83"/>
        <v/>
      </c>
      <c r="L1078" s="141" t="str">
        <f t="shared" si="84"/>
        <v/>
      </c>
    </row>
    <row r="1079" spans="1:12" x14ac:dyDescent="0.3">
      <c r="A1079" s="2" t="str">
        <f xml:space="preserve"> IF( 'From SvanPC++'!A1079= "", "", ('From SvanPC++'!A1079))</f>
        <v/>
      </c>
      <c r="C1079" s="6" t="s">
        <v>10</v>
      </c>
      <c r="G1079" s="38" t="str">
        <f t="shared" si="80"/>
        <v/>
      </c>
      <c r="H1079" s="141" t="str">
        <f t="shared" si="81"/>
        <v/>
      </c>
      <c r="J1079" s="141" t="str">
        <f t="shared" si="82"/>
        <v/>
      </c>
      <c r="K1079" s="141" t="str">
        <f t="shared" si="83"/>
        <v/>
      </c>
      <c r="L1079" s="141" t="str">
        <f t="shared" si="84"/>
        <v/>
      </c>
    </row>
    <row r="1080" spans="1:12" x14ac:dyDescent="0.3">
      <c r="A1080" s="2" t="str">
        <f xml:space="preserve"> IF( 'From SvanPC++'!A1080= "", "", ('From SvanPC++'!A1080))</f>
        <v/>
      </c>
      <c r="C1080" s="6" t="s">
        <v>10</v>
      </c>
      <c r="G1080" s="38" t="str">
        <f t="shared" si="80"/>
        <v/>
      </c>
      <c r="H1080" s="141" t="str">
        <f t="shared" si="81"/>
        <v/>
      </c>
      <c r="J1080" s="141" t="str">
        <f t="shared" si="82"/>
        <v/>
      </c>
      <c r="K1080" s="141" t="str">
        <f t="shared" si="83"/>
        <v/>
      </c>
      <c r="L1080" s="141" t="str">
        <f t="shared" si="84"/>
        <v/>
      </c>
    </row>
    <row r="1081" spans="1:12" x14ac:dyDescent="0.3">
      <c r="A1081" s="2" t="str">
        <f xml:space="preserve"> IF( 'From SvanPC++'!A1081= "", "", ('From SvanPC++'!A1081))</f>
        <v/>
      </c>
      <c r="C1081" s="6" t="s">
        <v>10</v>
      </c>
      <c r="G1081" s="38" t="str">
        <f t="shared" si="80"/>
        <v/>
      </c>
      <c r="H1081" s="141" t="str">
        <f t="shared" si="81"/>
        <v/>
      </c>
      <c r="J1081" s="141" t="str">
        <f t="shared" si="82"/>
        <v/>
      </c>
      <c r="K1081" s="141" t="str">
        <f t="shared" si="83"/>
        <v/>
      </c>
      <c r="L1081" s="141" t="str">
        <f t="shared" si="84"/>
        <v/>
      </c>
    </row>
    <row r="1082" spans="1:12" x14ac:dyDescent="0.3">
      <c r="A1082" s="2" t="str">
        <f xml:space="preserve"> IF( 'From SvanPC++'!A1082= "", "", ('From SvanPC++'!A1082))</f>
        <v/>
      </c>
      <c r="C1082" s="6" t="s">
        <v>10</v>
      </c>
      <c r="G1082" s="38" t="str">
        <f t="shared" si="80"/>
        <v/>
      </c>
      <c r="H1082" s="141" t="str">
        <f t="shared" si="81"/>
        <v/>
      </c>
      <c r="J1082" s="141" t="str">
        <f t="shared" si="82"/>
        <v/>
      </c>
      <c r="K1082" s="141" t="str">
        <f t="shared" si="83"/>
        <v/>
      </c>
      <c r="L1082" s="141" t="str">
        <f t="shared" si="84"/>
        <v/>
      </c>
    </row>
    <row r="1083" spans="1:12" x14ac:dyDescent="0.3">
      <c r="A1083" s="2" t="str">
        <f xml:space="preserve"> IF( 'From SvanPC++'!A1083= "", "", ('From SvanPC++'!A1083))</f>
        <v/>
      </c>
      <c r="C1083" s="6" t="s">
        <v>10</v>
      </c>
      <c r="G1083" s="38" t="str">
        <f t="shared" si="80"/>
        <v/>
      </c>
      <c r="H1083" s="141" t="str">
        <f t="shared" si="81"/>
        <v/>
      </c>
      <c r="J1083" s="141" t="str">
        <f t="shared" si="82"/>
        <v/>
      </c>
      <c r="K1083" s="141" t="str">
        <f t="shared" si="83"/>
        <v/>
      </c>
      <c r="L1083" s="141" t="str">
        <f t="shared" si="84"/>
        <v/>
      </c>
    </row>
    <row r="1084" spans="1:12" x14ac:dyDescent="0.3">
      <c r="A1084" s="2" t="str">
        <f xml:space="preserve"> IF( 'From SvanPC++'!A1084= "", "", ('From SvanPC++'!A1084))</f>
        <v/>
      </c>
      <c r="C1084" s="6" t="s">
        <v>10</v>
      </c>
      <c r="G1084" s="38" t="str">
        <f t="shared" si="80"/>
        <v/>
      </c>
      <c r="H1084" s="141" t="str">
        <f t="shared" si="81"/>
        <v/>
      </c>
      <c r="J1084" s="141" t="str">
        <f t="shared" si="82"/>
        <v/>
      </c>
      <c r="K1084" s="141" t="str">
        <f t="shared" si="83"/>
        <v/>
      </c>
      <c r="L1084" s="141" t="str">
        <f t="shared" si="84"/>
        <v/>
      </c>
    </row>
    <row r="1085" spans="1:12" x14ac:dyDescent="0.3">
      <c r="A1085" s="2" t="str">
        <f xml:space="preserve"> IF( 'From SvanPC++'!A1085= "", "", ('From SvanPC++'!A1085))</f>
        <v/>
      </c>
      <c r="C1085" s="6" t="s">
        <v>10</v>
      </c>
      <c r="G1085" s="38" t="str">
        <f t="shared" si="80"/>
        <v/>
      </c>
      <c r="H1085" s="141" t="str">
        <f t="shared" si="81"/>
        <v/>
      </c>
      <c r="J1085" s="141" t="str">
        <f t="shared" si="82"/>
        <v/>
      </c>
      <c r="K1085" s="141" t="str">
        <f t="shared" si="83"/>
        <v/>
      </c>
      <c r="L1085" s="141" t="str">
        <f t="shared" si="84"/>
        <v/>
      </c>
    </row>
    <row r="1086" spans="1:12" x14ac:dyDescent="0.3">
      <c r="A1086" s="2" t="str">
        <f xml:space="preserve"> IF( 'From SvanPC++'!A1086= "", "", ('From SvanPC++'!A1086))</f>
        <v/>
      </c>
      <c r="C1086" s="6" t="s">
        <v>10</v>
      </c>
      <c r="G1086" s="38" t="str">
        <f t="shared" si="80"/>
        <v/>
      </c>
      <c r="H1086" s="141" t="str">
        <f t="shared" si="81"/>
        <v/>
      </c>
      <c r="J1086" s="141" t="str">
        <f t="shared" si="82"/>
        <v/>
      </c>
      <c r="K1086" s="141" t="str">
        <f t="shared" si="83"/>
        <v/>
      </c>
      <c r="L1086" s="141" t="str">
        <f t="shared" si="84"/>
        <v/>
      </c>
    </row>
    <row r="1087" spans="1:12" x14ac:dyDescent="0.3">
      <c r="A1087" s="2" t="str">
        <f xml:space="preserve"> IF( 'From SvanPC++'!A1087= "", "", ('From SvanPC++'!A1087))</f>
        <v/>
      </c>
      <c r="C1087" s="6" t="s">
        <v>10</v>
      </c>
      <c r="G1087" s="38" t="str">
        <f t="shared" si="80"/>
        <v/>
      </c>
      <c r="H1087" s="141" t="str">
        <f t="shared" si="81"/>
        <v/>
      </c>
      <c r="J1087" s="141" t="str">
        <f t="shared" si="82"/>
        <v/>
      </c>
      <c r="K1087" s="141" t="str">
        <f t="shared" si="83"/>
        <v/>
      </c>
      <c r="L1087" s="141" t="str">
        <f t="shared" si="84"/>
        <v/>
      </c>
    </row>
    <row r="1088" spans="1:12" x14ac:dyDescent="0.3">
      <c r="A1088" s="2" t="str">
        <f xml:space="preserve"> IF( 'From SvanPC++'!A1088= "", "", ('From SvanPC++'!A1088))</f>
        <v/>
      </c>
      <c r="C1088" s="6" t="s">
        <v>10</v>
      </c>
      <c r="G1088" s="38" t="str">
        <f t="shared" si="80"/>
        <v/>
      </c>
      <c r="H1088" s="141" t="str">
        <f t="shared" si="81"/>
        <v/>
      </c>
      <c r="J1088" s="141" t="str">
        <f t="shared" si="82"/>
        <v/>
      </c>
      <c r="K1088" s="141" t="str">
        <f t="shared" si="83"/>
        <v/>
      </c>
      <c r="L1088" s="141" t="str">
        <f t="shared" si="84"/>
        <v/>
      </c>
    </row>
    <row r="1089" spans="1:12" x14ac:dyDescent="0.3">
      <c r="A1089" s="2" t="str">
        <f xml:space="preserve"> IF( 'From SvanPC++'!A1089= "", "", ('From SvanPC++'!A1089))</f>
        <v/>
      </c>
      <c r="C1089" s="6" t="s">
        <v>10</v>
      </c>
      <c r="G1089" s="38" t="str">
        <f t="shared" si="80"/>
        <v/>
      </c>
      <c r="H1089" s="141" t="str">
        <f t="shared" si="81"/>
        <v/>
      </c>
      <c r="J1089" s="141" t="str">
        <f t="shared" si="82"/>
        <v/>
      </c>
      <c r="K1089" s="141" t="str">
        <f t="shared" si="83"/>
        <v/>
      </c>
      <c r="L1089" s="141" t="str">
        <f t="shared" si="84"/>
        <v/>
      </c>
    </row>
    <row r="1090" spans="1:12" x14ac:dyDescent="0.3">
      <c r="A1090" s="2" t="str">
        <f xml:space="preserve"> IF( 'From SvanPC++'!A1090= "", "", ('From SvanPC++'!A1090))</f>
        <v/>
      </c>
      <c r="C1090" s="6" t="s">
        <v>10</v>
      </c>
      <c r="G1090" s="38" t="str">
        <f t="shared" si="80"/>
        <v/>
      </c>
      <c r="H1090" s="141" t="str">
        <f t="shared" si="81"/>
        <v/>
      </c>
      <c r="J1090" s="141" t="str">
        <f t="shared" si="82"/>
        <v/>
      </c>
      <c r="K1090" s="141" t="str">
        <f t="shared" si="83"/>
        <v/>
      </c>
      <c r="L1090" s="141" t="str">
        <f t="shared" si="84"/>
        <v/>
      </c>
    </row>
    <row r="1091" spans="1:12" x14ac:dyDescent="0.3">
      <c r="A1091" s="2" t="str">
        <f xml:space="preserve"> IF( 'From SvanPC++'!A1091= "", "", ('From SvanPC++'!A1091))</f>
        <v/>
      </c>
      <c r="C1091" s="6" t="s">
        <v>10</v>
      </c>
      <c r="G1091" s="38" t="str">
        <f t="shared" si="80"/>
        <v/>
      </c>
      <c r="H1091" s="141" t="str">
        <f t="shared" si="81"/>
        <v/>
      </c>
      <c r="J1091" s="141" t="str">
        <f t="shared" si="82"/>
        <v/>
      </c>
      <c r="K1091" s="141" t="str">
        <f t="shared" si="83"/>
        <v/>
      </c>
      <c r="L1091" s="141" t="str">
        <f t="shared" si="84"/>
        <v/>
      </c>
    </row>
    <row r="1092" spans="1:12" x14ac:dyDescent="0.3">
      <c r="A1092" s="2" t="str">
        <f xml:space="preserve"> IF( 'From SvanPC++'!A1092= "", "", ('From SvanPC++'!A1092))</f>
        <v/>
      </c>
      <c r="C1092" s="6" t="s">
        <v>10</v>
      </c>
      <c r="G1092" s="38" t="str">
        <f t="shared" si="80"/>
        <v/>
      </c>
      <c r="H1092" s="141" t="str">
        <f t="shared" si="81"/>
        <v/>
      </c>
      <c r="J1092" s="141" t="str">
        <f t="shared" si="82"/>
        <v/>
      </c>
      <c r="K1092" s="141" t="str">
        <f t="shared" si="83"/>
        <v/>
      </c>
      <c r="L1092" s="141" t="str">
        <f t="shared" si="84"/>
        <v/>
      </c>
    </row>
    <row r="1093" spans="1:12" x14ac:dyDescent="0.3">
      <c r="A1093" s="2" t="str">
        <f xml:space="preserve"> IF( 'From SvanPC++'!A1093= "", "", ('From SvanPC++'!A1093))</f>
        <v/>
      </c>
      <c r="C1093" s="6" t="s">
        <v>10</v>
      </c>
      <c r="G1093" s="38" t="str">
        <f t="shared" si="80"/>
        <v/>
      </c>
      <c r="H1093" s="141" t="str">
        <f t="shared" si="81"/>
        <v/>
      </c>
      <c r="J1093" s="141" t="str">
        <f t="shared" si="82"/>
        <v/>
      </c>
      <c r="K1093" s="141" t="str">
        <f t="shared" si="83"/>
        <v/>
      </c>
      <c r="L1093" s="141" t="str">
        <f t="shared" si="84"/>
        <v/>
      </c>
    </row>
    <row r="1094" spans="1:12" x14ac:dyDescent="0.3">
      <c r="A1094" s="2" t="str">
        <f xml:space="preserve"> IF( 'From SvanPC++'!A1094= "", "", ('From SvanPC++'!A1094))</f>
        <v/>
      </c>
      <c r="C1094" s="6" t="s">
        <v>10</v>
      </c>
      <c r="G1094" s="38" t="str">
        <f t="shared" si="80"/>
        <v/>
      </c>
      <c r="H1094" s="141" t="str">
        <f t="shared" si="81"/>
        <v/>
      </c>
      <c r="J1094" s="141" t="str">
        <f t="shared" si="82"/>
        <v/>
      </c>
      <c r="K1094" s="141" t="str">
        <f t="shared" si="83"/>
        <v/>
      </c>
      <c r="L1094" s="141" t="str">
        <f t="shared" si="84"/>
        <v/>
      </c>
    </row>
    <row r="1095" spans="1:12" x14ac:dyDescent="0.3">
      <c r="A1095" s="2" t="str">
        <f xml:space="preserve"> IF( 'From SvanPC++'!A1095= "", "", ('From SvanPC++'!A1095))</f>
        <v/>
      </c>
      <c r="C1095" s="6" t="s">
        <v>10</v>
      </c>
      <c r="G1095" s="38" t="str">
        <f t="shared" ref="G1095:G1158" si="85" xml:space="preserve"> IF( D1095= "", "", ( IF( AND( D1095 &gt;= TIMEVALUE( "07:00:01" ), D1095 &lt; TIMEVALUE( "08:00:01" ) ) = TRUE, (G1094+1), (G1094+0) )))</f>
        <v/>
      </c>
      <c r="H1095" s="141" t="str">
        <f t="shared" ref="H1095:H1158" si="86" xml:space="preserve"> IF( D1095= "", "", (
IF( AND( D1095 &gt;= TIMEVALUE( "07:00:01" ), D1095 &lt;= TIMEVALUE( "18:00:00" ), WEEKDAY( C1095,1+N("            Weekday Day Period              ")) &gt;=2, ( WEEKDAY( C1095,1) &lt;=6) ) = TRUE, "Day",
IF( AND( D1095 &gt;= TIMEVALUE( "18:00:01" ), D1095 &lt;= TIMEVALUE( "22:00:00" ), WEEKDAY( C1095,1+N("            Weekday Evening Period          ")) &gt;=2, ( WEEKDAY( C1095,1) &lt;=6) ) = TRUE, "Evening",
IF( AND( D1095 &gt;= TIMEVALUE( "22:00:01" ), D1095 &lt;= TIMEVALUE( "23:59:59" ), WEEKDAY( C1095,1+N("            Weekday Night Period            ")) &gt;=2, ( WEEKDAY( C1095,1) &lt;=6) ) = TRUE, "Night",
IF( AND( D1095 &gt;= TIMEVALUE( "00:00:00" ), D1095 &lt;= TIMEVALUE( "07:00:00" ), WEEKDAY( C1095,1+N("            Weekday Night Period            ")) &gt;=2, ( WEEKDAY( C1095,1) &lt;=6) ) = TRUE, "Night",
IF( AND( D1095 &gt;= TIMEVALUE( "07:00:01" ), D1095 &lt;= TIMEVALUE( "18:00:00" ), WEEKDAY( C1095) =(7+N("         Saturday Day Period             ")) ) = TRUE, "Day",
IF( AND( D1095 &gt;= TIMEVALUE( "18:00:01" ), D1095 &lt;= TIMEVALUE( "22:00:00" ), WEEKDAY( C1095) =(7+N("         Saturday Evening Period         ")) ) = TRUE, "Evening",
IF( AND( D1095 &gt;= TIMEVALUE( "22:00:01" ), D1095 &lt;= TIMEVALUE( "23:59:59" ), WEEKDAY( C1095) =(7+N("         Saturday Night Period           ")) ) = TRUE, "Night",
IF( AND( D1095 &gt;= TIMEVALUE( "00:00:00" ), D1095 &lt;= TIMEVALUE( "07:00:00" ), WEEKDAY( C1095) =(7+N("         Saturday Night Period           ")) ) = TRUE, "Night",
IF( AND( D1095 &gt;= TIMEVALUE( "07:00:01" ), D1095 &lt;= TIMEVALUE( "22:00:00" ), WEEKDAY( C1095) =(1+N("         Sunday Evening Period           ")) ) = TRUE, "Evening",
IF( AND( D1095 &gt;= TIMEVALUE( "20:00:01" ), D1095 &lt;= TIMEVALUE( "23:59:59" ), WEEKDAY( C1095) =(1+N("         Sunday Night Period             ")) ) = TRUE, "Night",
IF( AND( D1095 &gt;= TIMEVALUE( "00:00:00" ), D1095 &lt;= TIMEVALUE( "07:00:00" ), WEEKDAY( C1095) =(1+N("         Sunday Night Period             ")) ) = TRUE, "Night",
)))))))))))))</f>
        <v/>
      </c>
      <c r="J1095" s="141" t="str">
        <f t="shared" si="82"/>
        <v/>
      </c>
      <c r="K1095" s="141" t="str">
        <f t="shared" si="83"/>
        <v/>
      </c>
      <c r="L1095" s="141" t="str">
        <f t="shared" si="84"/>
        <v/>
      </c>
    </row>
    <row r="1096" spans="1:12" x14ac:dyDescent="0.3">
      <c r="A1096" s="2" t="str">
        <f xml:space="preserve"> IF( 'From SvanPC++'!A1096= "", "", ('From SvanPC++'!A1096))</f>
        <v/>
      </c>
      <c r="C1096" s="6" t="s">
        <v>10</v>
      </c>
      <c r="G1096" s="38" t="str">
        <f t="shared" si="85"/>
        <v/>
      </c>
      <c r="H1096" s="141" t="str">
        <f t="shared" si="86"/>
        <v/>
      </c>
      <c r="J1096" s="141" t="str">
        <f t="shared" ref="J1096:J1159" si="87" xml:space="preserve"> IF( ISERROR( IF( D1096= "", "", ( IF( G1096= (G1095+1), ( AVERAGEIFS( E1096:E1240, G1096:G1240, G1096, H1096:H1240, "Day" )), "" )))), "",( IF( D1096= "", "", ( IF( G1096= (G1095+1), ( AVERAGEIFS( E1096:E1240, G1096:G1240, G1096, H1096:H1240, "Day" )), "" )))))</f>
        <v/>
      </c>
      <c r="K1096" s="141" t="str">
        <f t="shared" ref="K1096:K1159" si="88" xml:space="preserve"> IF( ISERROR( IF( D1096= "", "", ( IF( G1096= (G1095+1), ( AVERAGEIFS( E1096:E1240, G1096:G1240, G1096, H1096:H1240, "Evening" )), "" )))), "",( IF( D1096= "", "", ( IF( G1096= (G1095+1), ( AVERAGEIFS( E1096:E1240, G1096:G1240, G1096, H1096:H1240, "Evening" )), "" )))))</f>
        <v/>
      </c>
      <c r="L1096" s="141" t="str">
        <f t="shared" ref="L1096:L1159" si="89" xml:space="preserve"> IF( ISERROR( IF( D1096= "", "", ( IF( G1096= (G1095+1), ( AVERAGEIFS( E1096:E1240, G1096:G1240, G1096, H1096:H1240, "Night" )), "" )))), "",( IF( D1096= "", "", ( IF( G1096= (G1095+1), ( AVERAGEIFS( E1096:E1240, G1096:G1240, G1096, H1096:H1240, "Night" )), "" )))))</f>
        <v/>
      </c>
    </row>
    <row r="1097" spans="1:12" x14ac:dyDescent="0.3">
      <c r="A1097" s="2" t="str">
        <f xml:space="preserve"> IF( 'From SvanPC++'!A1097= "", "", ('From SvanPC++'!A1097))</f>
        <v/>
      </c>
      <c r="C1097" s="6" t="s">
        <v>10</v>
      </c>
      <c r="G1097" s="38" t="str">
        <f t="shared" si="85"/>
        <v/>
      </c>
      <c r="H1097" s="141" t="str">
        <f t="shared" si="86"/>
        <v/>
      </c>
      <c r="J1097" s="141" t="str">
        <f t="shared" si="87"/>
        <v/>
      </c>
      <c r="K1097" s="141" t="str">
        <f t="shared" si="88"/>
        <v/>
      </c>
      <c r="L1097" s="141" t="str">
        <f t="shared" si="89"/>
        <v/>
      </c>
    </row>
    <row r="1098" spans="1:12" x14ac:dyDescent="0.3">
      <c r="A1098" s="2" t="str">
        <f xml:space="preserve"> IF( 'From SvanPC++'!A1098= "", "", ('From SvanPC++'!A1098))</f>
        <v/>
      </c>
      <c r="C1098" s="6" t="s">
        <v>10</v>
      </c>
      <c r="G1098" s="38" t="str">
        <f t="shared" si="85"/>
        <v/>
      </c>
      <c r="H1098" s="141" t="str">
        <f t="shared" si="86"/>
        <v/>
      </c>
      <c r="J1098" s="141" t="str">
        <f t="shared" si="87"/>
        <v/>
      </c>
      <c r="K1098" s="141" t="str">
        <f t="shared" si="88"/>
        <v/>
      </c>
      <c r="L1098" s="141" t="str">
        <f t="shared" si="89"/>
        <v/>
      </c>
    </row>
    <row r="1099" spans="1:12" x14ac:dyDescent="0.3">
      <c r="A1099" s="2" t="str">
        <f xml:space="preserve"> IF( 'From SvanPC++'!A1099= "", "", ('From SvanPC++'!A1099))</f>
        <v/>
      </c>
      <c r="C1099" s="6" t="s">
        <v>10</v>
      </c>
      <c r="G1099" s="38" t="str">
        <f t="shared" si="85"/>
        <v/>
      </c>
      <c r="H1099" s="141" t="str">
        <f t="shared" si="86"/>
        <v/>
      </c>
      <c r="J1099" s="141" t="str">
        <f t="shared" si="87"/>
        <v/>
      </c>
      <c r="K1099" s="141" t="str">
        <f t="shared" si="88"/>
        <v/>
      </c>
      <c r="L1099" s="141" t="str">
        <f t="shared" si="89"/>
        <v/>
      </c>
    </row>
    <row r="1100" spans="1:12" x14ac:dyDescent="0.3">
      <c r="A1100" s="2" t="str">
        <f xml:space="preserve"> IF( 'From SvanPC++'!A1100= "", "", ('From SvanPC++'!A1100))</f>
        <v/>
      </c>
      <c r="C1100" s="6" t="s">
        <v>10</v>
      </c>
      <c r="G1100" s="38" t="str">
        <f t="shared" si="85"/>
        <v/>
      </c>
      <c r="H1100" s="141" t="str">
        <f t="shared" si="86"/>
        <v/>
      </c>
      <c r="J1100" s="141" t="str">
        <f t="shared" si="87"/>
        <v/>
      </c>
      <c r="K1100" s="141" t="str">
        <f t="shared" si="88"/>
        <v/>
      </c>
      <c r="L1100" s="141" t="str">
        <f t="shared" si="89"/>
        <v/>
      </c>
    </row>
    <row r="1101" spans="1:12" x14ac:dyDescent="0.3">
      <c r="A1101" s="2" t="str">
        <f xml:space="preserve"> IF( 'From SvanPC++'!A1101= "", "", ('From SvanPC++'!A1101))</f>
        <v/>
      </c>
      <c r="C1101" s="6" t="s">
        <v>10</v>
      </c>
      <c r="G1101" s="38" t="str">
        <f t="shared" si="85"/>
        <v/>
      </c>
      <c r="H1101" s="141" t="str">
        <f t="shared" si="86"/>
        <v/>
      </c>
      <c r="J1101" s="141" t="str">
        <f t="shared" si="87"/>
        <v/>
      </c>
      <c r="K1101" s="141" t="str">
        <f t="shared" si="88"/>
        <v/>
      </c>
      <c r="L1101" s="141" t="str">
        <f t="shared" si="89"/>
        <v/>
      </c>
    </row>
    <row r="1102" spans="1:12" x14ac:dyDescent="0.3">
      <c r="A1102" s="2" t="str">
        <f xml:space="preserve"> IF( 'From SvanPC++'!A1102= "", "", ('From SvanPC++'!A1102))</f>
        <v/>
      </c>
      <c r="C1102" s="6" t="s">
        <v>10</v>
      </c>
      <c r="G1102" s="38" t="str">
        <f t="shared" si="85"/>
        <v/>
      </c>
      <c r="H1102" s="141" t="str">
        <f t="shared" si="86"/>
        <v/>
      </c>
      <c r="J1102" s="141" t="str">
        <f t="shared" si="87"/>
        <v/>
      </c>
      <c r="K1102" s="141" t="str">
        <f t="shared" si="88"/>
        <v/>
      </c>
      <c r="L1102" s="141" t="str">
        <f t="shared" si="89"/>
        <v/>
      </c>
    </row>
    <row r="1103" spans="1:12" x14ac:dyDescent="0.3">
      <c r="A1103" s="2" t="str">
        <f xml:space="preserve"> IF( 'From SvanPC++'!A1103= "", "", ('From SvanPC++'!A1103))</f>
        <v/>
      </c>
      <c r="C1103" s="6" t="s">
        <v>10</v>
      </c>
      <c r="G1103" s="38" t="str">
        <f t="shared" si="85"/>
        <v/>
      </c>
      <c r="H1103" s="141" t="str">
        <f t="shared" si="86"/>
        <v/>
      </c>
      <c r="J1103" s="141" t="str">
        <f t="shared" si="87"/>
        <v/>
      </c>
      <c r="K1103" s="141" t="str">
        <f t="shared" si="88"/>
        <v/>
      </c>
      <c r="L1103" s="141" t="str">
        <f t="shared" si="89"/>
        <v/>
      </c>
    </row>
    <row r="1104" spans="1:12" x14ac:dyDescent="0.3">
      <c r="A1104" s="2" t="str">
        <f xml:space="preserve"> IF( 'From SvanPC++'!A1104= "", "", ('From SvanPC++'!A1104))</f>
        <v/>
      </c>
      <c r="C1104" s="6" t="s">
        <v>10</v>
      </c>
      <c r="G1104" s="38" t="str">
        <f t="shared" si="85"/>
        <v/>
      </c>
      <c r="H1104" s="141" t="str">
        <f t="shared" si="86"/>
        <v/>
      </c>
      <c r="J1104" s="141" t="str">
        <f t="shared" si="87"/>
        <v/>
      </c>
      <c r="K1104" s="141" t="str">
        <f t="shared" si="88"/>
        <v/>
      </c>
      <c r="L1104" s="141" t="str">
        <f t="shared" si="89"/>
        <v/>
      </c>
    </row>
    <row r="1105" spans="1:12" x14ac:dyDescent="0.3">
      <c r="A1105" s="2" t="str">
        <f xml:space="preserve"> IF( 'From SvanPC++'!A1105= "", "", ('From SvanPC++'!A1105))</f>
        <v/>
      </c>
      <c r="C1105" s="6" t="s">
        <v>10</v>
      </c>
      <c r="G1105" s="38" t="str">
        <f t="shared" si="85"/>
        <v/>
      </c>
      <c r="H1105" s="141" t="str">
        <f t="shared" si="86"/>
        <v/>
      </c>
      <c r="J1105" s="141" t="str">
        <f t="shared" si="87"/>
        <v/>
      </c>
      <c r="K1105" s="141" t="str">
        <f t="shared" si="88"/>
        <v/>
      </c>
      <c r="L1105" s="141" t="str">
        <f t="shared" si="89"/>
        <v/>
      </c>
    </row>
    <row r="1106" spans="1:12" x14ac:dyDescent="0.3">
      <c r="A1106" s="2" t="str">
        <f xml:space="preserve"> IF( 'From SvanPC++'!A1106= "", "", ('From SvanPC++'!A1106))</f>
        <v/>
      </c>
      <c r="C1106" s="6" t="s">
        <v>10</v>
      </c>
      <c r="G1106" s="38" t="str">
        <f t="shared" si="85"/>
        <v/>
      </c>
      <c r="H1106" s="141" t="str">
        <f t="shared" si="86"/>
        <v/>
      </c>
      <c r="J1106" s="141" t="str">
        <f t="shared" si="87"/>
        <v/>
      </c>
      <c r="K1106" s="141" t="str">
        <f t="shared" si="88"/>
        <v/>
      </c>
      <c r="L1106" s="141" t="str">
        <f t="shared" si="89"/>
        <v/>
      </c>
    </row>
    <row r="1107" spans="1:12" x14ac:dyDescent="0.3">
      <c r="A1107" s="2" t="str">
        <f xml:space="preserve"> IF( 'From SvanPC++'!A1107= "", "", ('From SvanPC++'!A1107))</f>
        <v/>
      </c>
      <c r="C1107" s="6" t="s">
        <v>10</v>
      </c>
      <c r="G1107" s="38" t="str">
        <f t="shared" si="85"/>
        <v/>
      </c>
      <c r="H1107" s="141" t="str">
        <f t="shared" si="86"/>
        <v/>
      </c>
      <c r="J1107" s="141" t="str">
        <f t="shared" si="87"/>
        <v/>
      </c>
      <c r="K1107" s="141" t="str">
        <f t="shared" si="88"/>
        <v/>
      </c>
      <c r="L1107" s="141" t="str">
        <f t="shared" si="89"/>
        <v/>
      </c>
    </row>
    <row r="1108" spans="1:12" x14ac:dyDescent="0.3">
      <c r="A1108" s="2" t="str">
        <f xml:space="preserve"> IF( 'From SvanPC++'!A1108= "", "", ('From SvanPC++'!A1108))</f>
        <v/>
      </c>
      <c r="C1108" s="6" t="s">
        <v>10</v>
      </c>
      <c r="G1108" s="38" t="str">
        <f t="shared" si="85"/>
        <v/>
      </c>
      <c r="H1108" s="141" t="str">
        <f t="shared" si="86"/>
        <v/>
      </c>
      <c r="J1108" s="141" t="str">
        <f t="shared" si="87"/>
        <v/>
      </c>
      <c r="K1108" s="141" t="str">
        <f t="shared" si="88"/>
        <v/>
      </c>
      <c r="L1108" s="141" t="str">
        <f t="shared" si="89"/>
        <v/>
      </c>
    </row>
    <row r="1109" spans="1:12" x14ac:dyDescent="0.3">
      <c r="A1109" s="2" t="str">
        <f xml:space="preserve"> IF( 'From SvanPC++'!A1109= "", "", ('From SvanPC++'!A1109))</f>
        <v/>
      </c>
      <c r="C1109" s="6" t="s">
        <v>10</v>
      </c>
      <c r="G1109" s="38" t="str">
        <f t="shared" si="85"/>
        <v/>
      </c>
      <c r="H1109" s="141" t="str">
        <f t="shared" si="86"/>
        <v/>
      </c>
      <c r="J1109" s="141" t="str">
        <f t="shared" si="87"/>
        <v/>
      </c>
      <c r="K1109" s="141" t="str">
        <f t="shared" si="88"/>
        <v/>
      </c>
      <c r="L1109" s="141" t="str">
        <f t="shared" si="89"/>
        <v/>
      </c>
    </row>
    <row r="1110" spans="1:12" x14ac:dyDescent="0.3">
      <c r="A1110" s="2" t="str">
        <f xml:space="preserve"> IF( 'From SvanPC++'!A1110= "", "", ('From SvanPC++'!A1110))</f>
        <v/>
      </c>
      <c r="C1110" s="6" t="s">
        <v>10</v>
      </c>
      <c r="G1110" s="38" t="str">
        <f t="shared" si="85"/>
        <v/>
      </c>
      <c r="H1110" s="141" t="str">
        <f t="shared" si="86"/>
        <v/>
      </c>
      <c r="J1110" s="141" t="str">
        <f t="shared" si="87"/>
        <v/>
      </c>
      <c r="K1110" s="141" t="str">
        <f t="shared" si="88"/>
        <v/>
      </c>
      <c r="L1110" s="141" t="str">
        <f t="shared" si="89"/>
        <v/>
      </c>
    </row>
    <row r="1111" spans="1:12" x14ac:dyDescent="0.3">
      <c r="A1111" s="2" t="str">
        <f xml:space="preserve"> IF( 'From SvanPC++'!A1111= "", "", ('From SvanPC++'!A1111))</f>
        <v/>
      </c>
      <c r="C1111" s="6" t="s">
        <v>10</v>
      </c>
      <c r="G1111" s="38" t="str">
        <f t="shared" si="85"/>
        <v/>
      </c>
      <c r="H1111" s="141" t="str">
        <f t="shared" si="86"/>
        <v/>
      </c>
      <c r="J1111" s="141" t="str">
        <f t="shared" si="87"/>
        <v/>
      </c>
      <c r="K1111" s="141" t="str">
        <f t="shared" si="88"/>
        <v/>
      </c>
      <c r="L1111" s="141" t="str">
        <f t="shared" si="89"/>
        <v/>
      </c>
    </row>
    <row r="1112" spans="1:12" x14ac:dyDescent="0.3">
      <c r="A1112" s="2" t="str">
        <f xml:space="preserve"> IF( 'From SvanPC++'!A1112= "", "", ('From SvanPC++'!A1112))</f>
        <v/>
      </c>
      <c r="C1112" s="6" t="s">
        <v>10</v>
      </c>
      <c r="G1112" s="38" t="str">
        <f t="shared" si="85"/>
        <v/>
      </c>
      <c r="H1112" s="141" t="str">
        <f t="shared" si="86"/>
        <v/>
      </c>
      <c r="J1112" s="141" t="str">
        <f t="shared" si="87"/>
        <v/>
      </c>
      <c r="K1112" s="141" t="str">
        <f t="shared" si="88"/>
        <v/>
      </c>
      <c r="L1112" s="141" t="str">
        <f t="shared" si="89"/>
        <v/>
      </c>
    </row>
    <row r="1113" spans="1:12" x14ac:dyDescent="0.3">
      <c r="A1113" s="2" t="str">
        <f xml:space="preserve"> IF( 'From SvanPC++'!A1113= "", "", ('From SvanPC++'!A1113))</f>
        <v/>
      </c>
      <c r="C1113" s="6" t="s">
        <v>10</v>
      </c>
      <c r="G1113" s="38" t="str">
        <f t="shared" si="85"/>
        <v/>
      </c>
      <c r="H1113" s="141" t="str">
        <f t="shared" si="86"/>
        <v/>
      </c>
      <c r="J1113" s="141" t="str">
        <f t="shared" si="87"/>
        <v/>
      </c>
      <c r="K1113" s="141" t="str">
        <f t="shared" si="88"/>
        <v/>
      </c>
      <c r="L1113" s="141" t="str">
        <f t="shared" si="89"/>
        <v/>
      </c>
    </row>
    <row r="1114" spans="1:12" x14ac:dyDescent="0.3">
      <c r="A1114" s="2" t="str">
        <f xml:space="preserve"> IF( 'From SvanPC++'!A1114= "", "", ('From SvanPC++'!A1114))</f>
        <v/>
      </c>
      <c r="C1114" s="6" t="s">
        <v>10</v>
      </c>
      <c r="G1114" s="38" t="str">
        <f t="shared" si="85"/>
        <v/>
      </c>
      <c r="H1114" s="141" t="str">
        <f t="shared" si="86"/>
        <v/>
      </c>
      <c r="J1114" s="141" t="str">
        <f t="shared" si="87"/>
        <v/>
      </c>
      <c r="K1114" s="141" t="str">
        <f t="shared" si="88"/>
        <v/>
      </c>
      <c r="L1114" s="141" t="str">
        <f t="shared" si="89"/>
        <v/>
      </c>
    </row>
    <row r="1115" spans="1:12" x14ac:dyDescent="0.3">
      <c r="A1115" s="2" t="str">
        <f xml:space="preserve"> IF( 'From SvanPC++'!A1115= "", "", ('From SvanPC++'!A1115))</f>
        <v/>
      </c>
      <c r="C1115" s="6" t="s">
        <v>10</v>
      </c>
      <c r="G1115" s="38" t="str">
        <f t="shared" si="85"/>
        <v/>
      </c>
      <c r="H1115" s="141" t="str">
        <f t="shared" si="86"/>
        <v/>
      </c>
      <c r="J1115" s="141" t="str">
        <f t="shared" si="87"/>
        <v/>
      </c>
      <c r="K1115" s="141" t="str">
        <f t="shared" si="88"/>
        <v/>
      </c>
      <c r="L1115" s="141" t="str">
        <f t="shared" si="89"/>
        <v/>
      </c>
    </row>
    <row r="1116" spans="1:12" x14ac:dyDescent="0.3">
      <c r="A1116" s="2" t="str">
        <f xml:space="preserve"> IF( 'From SvanPC++'!A1116= "", "", ('From SvanPC++'!A1116))</f>
        <v/>
      </c>
      <c r="C1116" s="6" t="s">
        <v>10</v>
      </c>
      <c r="G1116" s="38" t="str">
        <f t="shared" si="85"/>
        <v/>
      </c>
      <c r="H1116" s="141" t="str">
        <f t="shared" si="86"/>
        <v/>
      </c>
      <c r="J1116" s="141" t="str">
        <f t="shared" si="87"/>
        <v/>
      </c>
      <c r="K1116" s="141" t="str">
        <f t="shared" si="88"/>
        <v/>
      </c>
      <c r="L1116" s="141" t="str">
        <f t="shared" si="89"/>
        <v/>
      </c>
    </row>
    <row r="1117" spans="1:12" x14ac:dyDescent="0.3">
      <c r="A1117" s="2" t="str">
        <f xml:space="preserve"> IF( 'From SvanPC++'!A1117= "", "", ('From SvanPC++'!A1117))</f>
        <v/>
      </c>
      <c r="C1117" s="6" t="s">
        <v>10</v>
      </c>
      <c r="G1117" s="38" t="str">
        <f t="shared" si="85"/>
        <v/>
      </c>
      <c r="H1117" s="141" t="str">
        <f t="shared" si="86"/>
        <v/>
      </c>
      <c r="J1117" s="141" t="str">
        <f t="shared" si="87"/>
        <v/>
      </c>
      <c r="K1117" s="141" t="str">
        <f t="shared" si="88"/>
        <v/>
      </c>
      <c r="L1117" s="141" t="str">
        <f t="shared" si="89"/>
        <v/>
      </c>
    </row>
    <row r="1118" spans="1:12" x14ac:dyDescent="0.3">
      <c r="A1118" s="2" t="str">
        <f xml:space="preserve"> IF( 'From SvanPC++'!A1118= "", "", ('From SvanPC++'!A1118))</f>
        <v/>
      </c>
      <c r="C1118" s="6" t="s">
        <v>10</v>
      </c>
      <c r="G1118" s="38" t="str">
        <f t="shared" si="85"/>
        <v/>
      </c>
      <c r="H1118" s="141" t="str">
        <f t="shared" si="86"/>
        <v/>
      </c>
      <c r="J1118" s="141" t="str">
        <f t="shared" si="87"/>
        <v/>
      </c>
      <c r="K1118" s="141" t="str">
        <f t="shared" si="88"/>
        <v/>
      </c>
      <c r="L1118" s="141" t="str">
        <f t="shared" si="89"/>
        <v/>
      </c>
    </row>
    <row r="1119" spans="1:12" x14ac:dyDescent="0.3">
      <c r="A1119" s="2" t="str">
        <f xml:space="preserve"> IF( 'From SvanPC++'!A1119= "", "", ('From SvanPC++'!A1119))</f>
        <v/>
      </c>
      <c r="C1119" s="6" t="s">
        <v>10</v>
      </c>
      <c r="G1119" s="38" t="str">
        <f t="shared" si="85"/>
        <v/>
      </c>
      <c r="H1119" s="141" t="str">
        <f t="shared" si="86"/>
        <v/>
      </c>
      <c r="J1119" s="141" t="str">
        <f t="shared" si="87"/>
        <v/>
      </c>
      <c r="K1119" s="141" t="str">
        <f t="shared" si="88"/>
        <v/>
      </c>
      <c r="L1119" s="141" t="str">
        <f t="shared" si="89"/>
        <v/>
      </c>
    </row>
    <row r="1120" spans="1:12" x14ac:dyDescent="0.3">
      <c r="A1120" s="2" t="str">
        <f xml:space="preserve"> IF( 'From SvanPC++'!A1120= "", "", ('From SvanPC++'!A1120))</f>
        <v/>
      </c>
      <c r="C1120" s="6" t="s">
        <v>10</v>
      </c>
      <c r="G1120" s="38" t="str">
        <f t="shared" si="85"/>
        <v/>
      </c>
      <c r="H1120" s="141" t="str">
        <f t="shared" si="86"/>
        <v/>
      </c>
      <c r="J1120" s="141" t="str">
        <f t="shared" si="87"/>
        <v/>
      </c>
      <c r="K1120" s="141" t="str">
        <f t="shared" si="88"/>
        <v/>
      </c>
      <c r="L1120" s="141" t="str">
        <f t="shared" si="89"/>
        <v/>
      </c>
    </row>
    <row r="1121" spans="1:12" x14ac:dyDescent="0.3">
      <c r="A1121" s="2" t="str">
        <f xml:space="preserve"> IF( 'From SvanPC++'!A1121= "", "", ('From SvanPC++'!A1121))</f>
        <v/>
      </c>
      <c r="C1121" s="6" t="s">
        <v>10</v>
      </c>
      <c r="G1121" s="38" t="str">
        <f t="shared" si="85"/>
        <v/>
      </c>
      <c r="H1121" s="141" t="str">
        <f t="shared" si="86"/>
        <v/>
      </c>
      <c r="J1121" s="141" t="str">
        <f t="shared" si="87"/>
        <v/>
      </c>
      <c r="K1121" s="141" t="str">
        <f t="shared" si="88"/>
        <v/>
      </c>
      <c r="L1121" s="141" t="str">
        <f t="shared" si="89"/>
        <v/>
      </c>
    </row>
    <row r="1122" spans="1:12" x14ac:dyDescent="0.3">
      <c r="A1122" s="2" t="str">
        <f xml:space="preserve"> IF( 'From SvanPC++'!A1122= "", "", ('From SvanPC++'!A1122))</f>
        <v/>
      </c>
      <c r="C1122" s="6" t="s">
        <v>10</v>
      </c>
      <c r="G1122" s="38" t="str">
        <f t="shared" si="85"/>
        <v/>
      </c>
      <c r="H1122" s="141" t="str">
        <f t="shared" si="86"/>
        <v/>
      </c>
      <c r="J1122" s="141" t="str">
        <f t="shared" si="87"/>
        <v/>
      </c>
      <c r="K1122" s="141" t="str">
        <f t="shared" si="88"/>
        <v/>
      </c>
      <c r="L1122" s="141" t="str">
        <f t="shared" si="89"/>
        <v/>
      </c>
    </row>
    <row r="1123" spans="1:12" x14ac:dyDescent="0.3">
      <c r="A1123" s="2" t="str">
        <f xml:space="preserve"> IF( 'From SvanPC++'!A1123= "", "", ('From SvanPC++'!A1123))</f>
        <v/>
      </c>
      <c r="C1123" s="6" t="s">
        <v>10</v>
      </c>
      <c r="G1123" s="38" t="str">
        <f t="shared" si="85"/>
        <v/>
      </c>
      <c r="H1123" s="141" t="str">
        <f t="shared" si="86"/>
        <v/>
      </c>
      <c r="J1123" s="141" t="str">
        <f t="shared" si="87"/>
        <v/>
      </c>
      <c r="K1123" s="141" t="str">
        <f t="shared" si="88"/>
        <v/>
      </c>
      <c r="L1123" s="141" t="str">
        <f t="shared" si="89"/>
        <v/>
      </c>
    </row>
    <row r="1124" spans="1:12" x14ac:dyDescent="0.3">
      <c r="A1124" s="2" t="str">
        <f xml:space="preserve"> IF( 'From SvanPC++'!A1124= "", "", ('From SvanPC++'!A1124))</f>
        <v/>
      </c>
      <c r="C1124" s="6" t="s">
        <v>10</v>
      </c>
      <c r="G1124" s="38" t="str">
        <f t="shared" si="85"/>
        <v/>
      </c>
      <c r="H1124" s="141" t="str">
        <f t="shared" si="86"/>
        <v/>
      </c>
      <c r="J1124" s="141" t="str">
        <f t="shared" si="87"/>
        <v/>
      </c>
      <c r="K1124" s="141" t="str">
        <f t="shared" si="88"/>
        <v/>
      </c>
      <c r="L1124" s="141" t="str">
        <f t="shared" si="89"/>
        <v/>
      </c>
    </row>
    <row r="1125" spans="1:12" x14ac:dyDescent="0.3">
      <c r="A1125" s="2" t="str">
        <f xml:space="preserve"> IF( 'From SvanPC++'!A1125= "", "", ('From SvanPC++'!A1125))</f>
        <v/>
      </c>
      <c r="C1125" s="6" t="s">
        <v>10</v>
      </c>
      <c r="G1125" s="38" t="str">
        <f t="shared" si="85"/>
        <v/>
      </c>
      <c r="H1125" s="141" t="str">
        <f t="shared" si="86"/>
        <v/>
      </c>
      <c r="J1125" s="141" t="str">
        <f t="shared" si="87"/>
        <v/>
      </c>
      <c r="K1125" s="141" t="str">
        <f t="shared" si="88"/>
        <v/>
      </c>
      <c r="L1125" s="141" t="str">
        <f t="shared" si="89"/>
        <v/>
      </c>
    </row>
    <row r="1126" spans="1:12" x14ac:dyDescent="0.3">
      <c r="A1126" s="2" t="str">
        <f xml:space="preserve"> IF( 'From SvanPC++'!A1126= "", "", ('From SvanPC++'!A1126))</f>
        <v/>
      </c>
      <c r="C1126" s="6" t="s">
        <v>10</v>
      </c>
      <c r="G1126" s="38" t="str">
        <f t="shared" si="85"/>
        <v/>
      </c>
      <c r="H1126" s="141" t="str">
        <f t="shared" si="86"/>
        <v/>
      </c>
      <c r="J1126" s="141" t="str">
        <f t="shared" si="87"/>
        <v/>
      </c>
      <c r="K1126" s="141" t="str">
        <f t="shared" si="88"/>
        <v/>
      </c>
      <c r="L1126" s="141" t="str">
        <f t="shared" si="89"/>
        <v/>
      </c>
    </row>
    <row r="1127" spans="1:12" x14ac:dyDescent="0.3">
      <c r="A1127" s="2" t="str">
        <f xml:space="preserve"> IF( 'From SvanPC++'!A1127= "", "", ('From SvanPC++'!A1127))</f>
        <v/>
      </c>
      <c r="C1127" s="6" t="s">
        <v>10</v>
      </c>
      <c r="G1127" s="38" t="str">
        <f t="shared" si="85"/>
        <v/>
      </c>
      <c r="H1127" s="141" t="str">
        <f t="shared" si="86"/>
        <v/>
      </c>
      <c r="J1127" s="141" t="str">
        <f t="shared" si="87"/>
        <v/>
      </c>
      <c r="K1127" s="141" t="str">
        <f t="shared" si="88"/>
        <v/>
      </c>
      <c r="L1127" s="141" t="str">
        <f t="shared" si="89"/>
        <v/>
      </c>
    </row>
    <row r="1128" spans="1:12" x14ac:dyDescent="0.3">
      <c r="A1128" s="2" t="str">
        <f xml:space="preserve"> IF( 'From SvanPC++'!A1128= "", "", ('From SvanPC++'!A1128))</f>
        <v/>
      </c>
      <c r="C1128" s="6" t="s">
        <v>10</v>
      </c>
      <c r="G1128" s="38" t="str">
        <f t="shared" si="85"/>
        <v/>
      </c>
      <c r="H1128" s="141" t="str">
        <f t="shared" si="86"/>
        <v/>
      </c>
      <c r="J1128" s="141" t="str">
        <f t="shared" si="87"/>
        <v/>
      </c>
      <c r="K1128" s="141" t="str">
        <f t="shared" si="88"/>
        <v/>
      </c>
      <c r="L1128" s="141" t="str">
        <f t="shared" si="89"/>
        <v/>
      </c>
    </row>
    <row r="1129" spans="1:12" x14ac:dyDescent="0.3">
      <c r="A1129" s="2" t="str">
        <f xml:space="preserve"> IF( 'From SvanPC++'!A1129= "", "", ('From SvanPC++'!A1129))</f>
        <v/>
      </c>
      <c r="C1129" s="6" t="s">
        <v>10</v>
      </c>
      <c r="G1129" s="38" t="str">
        <f t="shared" si="85"/>
        <v/>
      </c>
      <c r="H1129" s="141" t="str">
        <f t="shared" si="86"/>
        <v/>
      </c>
      <c r="J1129" s="141" t="str">
        <f t="shared" si="87"/>
        <v/>
      </c>
      <c r="K1129" s="141" t="str">
        <f t="shared" si="88"/>
        <v/>
      </c>
      <c r="L1129" s="141" t="str">
        <f t="shared" si="89"/>
        <v/>
      </c>
    </row>
    <row r="1130" spans="1:12" x14ac:dyDescent="0.3">
      <c r="A1130" s="2" t="str">
        <f xml:space="preserve"> IF( 'From SvanPC++'!A1130= "", "", ('From SvanPC++'!A1130))</f>
        <v/>
      </c>
      <c r="C1130" s="6" t="s">
        <v>10</v>
      </c>
      <c r="G1130" s="38" t="str">
        <f t="shared" si="85"/>
        <v/>
      </c>
      <c r="H1130" s="141" t="str">
        <f t="shared" si="86"/>
        <v/>
      </c>
      <c r="J1130" s="141" t="str">
        <f t="shared" si="87"/>
        <v/>
      </c>
      <c r="K1130" s="141" t="str">
        <f t="shared" si="88"/>
        <v/>
      </c>
      <c r="L1130" s="141" t="str">
        <f t="shared" si="89"/>
        <v/>
      </c>
    </row>
    <row r="1131" spans="1:12" x14ac:dyDescent="0.3">
      <c r="A1131" s="2" t="str">
        <f xml:space="preserve"> IF( 'From SvanPC++'!A1131= "", "", ('From SvanPC++'!A1131))</f>
        <v/>
      </c>
      <c r="C1131" s="6" t="s">
        <v>10</v>
      </c>
      <c r="G1131" s="38" t="str">
        <f t="shared" si="85"/>
        <v/>
      </c>
      <c r="H1131" s="141" t="str">
        <f t="shared" si="86"/>
        <v/>
      </c>
      <c r="J1131" s="141" t="str">
        <f t="shared" si="87"/>
        <v/>
      </c>
      <c r="K1131" s="141" t="str">
        <f t="shared" si="88"/>
        <v/>
      </c>
      <c r="L1131" s="141" t="str">
        <f t="shared" si="89"/>
        <v/>
      </c>
    </row>
    <row r="1132" spans="1:12" x14ac:dyDescent="0.3">
      <c r="A1132" s="2" t="str">
        <f xml:space="preserve"> IF( 'From SvanPC++'!A1132= "", "", ('From SvanPC++'!A1132))</f>
        <v/>
      </c>
      <c r="C1132" s="6" t="s">
        <v>10</v>
      </c>
      <c r="G1132" s="38" t="str">
        <f t="shared" si="85"/>
        <v/>
      </c>
      <c r="H1132" s="141" t="str">
        <f t="shared" si="86"/>
        <v/>
      </c>
      <c r="J1132" s="141" t="str">
        <f t="shared" si="87"/>
        <v/>
      </c>
      <c r="K1132" s="141" t="str">
        <f t="shared" si="88"/>
        <v/>
      </c>
      <c r="L1132" s="141" t="str">
        <f t="shared" si="89"/>
        <v/>
      </c>
    </row>
    <row r="1133" spans="1:12" x14ac:dyDescent="0.3">
      <c r="A1133" s="2" t="str">
        <f xml:space="preserve"> IF( 'From SvanPC++'!A1133= "", "", ('From SvanPC++'!A1133))</f>
        <v/>
      </c>
      <c r="C1133" s="6" t="s">
        <v>10</v>
      </c>
      <c r="G1133" s="38" t="str">
        <f t="shared" si="85"/>
        <v/>
      </c>
      <c r="H1133" s="141" t="str">
        <f t="shared" si="86"/>
        <v/>
      </c>
      <c r="J1133" s="141" t="str">
        <f t="shared" si="87"/>
        <v/>
      </c>
      <c r="K1133" s="141" t="str">
        <f t="shared" si="88"/>
        <v/>
      </c>
      <c r="L1133" s="141" t="str">
        <f t="shared" si="89"/>
        <v/>
      </c>
    </row>
    <row r="1134" spans="1:12" x14ac:dyDescent="0.3">
      <c r="A1134" s="2" t="str">
        <f xml:space="preserve"> IF( 'From SvanPC++'!A1134= "", "", ('From SvanPC++'!A1134))</f>
        <v/>
      </c>
      <c r="C1134" s="6" t="s">
        <v>10</v>
      </c>
      <c r="G1134" s="38" t="str">
        <f t="shared" si="85"/>
        <v/>
      </c>
      <c r="H1134" s="141" t="str">
        <f t="shared" si="86"/>
        <v/>
      </c>
      <c r="J1134" s="141" t="str">
        <f t="shared" si="87"/>
        <v/>
      </c>
      <c r="K1134" s="141" t="str">
        <f t="shared" si="88"/>
        <v/>
      </c>
      <c r="L1134" s="141" t="str">
        <f t="shared" si="89"/>
        <v/>
      </c>
    </row>
    <row r="1135" spans="1:12" x14ac:dyDescent="0.3">
      <c r="A1135" s="2" t="str">
        <f xml:space="preserve"> IF( 'From SvanPC++'!A1135= "", "", ('From SvanPC++'!A1135))</f>
        <v/>
      </c>
      <c r="C1135" s="6" t="s">
        <v>10</v>
      </c>
      <c r="G1135" s="38" t="str">
        <f t="shared" si="85"/>
        <v/>
      </c>
      <c r="H1135" s="141" t="str">
        <f t="shared" si="86"/>
        <v/>
      </c>
      <c r="J1135" s="141" t="str">
        <f t="shared" si="87"/>
        <v/>
      </c>
      <c r="K1135" s="141" t="str">
        <f t="shared" si="88"/>
        <v/>
      </c>
      <c r="L1135" s="141" t="str">
        <f t="shared" si="89"/>
        <v/>
      </c>
    </row>
    <row r="1136" spans="1:12" x14ac:dyDescent="0.3">
      <c r="A1136" s="2" t="str">
        <f xml:space="preserve"> IF( 'From SvanPC++'!A1136= "", "", ('From SvanPC++'!A1136))</f>
        <v/>
      </c>
      <c r="C1136" s="6" t="s">
        <v>10</v>
      </c>
      <c r="G1136" s="38" t="str">
        <f t="shared" si="85"/>
        <v/>
      </c>
      <c r="H1136" s="141" t="str">
        <f t="shared" si="86"/>
        <v/>
      </c>
      <c r="J1136" s="141" t="str">
        <f t="shared" si="87"/>
        <v/>
      </c>
      <c r="K1136" s="141" t="str">
        <f t="shared" si="88"/>
        <v/>
      </c>
      <c r="L1136" s="141" t="str">
        <f t="shared" si="89"/>
        <v/>
      </c>
    </row>
    <row r="1137" spans="1:12" x14ac:dyDescent="0.3">
      <c r="A1137" s="2" t="str">
        <f xml:space="preserve"> IF( 'From SvanPC++'!A1137= "", "", ('From SvanPC++'!A1137))</f>
        <v/>
      </c>
      <c r="C1137" s="6" t="s">
        <v>10</v>
      </c>
      <c r="G1137" s="38" t="str">
        <f t="shared" si="85"/>
        <v/>
      </c>
      <c r="H1137" s="141" t="str">
        <f t="shared" si="86"/>
        <v/>
      </c>
      <c r="J1137" s="141" t="str">
        <f t="shared" si="87"/>
        <v/>
      </c>
      <c r="K1137" s="141" t="str">
        <f t="shared" si="88"/>
        <v/>
      </c>
      <c r="L1137" s="141" t="str">
        <f t="shared" si="89"/>
        <v/>
      </c>
    </row>
    <row r="1138" spans="1:12" x14ac:dyDescent="0.3">
      <c r="A1138" s="2" t="str">
        <f xml:space="preserve"> IF( 'From SvanPC++'!A1138= "", "", ('From SvanPC++'!A1138))</f>
        <v/>
      </c>
      <c r="C1138" s="6" t="s">
        <v>10</v>
      </c>
      <c r="G1138" s="38" t="str">
        <f t="shared" si="85"/>
        <v/>
      </c>
      <c r="H1138" s="141" t="str">
        <f t="shared" si="86"/>
        <v/>
      </c>
      <c r="J1138" s="141" t="str">
        <f t="shared" si="87"/>
        <v/>
      </c>
      <c r="K1138" s="141" t="str">
        <f t="shared" si="88"/>
        <v/>
      </c>
      <c r="L1138" s="141" t="str">
        <f t="shared" si="89"/>
        <v/>
      </c>
    </row>
    <row r="1139" spans="1:12" x14ac:dyDescent="0.3">
      <c r="A1139" s="2" t="str">
        <f xml:space="preserve"> IF( 'From SvanPC++'!A1139= "", "", ('From SvanPC++'!A1139))</f>
        <v/>
      </c>
      <c r="C1139" s="6" t="s">
        <v>10</v>
      </c>
      <c r="G1139" s="38" t="str">
        <f t="shared" si="85"/>
        <v/>
      </c>
      <c r="H1139" s="141" t="str">
        <f t="shared" si="86"/>
        <v/>
      </c>
      <c r="J1139" s="141" t="str">
        <f t="shared" si="87"/>
        <v/>
      </c>
      <c r="K1139" s="141" t="str">
        <f t="shared" si="88"/>
        <v/>
      </c>
      <c r="L1139" s="141" t="str">
        <f t="shared" si="89"/>
        <v/>
      </c>
    </row>
    <row r="1140" spans="1:12" x14ac:dyDescent="0.3">
      <c r="A1140" s="2" t="str">
        <f xml:space="preserve"> IF( 'From SvanPC++'!A1140= "", "", ('From SvanPC++'!A1140))</f>
        <v/>
      </c>
      <c r="C1140" s="6" t="s">
        <v>10</v>
      </c>
      <c r="G1140" s="38" t="str">
        <f t="shared" si="85"/>
        <v/>
      </c>
      <c r="H1140" s="141" t="str">
        <f t="shared" si="86"/>
        <v/>
      </c>
      <c r="J1140" s="141" t="str">
        <f t="shared" si="87"/>
        <v/>
      </c>
      <c r="K1140" s="141" t="str">
        <f t="shared" si="88"/>
        <v/>
      </c>
      <c r="L1140" s="141" t="str">
        <f t="shared" si="89"/>
        <v/>
      </c>
    </row>
    <row r="1141" spans="1:12" x14ac:dyDescent="0.3">
      <c r="A1141" s="2" t="str">
        <f xml:space="preserve"> IF( 'From SvanPC++'!A1141= "", "", ('From SvanPC++'!A1141))</f>
        <v/>
      </c>
      <c r="C1141" s="6" t="s">
        <v>10</v>
      </c>
      <c r="G1141" s="38" t="str">
        <f t="shared" si="85"/>
        <v/>
      </c>
      <c r="H1141" s="141" t="str">
        <f t="shared" si="86"/>
        <v/>
      </c>
      <c r="J1141" s="141" t="str">
        <f t="shared" si="87"/>
        <v/>
      </c>
      <c r="K1141" s="141" t="str">
        <f t="shared" si="88"/>
        <v/>
      </c>
      <c r="L1141" s="141" t="str">
        <f t="shared" si="89"/>
        <v/>
      </c>
    </row>
    <row r="1142" spans="1:12" x14ac:dyDescent="0.3">
      <c r="A1142" s="2" t="str">
        <f xml:space="preserve"> IF( 'From SvanPC++'!A1142= "", "", ('From SvanPC++'!A1142))</f>
        <v/>
      </c>
      <c r="C1142" s="6" t="s">
        <v>10</v>
      </c>
      <c r="G1142" s="38" t="str">
        <f t="shared" si="85"/>
        <v/>
      </c>
      <c r="H1142" s="141" t="str">
        <f t="shared" si="86"/>
        <v/>
      </c>
      <c r="J1142" s="141" t="str">
        <f t="shared" si="87"/>
        <v/>
      </c>
      <c r="K1142" s="141" t="str">
        <f t="shared" si="88"/>
        <v/>
      </c>
      <c r="L1142" s="141" t="str">
        <f t="shared" si="89"/>
        <v/>
      </c>
    </row>
    <row r="1143" spans="1:12" x14ac:dyDescent="0.3">
      <c r="A1143" s="2" t="str">
        <f xml:space="preserve"> IF( 'From SvanPC++'!A1143= "", "", ('From SvanPC++'!A1143))</f>
        <v/>
      </c>
      <c r="C1143" s="6" t="s">
        <v>10</v>
      </c>
      <c r="G1143" s="38" t="str">
        <f t="shared" si="85"/>
        <v/>
      </c>
      <c r="H1143" s="141" t="str">
        <f t="shared" si="86"/>
        <v/>
      </c>
      <c r="J1143" s="141" t="str">
        <f t="shared" si="87"/>
        <v/>
      </c>
      <c r="K1143" s="141" t="str">
        <f t="shared" si="88"/>
        <v/>
      </c>
      <c r="L1143" s="141" t="str">
        <f t="shared" si="89"/>
        <v/>
      </c>
    </row>
    <row r="1144" spans="1:12" x14ac:dyDescent="0.3">
      <c r="A1144" s="2" t="str">
        <f xml:space="preserve"> IF( 'From SvanPC++'!A1144= "", "", ('From SvanPC++'!A1144))</f>
        <v/>
      </c>
      <c r="C1144" s="6" t="s">
        <v>10</v>
      </c>
      <c r="G1144" s="38" t="str">
        <f t="shared" si="85"/>
        <v/>
      </c>
      <c r="H1144" s="141" t="str">
        <f t="shared" si="86"/>
        <v/>
      </c>
      <c r="J1144" s="141" t="str">
        <f t="shared" si="87"/>
        <v/>
      </c>
      <c r="K1144" s="141" t="str">
        <f t="shared" si="88"/>
        <v/>
      </c>
      <c r="L1144" s="141" t="str">
        <f t="shared" si="89"/>
        <v/>
      </c>
    </row>
    <row r="1145" spans="1:12" x14ac:dyDescent="0.3">
      <c r="A1145" s="2" t="str">
        <f xml:space="preserve"> IF( 'From SvanPC++'!A1145= "", "", ('From SvanPC++'!A1145))</f>
        <v/>
      </c>
      <c r="C1145" s="6" t="s">
        <v>10</v>
      </c>
      <c r="G1145" s="38" t="str">
        <f t="shared" si="85"/>
        <v/>
      </c>
      <c r="H1145" s="141" t="str">
        <f t="shared" si="86"/>
        <v/>
      </c>
      <c r="J1145" s="141" t="str">
        <f t="shared" si="87"/>
        <v/>
      </c>
      <c r="K1145" s="141" t="str">
        <f t="shared" si="88"/>
        <v/>
      </c>
      <c r="L1145" s="141" t="str">
        <f t="shared" si="89"/>
        <v/>
      </c>
    </row>
    <row r="1146" spans="1:12" x14ac:dyDescent="0.3">
      <c r="A1146" s="2" t="str">
        <f xml:space="preserve"> IF( 'From SvanPC++'!A1146= "", "", ('From SvanPC++'!A1146))</f>
        <v/>
      </c>
      <c r="C1146" s="6" t="s">
        <v>10</v>
      </c>
      <c r="G1146" s="38" t="str">
        <f t="shared" si="85"/>
        <v/>
      </c>
      <c r="H1146" s="141" t="str">
        <f t="shared" si="86"/>
        <v/>
      </c>
      <c r="J1146" s="141" t="str">
        <f t="shared" si="87"/>
        <v/>
      </c>
      <c r="K1146" s="141" t="str">
        <f t="shared" si="88"/>
        <v/>
      </c>
      <c r="L1146" s="141" t="str">
        <f t="shared" si="89"/>
        <v/>
      </c>
    </row>
    <row r="1147" spans="1:12" x14ac:dyDescent="0.3">
      <c r="A1147" s="2" t="str">
        <f xml:space="preserve"> IF( 'From SvanPC++'!A1147= "", "", ('From SvanPC++'!A1147))</f>
        <v/>
      </c>
      <c r="C1147" s="6" t="s">
        <v>10</v>
      </c>
      <c r="G1147" s="38" t="str">
        <f t="shared" si="85"/>
        <v/>
      </c>
      <c r="H1147" s="141" t="str">
        <f t="shared" si="86"/>
        <v/>
      </c>
      <c r="J1147" s="141" t="str">
        <f t="shared" si="87"/>
        <v/>
      </c>
      <c r="K1147" s="141" t="str">
        <f t="shared" si="88"/>
        <v/>
      </c>
      <c r="L1147" s="141" t="str">
        <f t="shared" si="89"/>
        <v/>
      </c>
    </row>
    <row r="1148" spans="1:12" x14ac:dyDescent="0.3">
      <c r="A1148" s="2" t="str">
        <f xml:space="preserve"> IF( 'From SvanPC++'!A1148= "", "", ('From SvanPC++'!A1148))</f>
        <v/>
      </c>
      <c r="C1148" s="6" t="s">
        <v>10</v>
      </c>
      <c r="G1148" s="38" t="str">
        <f t="shared" si="85"/>
        <v/>
      </c>
      <c r="H1148" s="141" t="str">
        <f t="shared" si="86"/>
        <v/>
      </c>
      <c r="J1148" s="141" t="str">
        <f t="shared" si="87"/>
        <v/>
      </c>
      <c r="K1148" s="141" t="str">
        <f t="shared" si="88"/>
        <v/>
      </c>
      <c r="L1148" s="141" t="str">
        <f t="shared" si="89"/>
        <v/>
      </c>
    </row>
    <row r="1149" spans="1:12" x14ac:dyDescent="0.3">
      <c r="A1149" s="2" t="str">
        <f xml:space="preserve"> IF( 'From SvanPC++'!A1149= "", "", ('From SvanPC++'!A1149))</f>
        <v/>
      </c>
      <c r="C1149" s="6" t="s">
        <v>10</v>
      </c>
      <c r="G1149" s="38" t="str">
        <f t="shared" si="85"/>
        <v/>
      </c>
      <c r="H1149" s="141" t="str">
        <f t="shared" si="86"/>
        <v/>
      </c>
      <c r="J1149" s="141" t="str">
        <f t="shared" si="87"/>
        <v/>
      </c>
      <c r="K1149" s="141" t="str">
        <f t="shared" si="88"/>
        <v/>
      </c>
      <c r="L1149" s="141" t="str">
        <f t="shared" si="89"/>
        <v/>
      </c>
    </row>
    <row r="1150" spans="1:12" x14ac:dyDescent="0.3">
      <c r="A1150" s="2" t="str">
        <f xml:space="preserve"> IF( 'From SvanPC++'!A1150= "", "", ('From SvanPC++'!A1150))</f>
        <v/>
      </c>
      <c r="C1150" s="6" t="s">
        <v>10</v>
      </c>
      <c r="G1150" s="38" t="str">
        <f t="shared" si="85"/>
        <v/>
      </c>
      <c r="H1150" s="141" t="str">
        <f t="shared" si="86"/>
        <v/>
      </c>
      <c r="J1150" s="141" t="str">
        <f t="shared" si="87"/>
        <v/>
      </c>
      <c r="K1150" s="141" t="str">
        <f t="shared" si="88"/>
        <v/>
      </c>
      <c r="L1150" s="141" t="str">
        <f t="shared" si="89"/>
        <v/>
      </c>
    </row>
    <row r="1151" spans="1:12" x14ac:dyDescent="0.3">
      <c r="A1151" s="2" t="str">
        <f xml:space="preserve"> IF( 'From SvanPC++'!A1151= "", "", ('From SvanPC++'!A1151))</f>
        <v/>
      </c>
      <c r="C1151" s="6" t="s">
        <v>10</v>
      </c>
      <c r="G1151" s="38" t="str">
        <f t="shared" si="85"/>
        <v/>
      </c>
      <c r="H1151" s="141" t="str">
        <f t="shared" si="86"/>
        <v/>
      </c>
      <c r="J1151" s="141" t="str">
        <f t="shared" si="87"/>
        <v/>
      </c>
      <c r="K1151" s="141" t="str">
        <f t="shared" si="88"/>
        <v/>
      </c>
      <c r="L1151" s="141" t="str">
        <f t="shared" si="89"/>
        <v/>
      </c>
    </row>
    <row r="1152" spans="1:12" x14ac:dyDescent="0.3">
      <c r="A1152" s="2" t="str">
        <f xml:space="preserve"> IF( 'From SvanPC++'!A1152= "", "", ('From SvanPC++'!A1152))</f>
        <v/>
      </c>
      <c r="C1152" s="6" t="s">
        <v>10</v>
      </c>
      <c r="G1152" s="38" t="str">
        <f t="shared" si="85"/>
        <v/>
      </c>
      <c r="H1152" s="141" t="str">
        <f t="shared" si="86"/>
        <v/>
      </c>
      <c r="J1152" s="141" t="str">
        <f t="shared" si="87"/>
        <v/>
      </c>
      <c r="K1152" s="141" t="str">
        <f t="shared" si="88"/>
        <v/>
      </c>
      <c r="L1152" s="141" t="str">
        <f t="shared" si="89"/>
        <v/>
      </c>
    </row>
    <row r="1153" spans="1:12" x14ac:dyDescent="0.3">
      <c r="A1153" s="2" t="str">
        <f xml:space="preserve"> IF( 'From SvanPC++'!A1153= "", "", ('From SvanPC++'!A1153))</f>
        <v/>
      </c>
      <c r="C1153" s="6" t="s">
        <v>10</v>
      </c>
      <c r="G1153" s="38" t="str">
        <f t="shared" si="85"/>
        <v/>
      </c>
      <c r="H1153" s="141" t="str">
        <f t="shared" si="86"/>
        <v/>
      </c>
      <c r="J1153" s="141" t="str">
        <f t="shared" si="87"/>
        <v/>
      </c>
      <c r="K1153" s="141" t="str">
        <f t="shared" si="88"/>
        <v/>
      </c>
      <c r="L1153" s="141" t="str">
        <f t="shared" si="89"/>
        <v/>
      </c>
    </row>
    <row r="1154" spans="1:12" x14ac:dyDescent="0.3">
      <c r="A1154" s="2" t="str">
        <f xml:space="preserve"> IF( 'From SvanPC++'!A1154= "", "", ('From SvanPC++'!A1154))</f>
        <v/>
      </c>
      <c r="C1154" s="6" t="s">
        <v>10</v>
      </c>
      <c r="G1154" s="38" t="str">
        <f t="shared" si="85"/>
        <v/>
      </c>
      <c r="H1154" s="141" t="str">
        <f t="shared" si="86"/>
        <v/>
      </c>
      <c r="J1154" s="141" t="str">
        <f t="shared" si="87"/>
        <v/>
      </c>
      <c r="K1154" s="141" t="str">
        <f t="shared" si="88"/>
        <v/>
      </c>
      <c r="L1154" s="141" t="str">
        <f t="shared" si="89"/>
        <v/>
      </c>
    </row>
    <row r="1155" spans="1:12" x14ac:dyDescent="0.3">
      <c r="A1155" s="2" t="str">
        <f xml:space="preserve"> IF( 'From SvanPC++'!A1155= "", "", ('From SvanPC++'!A1155))</f>
        <v/>
      </c>
      <c r="C1155" s="6" t="s">
        <v>10</v>
      </c>
      <c r="G1155" s="38" t="str">
        <f t="shared" si="85"/>
        <v/>
      </c>
      <c r="H1155" s="141" t="str">
        <f t="shared" si="86"/>
        <v/>
      </c>
      <c r="J1155" s="141" t="str">
        <f t="shared" si="87"/>
        <v/>
      </c>
      <c r="K1155" s="141" t="str">
        <f t="shared" si="88"/>
        <v/>
      </c>
      <c r="L1155" s="141" t="str">
        <f t="shared" si="89"/>
        <v/>
      </c>
    </row>
    <row r="1156" spans="1:12" x14ac:dyDescent="0.3">
      <c r="A1156" s="2" t="str">
        <f xml:space="preserve"> IF( 'From SvanPC++'!A1156= "", "", ('From SvanPC++'!A1156))</f>
        <v/>
      </c>
      <c r="C1156" s="6" t="s">
        <v>10</v>
      </c>
      <c r="G1156" s="38" t="str">
        <f t="shared" si="85"/>
        <v/>
      </c>
      <c r="H1156" s="141" t="str">
        <f t="shared" si="86"/>
        <v/>
      </c>
      <c r="J1156" s="141" t="str">
        <f t="shared" si="87"/>
        <v/>
      </c>
      <c r="K1156" s="141" t="str">
        <f t="shared" si="88"/>
        <v/>
      </c>
      <c r="L1156" s="141" t="str">
        <f t="shared" si="89"/>
        <v/>
      </c>
    </row>
    <row r="1157" spans="1:12" x14ac:dyDescent="0.3">
      <c r="A1157" s="2" t="str">
        <f xml:space="preserve"> IF( 'From SvanPC++'!A1157= "", "", ('From SvanPC++'!A1157))</f>
        <v/>
      </c>
      <c r="C1157" s="6" t="s">
        <v>10</v>
      </c>
      <c r="G1157" s="38" t="str">
        <f t="shared" si="85"/>
        <v/>
      </c>
      <c r="H1157" s="141" t="str">
        <f t="shared" si="86"/>
        <v/>
      </c>
      <c r="J1157" s="141" t="str">
        <f t="shared" si="87"/>
        <v/>
      </c>
      <c r="K1157" s="141" t="str">
        <f t="shared" si="88"/>
        <v/>
      </c>
      <c r="L1157" s="141" t="str">
        <f t="shared" si="89"/>
        <v/>
      </c>
    </row>
    <row r="1158" spans="1:12" x14ac:dyDescent="0.3">
      <c r="A1158" s="2" t="str">
        <f xml:space="preserve"> IF( 'From SvanPC++'!A1158= "", "", ('From SvanPC++'!A1158))</f>
        <v/>
      </c>
      <c r="C1158" s="6" t="s">
        <v>10</v>
      </c>
      <c r="G1158" s="38" t="str">
        <f t="shared" si="85"/>
        <v/>
      </c>
      <c r="H1158" s="141" t="str">
        <f t="shared" si="86"/>
        <v/>
      </c>
      <c r="J1158" s="141" t="str">
        <f t="shared" si="87"/>
        <v/>
      </c>
      <c r="K1158" s="141" t="str">
        <f t="shared" si="88"/>
        <v/>
      </c>
      <c r="L1158" s="141" t="str">
        <f t="shared" si="89"/>
        <v/>
      </c>
    </row>
    <row r="1159" spans="1:12" x14ac:dyDescent="0.3">
      <c r="A1159" s="2" t="str">
        <f xml:space="preserve"> IF( 'From SvanPC++'!A1159= "", "", ('From SvanPC++'!A1159))</f>
        <v/>
      </c>
      <c r="C1159" s="6" t="s">
        <v>10</v>
      </c>
      <c r="G1159" s="38" t="str">
        <f t="shared" ref="G1159:G1222" si="90" xml:space="preserve"> IF( D1159= "", "", ( IF( AND( D1159 &gt;= TIMEVALUE( "07:00:01" ), D1159 &lt; TIMEVALUE( "08:00:01" ) ) = TRUE, (G1158+1), (G1158+0) )))</f>
        <v/>
      </c>
      <c r="H1159" s="141" t="str">
        <f t="shared" ref="H1159:H1222" si="91" xml:space="preserve"> IF( D1159= "", "", (
IF( AND( D1159 &gt;= TIMEVALUE( "07:00:01" ), D1159 &lt;= TIMEVALUE( "18:00:00" ), WEEKDAY( C1159,1+N("            Weekday Day Period              ")) &gt;=2, ( WEEKDAY( C1159,1) &lt;=6) ) = TRUE, "Day",
IF( AND( D1159 &gt;= TIMEVALUE( "18:00:01" ), D1159 &lt;= TIMEVALUE( "22:00:00" ), WEEKDAY( C1159,1+N("            Weekday Evening Period          ")) &gt;=2, ( WEEKDAY( C1159,1) &lt;=6) ) = TRUE, "Evening",
IF( AND( D1159 &gt;= TIMEVALUE( "22:00:01" ), D1159 &lt;= TIMEVALUE( "23:59:59" ), WEEKDAY( C1159,1+N("            Weekday Night Period            ")) &gt;=2, ( WEEKDAY( C1159,1) &lt;=6) ) = TRUE, "Night",
IF( AND( D1159 &gt;= TIMEVALUE( "00:00:00" ), D1159 &lt;= TIMEVALUE( "07:00:00" ), WEEKDAY( C1159,1+N("            Weekday Night Period            ")) &gt;=2, ( WEEKDAY( C1159,1) &lt;=6) ) = TRUE, "Night",
IF( AND( D1159 &gt;= TIMEVALUE( "07:00:01" ), D1159 &lt;= TIMEVALUE( "18:00:00" ), WEEKDAY( C1159) =(7+N("         Saturday Day Period             ")) ) = TRUE, "Day",
IF( AND( D1159 &gt;= TIMEVALUE( "18:00:01" ), D1159 &lt;= TIMEVALUE( "22:00:00" ), WEEKDAY( C1159) =(7+N("         Saturday Evening Period         ")) ) = TRUE, "Evening",
IF( AND( D1159 &gt;= TIMEVALUE( "22:00:01" ), D1159 &lt;= TIMEVALUE( "23:59:59" ), WEEKDAY( C1159) =(7+N("         Saturday Night Period           ")) ) = TRUE, "Night",
IF( AND( D1159 &gt;= TIMEVALUE( "00:00:00" ), D1159 &lt;= TIMEVALUE( "07:00:00" ), WEEKDAY( C1159) =(7+N("         Saturday Night Period           ")) ) = TRUE, "Night",
IF( AND( D1159 &gt;= TIMEVALUE( "07:00:01" ), D1159 &lt;= TIMEVALUE( "22:00:00" ), WEEKDAY( C1159) =(1+N("         Sunday Evening Period           ")) ) = TRUE, "Evening",
IF( AND( D1159 &gt;= TIMEVALUE( "20:00:01" ), D1159 &lt;= TIMEVALUE( "23:59:59" ), WEEKDAY( C1159) =(1+N("         Sunday Night Period             ")) ) = TRUE, "Night",
IF( AND( D1159 &gt;= TIMEVALUE( "00:00:00" ), D1159 &lt;= TIMEVALUE( "07:00:00" ), WEEKDAY( C1159) =(1+N("         Sunday Night Period             ")) ) = TRUE, "Night",
)))))))))))))</f>
        <v/>
      </c>
      <c r="J1159" s="141" t="str">
        <f t="shared" si="87"/>
        <v/>
      </c>
      <c r="K1159" s="141" t="str">
        <f t="shared" si="88"/>
        <v/>
      </c>
      <c r="L1159" s="141" t="str">
        <f t="shared" si="89"/>
        <v/>
      </c>
    </row>
    <row r="1160" spans="1:12" x14ac:dyDescent="0.3">
      <c r="A1160" s="2" t="str">
        <f xml:space="preserve"> IF( 'From SvanPC++'!A1160= "", "", ('From SvanPC++'!A1160))</f>
        <v/>
      </c>
      <c r="C1160" s="6" t="s">
        <v>10</v>
      </c>
      <c r="G1160" s="38" t="str">
        <f t="shared" si="90"/>
        <v/>
      </c>
      <c r="H1160" s="141" t="str">
        <f t="shared" si="91"/>
        <v/>
      </c>
      <c r="J1160" s="141" t="str">
        <f t="shared" ref="J1160:J1223" si="92" xml:space="preserve"> IF( ISERROR( IF( D1160= "", "", ( IF( G1160= (G1159+1), ( AVERAGEIFS( E1160:E1304, G1160:G1304, G1160, H1160:H1304, "Day" )), "" )))), "",( IF( D1160= "", "", ( IF( G1160= (G1159+1), ( AVERAGEIFS( E1160:E1304, G1160:G1304, G1160, H1160:H1304, "Day" )), "" )))))</f>
        <v/>
      </c>
      <c r="K1160" s="141" t="str">
        <f t="shared" ref="K1160:K1223" si="93" xml:space="preserve"> IF( ISERROR( IF( D1160= "", "", ( IF( G1160= (G1159+1), ( AVERAGEIFS( E1160:E1304, G1160:G1304, G1160, H1160:H1304, "Evening" )), "" )))), "",( IF( D1160= "", "", ( IF( G1160= (G1159+1), ( AVERAGEIFS( E1160:E1304, G1160:G1304, G1160, H1160:H1304, "Evening" )), "" )))))</f>
        <v/>
      </c>
      <c r="L1160" s="141" t="str">
        <f t="shared" ref="L1160:L1223" si="94" xml:space="preserve"> IF( ISERROR( IF( D1160= "", "", ( IF( G1160= (G1159+1), ( AVERAGEIFS( E1160:E1304, G1160:G1304, G1160, H1160:H1304, "Night" )), "" )))), "",( IF( D1160= "", "", ( IF( G1160= (G1159+1), ( AVERAGEIFS( E1160:E1304, G1160:G1304, G1160, H1160:H1304, "Night" )), "" )))))</f>
        <v/>
      </c>
    </row>
    <row r="1161" spans="1:12" x14ac:dyDescent="0.3">
      <c r="A1161" s="2" t="str">
        <f xml:space="preserve"> IF( 'From SvanPC++'!A1161= "", "", ('From SvanPC++'!A1161))</f>
        <v/>
      </c>
      <c r="C1161" s="6" t="s">
        <v>10</v>
      </c>
      <c r="G1161" s="38" t="str">
        <f t="shared" si="90"/>
        <v/>
      </c>
      <c r="H1161" s="141" t="str">
        <f t="shared" si="91"/>
        <v/>
      </c>
      <c r="J1161" s="141" t="str">
        <f t="shared" si="92"/>
        <v/>
      </c>
      <c r="K1161" s="141" t="str">
        <f t="shared" si="93"/>
        <v/>
      </c>
      <c r="L1161" s="141" t="str">
        <f t="shared" si="94"/>
        <v/>
      </c>
    </row>
    <row r="1162" spans="1:12" x14ac:dyDescent="0.3">
      <c r="A1162" s="2" t="str">
        <f xml:space="preserve"> IF( 'From SvanPC++'!A1162= "", "", ('From SvanPC++'!A1162))</f>
        <v/>
      </c>
      <c r="C1162" s="6" t="s">
        <v>10</v>
      </c>
      <c r="G1162" s="38" t="str">
        <f t="shared" si="90"/>
        <v/>
      </c>
      <c r="H1162" s="141" t="str">
        <f t="shared" si="91"/>
        <v/>
      </c>
      <c r="J1162" s="141" t="str">
        <f t="shared" si="92"/>
        <v/>
      </c>
      <c r="K1162" s="141" t="str">
        <f t="shared" si="93"/>
        <v/>
      </c>
      <c r="L1162" s="141" t="str">
        <f t="shared" si="94"/>
        <v/>
      </c>
    </row>
    <row r="1163" spans="1:12" x14ac:dyDescent="0.3">
      <c r="A1163" s="2" t="str">
        <f xml:space="preserve"> IF( 'From SvanPC++'!A1163= "", "", ('From SvanPC++'!A1163))</f>
        <v/>
      </c>
      <c r="C1163" s="6" t="s">
        <v>10</v>
      </c>
      <c r="G1163" s="38" t="str">
        <f t="shared" si="90"/>
        <v/>
      </c>
      <c r="H1163" s="141" t="str">
        <f t="shared" si="91"/>
        <v/>
      </c>
      <c r="J1163" s="141" t="str">
        <f t="shared" si="92"/>
        <v/>
      </c>
      <c r="K1163" s="141" t="str">
        <f t="shared" si="93"/>
        <v/>
      </c>
      <c r="L1163" s="141" t="str">
        <f t="shared" si="94"/>
        <v/>
      </c>
    </row>
    <row r="1164" spans="1:12" x14ac:dyDescent="0.3">
      <c r="A1164" s="2" t="str">
        <f xml:space="preserve"> IF( 'From SvanPC++'!A1164= "", "", ('From SvanPC++'!A1164))</f>
        <v/>
      </c>
      <c r="C1164" s="6" t="s">
        <v>10</v>
      </c>
      <c r="G1164" s="38" t="str">
        <f t="shared" si="90"/>
        <v/>
      </c>
      <c r="H1164" s="141" t="str">
        <f t="shared" si="91"/>
        <v/>
      </c>
      <c r="J1164" s="141" t="str">
        <f t="shared" si="92"/>
        <v/>
      </c>
      <c r="K1164" s="141" t="str">
        <f t="shared" si="93"/>
        <v/>
      </c>
      <c r="L1164" s="141" t="str">
        <f t="shared" si="94"/>
        <v/>
      </c>
    </row>
    <row r="1165" spans="1:12" x14ac:dyDescent="0.3">
      <c r="A1165" s="2" t="str">
        <f xml:space="preserve"> IF( 'From SvanPC++'!A1165= "", "", ('From SvanPC++'!A1165))</f>
        <v/>
      </c>
      <c r="C1165" s="6" t="s">
        <v>10</v>
      </c>
      <c r="G1165" s="38" t="str">
        <f t="shared" si="90"/>
        <v/>
      </c>
      <c r="H1165" s="141" t="str">
        <f t="shared" si="91"/>
        <v/>
      </c>
      <c r="J1165" s="141" t="str">
        <f t="shared" si="92"/>
        <v/>
      </c>
      <c r="K1165" s="141" t="str">
        <f t="shared" si="93"/>
        <v/>
      </c>
      <c r="L1165" s="141" t="str">
        <f t="shared" si="94"/>
        <v/>
      </c>
    </row>
    <row r="1166" spans="1:12" x14ac:dyDescent="0.3">
      <c r="A1166" s="2" t="str">
        <f xml:space="preserve"> IF( 'From SvanPC++'!A1166= "", "", ('From SvanPC++'!A1166))</f>
        <v/>
      </c>
      <c r="C1166" s="6" t="s">
        <v>10</v>
      </c>
      <c r="G1166" s="38" t="str">
        <f t="shared" si="90"/>
        <v/>
      </c>
      <c r="H1166" s="141" t="str">
        <f t="shared" si="91"/>
        <v/>
      </c>
      <c r="J1166" s="141" t="str">
        <f t="shared" si="92"/>
        <v/>
      </c>
      <c r="K1166" s="141" t="str">
        <f t="shared" si="93"/>
        <v/>
      </c>
      <c r="L1166" s="141" t="str">
        <f t="shared" si="94"/>
        <v/>
      </c>
    </row>
    <row r="1167" spans="1:12" x14ac:dyDescent="0.3">
      <c r="A1167" s="2" t="str">
        <f xml:space="preserve"> IF( 'From SvanPC++'!A1167= "", "", ('From SvanPC++'!A1167))</f>
        <v/>
      </c>
      <c r="C1167" s="6" t="s">
        <v>10</v>
      </c>
      <c r="G1167" s="38" t="str">
        <f t="shared" si="90"/>
        <v/>
      </c>
      <c r="H1167" s="141" t="str">
        <f t="shared" si="91"/>
        <v/>
      </c>
      <c r="J1167" s="141" t="str">
        <f t="shared" si="92"/>
        <v/>
      </c>
      <c r="K1167" s="141" t="str">
        <f t="shared" si="93"/>
        <v/>
      </c>
      <c r="L1167" s="141" t="str">
        <f t="shared" si="94"/>
        <v/>
      </c>
    </row>
    <row r="1168" spans="1:12" x14ac:dyDescent="0.3">
      <c r="A1168" s="2" t="str">
        <f xml:space="preserve"> IF( 'From SvanPC++'!A1168= "", "", ('From SvanPC++'!A1168))</f>
        <v/>
      </c>
      <c r="C1168" s="6" t="s">
        <v>10</v>
      </c>
      <c r="G1168" s="38" t="str">
        <f t="shared" si="90"/>
        <v/>
      </c>
      <c r="H1168" s="141" t="str">
        <f t="shared" si="91"/>
        <v/>
      </c>
      <c r="J1168" s="141" t="str">
        <f t="shared" si="92"/>
        <v/>
      </c>
      <c r="K1168" s="141" t="str">
        <f t="shared" si="93"/>
        <v/>
      </c>
      <c r="L1168" s="141" t="str">
        <f t="shared" si="94"/>
        <v/>
      </c>
    </row>
    <row r="1169" spans="1:12" x14ac:dyDescent="0.3">
      <c r="A1169" s="2" t="str">
        <f xml:space="preserve"> IF( 'From SvanPC++'!A1169= "", "", ('From SvanPC++'!A1169))</f>
        <v/>
      </c>
      <c r="C1169" s="6" t="s">
        <v>10</v>
      </c>
      <c r="G1169" s="38" t="str">
        <f t="shared" si="90"/>
        <v/>
      </c>
      <c r="H1169" s="141" t="str">
        <f t="shared" si="91"/>
        <v/>
      </c>
      <c r="J1169" s="141" t="str">
        <f t="shared" si="92"/>
        <v/>
      </c>
      <c r="K1169" s="141" t="str">
        <f t="shared" si="93"/>
        <v/>
      </c>
      <c r="L1169" s="141" t="str">
        <f t="shared" si="94"/>
        <v/>
      </c>
    </row>
    <row r="1170" spans="1:12" x14ac:dyDescent="0.3">
      <c r="A1170" s="2" t="str">
        <f xml:space="preserve"> IF( 'From SvanPC++'!A1170= "", "", ('From SvanPC++'!A1170))</f>
        <v/>
      </c>
      <c r="C1170" s="6" t="s">
        <v>10</v>
      </c>
      <c r="G1170" s="38" t="str">
        <f t="shared" si="90"/>
        <v/>
      </c>
      <c r="H1170" s="141" t="str">
        <f t="shared" si="91"/>
        <v/>
      </c>
      <c r="J1170" s="141" t="str">
        <f t="shared" si="92"/>
        <v/>
      </c>
      <c r="K1170" s="141" t="str">
        <f t="shared" si="93"/>
        <v/>
      </c>
      <c r="L1170" s="141" t="str">
        <f t="shared" si="94"/>
        <v/>
      </c>
    </row>
    <row r="1171" spans="1:12" x14ac:dyDescent="0.3">
      <c r="A1171" s="2" t="str">
        <f xml:space="preserve"> IF( 'From SvanPC++'!A1171= "", "", ('From SvanPC++'!A1171))</f>
        <v/>
      </c>
      <c r="C1171" s="6" t="s">
        <v>10</v>
      </c>
      <c r="G1171" s="38" t="str">
        <f t="shared" si="90"/>
        <v/>
      </c>
      <c r="H1171" s="141" t="str">
        <f t="shared" si="91"/>
        <v/>
      </c>
      <c r="J1171" s="141" t="str">
        <f t="shared" si="92"/>
        <v/>
      </c>
      <c r="K1171" s="141" t="str">
        <f t="shared" si="93"/>
        <v/>
      </c>
      <c r="L1171" s="141" t="str">
        <f t="shared" si="94"/>
        <v/>
      </c>
    </row>
    <row r="1172" spans="1:12" x14ac:dyDescent="0.3">
      <c r="A1172" s="2" t="str">
        <f xml:space="preserve"> IF( 'From SvanPC++'!A1172= "", "", ('From SvanPC++'!A1172))</f>
        <v/>
      </c>
      <c r="C1172" s="6" t="s">
        <v>10</v>
      </c>
      <c r="G1172" s="38" t="str">
        <f t="shared" si="90"/>
        <v/>
      </c>
      <c r="H1172" s="141" t="str">
        <f t="shared" si="91"/>
        <v/>
      </c>
      <c r="J1172" s="141" t="str">
        <f t="shared" si="92"/>
        <v/>
      </c>
      <c r="K1172" s="141" t="str">
        <f t="shared" si="93"/>
        <v/>
      </c>
      <c r="L1172" s="141" t="str">
        <f t="shared" si="94"/>
        <v/>
      </c>
    </row>
    <row r="1173" spans="1:12" x14ac:dyDescent="0.3">
      <c r="A1173" s="2" t="str">
        <f xml:space="preserve"> IF( 'From SvanPC++'!A1173= "", "", ('From SvanPC++'!A1173))</f>
        <v/>
      </c>
      <c r="C1173" s="6" t="s">
        <v>10</v>
      </c>
      <c r="G1173" s="38" t="str">
        <f t="shared" si="90"/>
        <v/>
      </c>
      <c r="H1173" s="141" t="str">
        <f t="shared" si="91"/>
        <v/>
      </c>
      <c r="J1173" s="141" t="str">
        <f t="shared" si="92"/>
        <v/>
      </c>
      <c r="K1173" s="141" t="str">
        <f t="shared" si="93"/>
        <v/>
      </c>
      <c r="L1173" s="141" t="str">
        <f t="shared" si="94"/>
        <v/>
      </c>
    </row>
    <row r="1174" spans="1:12" x14ac:dyDescent="0.3">
      <c r="A1174" s="2" t="str">
        <f xml:space="preserve"> IF( 'From SvanPC++'!A1174= "", "", ('From SvanPC++'!A1174))</f>
        <v/>
      </c>
      <c r="C1174" s="6" t="s">
        <v>10</v>
      </c>
      <c r="G1174" s="38" t="str">
        <f t="shared" si="90"/>
        <v/>
      </c>
      <c r="H1174" s="141" t="str">
        <f t="shared" si="91"/>
        <v/>
      </c>
      <c r="J1174" s="141" t="str">
        <f t="shared" si="92"/>
        <v/>
      </c>
      <c r="K1174" s="141" t="str">
        <f t="shared" si="93"/>
        <v/>
      </c>
      <c r="L1174" s="141" t="str">
        <f t="shared" si="94"/>
        <v/>
      </c>
    </row>
    <row r="1175" spans="1:12" x14ac:dyDescent="0.3">
      <c r="A1175" s="2" t="str">
        <f xml:space="preserve"> IF( 'From SvanPC++'!A1175= "", "", ('From SvanPC++'!A1175))</f>
        <v/>
      </c>
      <c r="C1175" s="6" t="s">
        <v>10</v>
      </c>
      <c r="G1175" s="38" t="str">
        <f t="shared" si="90"/>
        <v/>
      </c>
      <c r="H1175" s="141" t="str">
        <f t="shared" si="91"/>
        <v/>
      </c>
      <c r="J1175" s="141" t="str">
        <f t="shared" si="92"/>
        <v/>
      </c>
      <c r="K1175" s="141" t="str">
        <f t="shared" si="93"/>
        <v/>
      </c>
      <c r="L1175" s="141" t="str">
        <f t="shared" si="94"/>
        <v/>
      </c>
    </row>
    <row r="1176" spans="1:12" x14ac:dyDescent="0.3">
      <c r="A1176" s="2" t="str">
        <f xml:space="preserve"> IF( 'From SvanPC++'!A1176= "", "", ('From SvanPC++'!A1176))</f>
        <v/>
      </c>
      <c r="C1176" s="6" t="s">
        <v>10</v>
      </c>
      <c r="G1176" s="38" t="str">
        <f t="shared" si="90"/>
        <v/>
      </c>
      <c r="H1176" s="141" t="str">
        <f t="shared" si="91"/>
        <v/>
      </c>
      <c r="J1176" s="141" t="str">
        <f t="shared" si="92"/>
        <v/>
      </c>
      <c r="K1176" s="141" t="str">
        <f t="shared" si="93"/>
        <v/>
      </c>
      <c r="L1176" s="141" t="str">
        <f t="shared" si="94"/>
        <v/>
      </c>
    </row>
    <row r="1177" spans="1:12" x14ac:dyDescent="0.3">
      <c r="A1177" s="2" t="str">
        <f xml:space="preserve"> IF( 'From SvanPC++'!A1177= "", "", ('From SvanPC++'!A1177))</f>
        <v/>
      </c>
      <c r="C1177" s="6" t="s">
        <v>10</v>
      </c>
      <c r="G1177" s="38" t="str">
        <f t="shared" si="90"/>
        <v/>
      </c>
      <c r="H1177" s="141" t="str">
        <f t="shared" si="91"/>
        <v/>
      </c>
      <c r="J1177" s="141" t="str">
        <f t="shared" si="92"/>
        <v/>
      </c>
      <c r="K1177" s="141" t="str">
        <f t="shared" si="93"/>
        <v/>
      </c>
      <c r="L1177" s="141" t="str">
        <f t="shared" si="94"/>
        <v/>
      </c>
    </row>
    <row r="1178" spans="1:12" x14ac:dyDescent="0.3">
      <c r="A1178" s="2" t="str">
        <f xml:space="preserve"> IF( 'From SvanPC++'!A1178= "", "", ('From SvanPC++'!A1178))</f>
        <v/>
      </c>
      <c r="C1178" s="6" t="s">
        <v>10</v>
      </c>
      <c r="G1178" s="38" t="str">
        <f t="shared" si="90"/>
        <v/>
      </c>
      <c r="H1178" s="141" t="str">
        <f t="shared" si="91"/>
        <v/>
      </c>
      <c r="J1178" s="141" t="str">
        <f t="shared" si="92"/>
        <v/>
      </c>
      <c r="K1178" s="141" t="str">
        <f t="shared" si="93"/>
        <v/>
      </c>
      <c r="L1178" s="141" t="str">
        <f t="shared" si="94"/>
        <v/>
      </c>
    </row>
    <row r="1179" spans="1:12" x14ac:dyDescent="0.3">
      <c r="A1179" s="2" t="str">
        <f xml:space="preserve"> IF( 'From SvanPC++'!A1179= "", "", ('From SvanPC++'!A1179))</f>
        <v/>
      </c>
      <c r="C1179" s="6" t="s">
        <v>10</v>
      </c>
      <c r="G1179" s="38" t="str">
        <f t="shared" si="90"/>
        <v/>
      </c>
      <c r="H1179" s="141" t="str">
        <f t="shared" si="91"/>
        <v/>
      </c>
      <c r="J1179" s="141" t="str">
        <f t="shared" si="92"/>
        <v/>
      </c>
      <c r="K1179" s="141" t="str">
        <f t="shared" si="93"/>
        <v/>
      </c>
      <c r="L1179" s="141" t="str">
        <f t="shared" si="94"/>
        <v/>
      </c>
    </row>
    <row r="1180" spans="1:12" x14ac:dyDescent="0.3">
      <c r="A1180" s="2" t="str">
        <f xml:space="preserve"> IF( 'From SvanPC++'!A1180= "", "", ('From SvanPC++'!A1180))</f>
        <v/>
      </c>
      <c r="C1180" s="6" t="s">
        <v>10</v>
      </c>
      <c r="G1180" s="38" t="str">
        <f t="shared" si="90"/>
        <v/>
      </c>
      <c r="H1180" s="141" t="str">
        <f t="shared" si="91"/>
        <v/>
      </c>
      <c r="J1180" s="141" t="str">
        <f t="shared" si="92"/>
        <v/>
      </c>
      <c r="K1180" s="141" t="str">
        <f t="shared" si="93"/>
        <v/>
      </c>
      <c r="L1180" s="141" t="str">
        <f t="shared" si="94"/>
        <v/>
      </c>
    </row>
    <row r="1181" spans="1:12" x14ac:dyDescent="0.3">
      <c r="A1181" s="2" t="str">
        <f xml:space="preserve"> IF( 'From SvanPC++'!A1181= "", "", ('From SvanPC++'!A1181))</f>
        <v/>
      </c>
      <c r="C1181" s="6" t="s">
        <v>10</v>
      </c>
      <c r="G1181" s="38" t="str">
        <f t="shared" si="90"/>
        <v/>
      </c>
      <c r="H1181" s="141" t="str">
        <f t="shared" si="91"/>
        <v/>
      </c>
      <c r="J1181" s="141" t="str">
        <f t="shared" si="92"/>
        <v/>
      </c>
      <c r="K1181" s="141" t="str">
        <f t="shared" si="93"/>
        <v/>
      </c>
      <c r="L1181" s="141" t="str">
        <f t="shared" si="94"/>
        <v/>
      </c>
    </row>
    <row r="1182" spans="1:12" x14ac:dyDescent="0.3">
      <c r="A1182" s="2" t="str">
        <f xml:space="preserve"> IF( 'From SvanPC++'!A1182= "", "", ('From SvanPC++'!A1182))</f>
        <v/>
      </c>
      <c r="C1182" s="6" t="s">
        <v>10</v>
      </c>
      <c r="G1182" s="38" t="str">
        <f t="shared" si="90"/>
        <v/>
      </c>
      <c r="H1182" s="141" t="str">
        <f t="shared" si="91"/>
        <v/>
      </c>
      <c r="J1182" s="141" t="str">
        <f t="shared" si="92"/>
        <v/>
      </c>
      <c r="K1182" s="141" t="str">
        <f t="shared" si="93"/>
        <v/>
      </c>
      <c r="L1182" s="141" t="str">
        <f t="shared" si="94"/>
        <v/>
      </c>
    </row>
    <row r="1183" spans="1:12" x14ac:dyDescent="0.3">
      <c r="A1183" s="2" t="str">
        <f xml:space="preserve"> IF( 'From SvanPC++'!A1183= "", "", ('From SvanPC++'!A1183))</f>
        <v/>
      </c>
      <c r="C1183" s="6" t="s">
        <v>10</v>
      </c>
      <c r="G1183" s="38" t="str">
        <f t="shared" si="90"/>
        <v/>
      </c>
      <c r="H1183" s="141" t="str">
        <f t="shared" si="91"/>
        <v/>
      </c>
      <c r="J1183" s="141" t="str">
        <f t="shared" si="92"/>
        <v/>
      </c>
      <c r="K1183" s="141" t="str">
        <f t="shared" si="93"/>
        <v/>
      </c>
      <c r="L1183" s="141" t="str">
        <f t="shared" si="94"/>
        <v/>
      </c>
    </row>
    <row r="1184" spans="1:12" x14ac:dyDescent="0.3">
      <c r="A1184" s="2" t="str">
        <f xml:space="preserve"> IF( 'From SvanPC++'!A1184= "", "", ('From SvanPC++'!A1184))</f>
        <v/>
      </c>
      <c r="C1184" s="6" t="s">
        <v>10</v>
      </c>
      <c r="G1184" s="38" t="str">
        <f t="shared" si="90"/>
        <v/>
      </c>
      <c r="H1184" s="141" t="str">
        <f t="shared" si="91"/>
        <v/>
      </c>
      <c r="J1184" s="141" t="str">
        <f t="shared" si="92"/>
        <v/>
      </c>
      <c r="K1184" s="141" t="str">
        <f t="shared" si="93"/>
        <v/>
      </c>
      <c r="L1184" s="141" t="str">
        <f t="shared" si="94"/>
        <v/>
      </c>
    </row>
    <row r="1185" spans="1:12" x14ac:dyDescent="0.3">
      <c r="A1185" s="2" t="str">
        <f xml:space="preserve"> IF( 'From SvanPC++'!A1185= "", "", ('From SvanPC++'!A1185))</f>
        <v/>
      </c>
      <c r="C1185" s="6" t="s">
        <v>10</v>
      </c>
      <c r="G1185" s="38" t="str">
        <f t="shared" si="90"/>
        <v/>
      </c>
      <c r="H1185" s="141" t="str">
        <f t="shared" si="91"/>
        <v/>
      </c>
      <c r="J1185" s="141" t="str">
        <f t="shared" si="92"/>
        <v/>
      </c>
      <c r="K1185" s="141" t="str">
        <f t="shared" si="93"/>
        <v/>
      </c>
      <c r="L1185" s="141" t="str">
        <f t="shared" si="94"/>
        <v/>
      </c>
    </row>
    <row r="1186" spans="1:12" x14ac:dyDescent="0.3">
      <c r="A1186" s="2" t="str">
        <f xml:space="preserve"> IF( 'From SvanPC++'!A1186= "", "", ('From SvanPC++'!A1186))</f>
        <v/>
      </c>
      <c r="C1186" s="6" t="s">
        <v>10</v>
      </c>
      <c r="G1186" s="38" t="str">
        <f t="shared" si="90"/>
        <v/>
      </c>
      <c r="H1186" s="141" t="str">
        <f t="shared" si="91"/>
        <v/>
      </c>
      <c r="J1186" s="141" t="str">
        <f t="shared" si="92"/>
        <v/>
      </c>
      <c r="K1186" s="141" t="str">
        <f t="shared" si="93"/>
        <v/>
      </c>
      <c r="L1186" s="141" t="str">
        <f t="shared" si="94"/>
        <v/>
      </c>
    </row>
    <row r="1187" spans="1:12" x14ac:dyDescent="0.3">
      <c r="A1187" s="2" t="str">
        <f xml:space="preserve"> IF( 'From SvanPC++'!A1187= "", "", ('From SvanPC++'!A1187))</f>
        <v/>
      </c>
      <c r="C1187" s="6" t="s">
        <v>10</v>
      </c>
      <c r="G1187" s="38" t="str">
        <f t="shared" si="90"/>
        <v/>
      </c>
      <c r="H1187" s="141" t="str">
        <f t="shared" si="91"/>
        <v/>
      </c>
      <c r="J1187" s="141" t="str">
        <f t="shared" si="92"/>
        <v/>
      </c>
      <c r="K1187" s="141" t="str">
        <f t="shared" si="93"/>
        <v/>
      </c>
      <c r="L1187" s="141" t="str">
        <f t="shared" si="94"/>
        <v/>
      </c>
    </row>
    <row r="1188" spans="1:12" x14ac:dyDescent="0.3">
      <c r="A1188" s="2" t="str">
        <f xml:space="preserve"> IF( 'From SvanPC++'!A1188= "", "", ('From SvanPC++'!A1188))</f>
        <v/>
      </c>
      <c r="C1188" s="6" t="s">
        <v>10</v>
      </c>
      <c r="G1188" s="38" t="str">
        <f t="shared" si="90"/>
        <v/>
      </c>
      <c r="H1188" s="141" t="str">
        <f t="shared" si="91"/>
        <v/>
      </c>
      <c r="J1188" s="141" t="str">
        <f t="shared" si="92"/>
        <v/>
      </c>
      <c r="K1188" s="141" t="str">
        <f t="shared" si="93"/>
        <v/>
      </c>
      <c r="L1188" s="141" t="str">
        <f t="shared" si="94"/>
        <v/>
      </c>
    </row>
    <row r="1189" spans="1:12" x14ac:dyDescent="0.3">
      <c r="A1189" s="2" t="str">
        <f xml:space="preserve"> IF( 'From SvanPC++'!A1189= "", "", ('From SvanPC++'!A1189))</f>
        <v/>
      </c>
      <c r="C1189" s="6" t="s">
        <v>10</v>
      </c>
      <c r="G1189" s="38" t="str">
        <f t="shared" si="90"/>
        <v/>
      </c>
      <c r="H1189" s="141" t="str">
        <f t="shared" si="91"/>
        <v/>
      </c>
      <c r="J1189" s="141" t="str">
        <f t="shared" si="92"/>
        <v/>
      </c>
      <c r="K1189" s="141" t="str">
        <f t="shared" si="93"/>
        <v/>
      </c>
      <c r="L1189" s="141" t="str">
        <f t="shared" si="94"/>
        <v/>
      </c>
    </row>
    <row r="1190" spans="1:12" x14ac:dyDescent="0.3">
      <c r="A1190" s="2" t="str">
        <f xml:space="preserve"> IF( 'From SvanPC++'!A1190= "", "", ('From SvanPC++'!A1190))</f>
        <v/>
      </c>
      <c r="C1190" s="6" t="s">
        <v>10</v>
      </c>
      <c r="G1190" s="38" t="str">
        <f t="shared" si="90"/>
        <v/>
      </c>
      <c r="H1190" s="141" t="str">
        <f t="shared" si="91"/>
        <v/>
      </c>
      <c r="J1190" s="141" t="str">
        <f t="shared" si="92"/>
        <v/>
      </c>
      <c r="K1190" s="141" t="str">
        <f t="shared" si="93"/>
        <v/>
      </c>
      <c r="L1190" s="141" t="str">
        <f t="shared" si="94"/>
        <v/>
      </c>
    </row>
    <row r="1191" spans="1:12" x14ac:dyDescent="0.3">
      <c r="A1191" s="2" t="str">
        <f xml:space="preserve"> IF( 'From SvanPC++'!A1191= "", "", ('From SvanPC++'!A1191))</f>
        <v/>
      </c>
      <c r="C1191" s="6" t="s">
        <v>10</v>
      </c>
      <c r="G1191" s="38" t="str">
        <f t="shared" si="90"/>
        <v/>
      </c>
      <c r="H1191" s="141" t="str">
        <f t="shared" si="91"/>
        <v/>
      </c>
      <c r="J1191" s="141" t="str">
        <f t="shared" si="92"/>
        <v/>
      </c>
      <c r="K1191" s="141" t="str">
        <f t="shared" si="93"/>
        <v/>
      </c>
      <c r="L1191" s="141" t="str">
        <f t="shared" si="94"/>
        <v/>
      </c>
    </row>
    <row r="1192" spans="1:12" x14ac:dyDescent="0.3">
      <c r="A1192" s="2" t="str">
        <f xml:space="preserve"> IF( 'From SvanPC++'!A1192= "", "", ('From SvanPC++'!A1192))</f>
        <v/>
      </c>
      <c r="C1192" s="6" t="s">
        <v>10</v>
      </c>
      <c r="G1192" s="38" t="str">
        <f t="shared" si="90"/>
        <v/>
      </c>
      <c r="H1192" s="141" t="str">
        <f t="shared" si="91"/>
        <v/>
      </c>
      <c r="J1192" s="141" t="str">
        <f t="shared" si="92"/>
        <v/>
      </c>
      <c r="K1192" s="141" t="str">
        <f t="shared" si="93"/>
        <v/>
      </c>
      <c r="L1192" s="141" t="str">
        <f t="shared" si="94"/>
        <v/>
      </c>
    </row>
    <row r="1193" spans="1:12" x14ac:dyDescent="0.3">
      <c r="A1193" s="2" t="str">
        <f xml:space="preserve"> IF( 'From SvanPC++'!A1193= "", "", ('From SvanPC++'!A1193))</f>
        <v/>
      </c>
      <c r="C1193" s="6" t="s">
        <v>10</v>
      </c>
      <c r="G1193" s="38" t="str">
        <f t="shared" si="90"/>
        <v/>
      </c>
      <c r="H1193" s="141" t="str">
        <f t="shared" si="91"/>
        <v/>
      </c>
      <c r="J1193" s="141" t="str">
        <f t="shared" si="92"/>
        <v/>
      </c>
      <c r="K1193" s="141" t="str">
        <f t="shared" si="93"/>
        <v/>
      </c>
      <c r="L1193" s="141" t="str">
        <f t="shared" si="94"/>
        <v/>
      </c>
    </row>
    <row r="1194" spans="1:12" x14ac:dyDescent="0.3">
      <c r="A1194" s="2" t="str">
        <f xml:space="preserve"> IF( 'From SvanPC++'!A1194= "", "", ('From SvanPC++'!A1194))</f>
        <v/>
      </c>
      <c r="C1194" s="6" t="s">
        <v>10</v>
      </c>
      <c r="G1194" s="38" t="str">
        <f t="shared" si="90"/>
        <v/>
      </c>
      <c r="H1194" s="141" t="str">
        <f t="shared" si="91"/>
        <v/>
      </c>
      <c r="J1194" s="141" t="str">
        <f t="shared" si="92"/>
        <v/>
      </c>
      <c r="K1194" s="141" t="str">
        <f t="shared" si="93"/>
        <v/>
      </c>
      <c r="L1194" s="141" t="str">
        <f t="shared" si="94"/>
        <v/>
      </c>
    </row>
    <row r="1195" spans="1:12" x14ac:dyDescent="0.3">
      <c r="A1195" s="2" t="str">
        <f xml:space="preserve"> IF( 'From SvanPC++'!A1195= "", "", ('From SvanPC++'!A1195))</f>
        <v/>
      </c>
      <c r="C1195" s="6" t="s">
        <v>10</v>
      </c>
      <c r="G1195" s="38" t="str">
        <f t="shared" si="90"/>
        <v/>
      </c>
      <c r="H1195" s="141" t="str">
        <f t="shared" si="91"/>
        <v/>
      </c>
      <c r="J1195" s="141" t="str">
        <f t="shared" si="92"/>
        <v/>
      </c>
      <c r="K1195" s="141" t="str">
        <f t="shared" si="93"/>
        <v/>
      </c>
      <c r="L1195" s="141" t="str">
        <f t="shared" si="94"/>
        <v/>
      </c>
    </row>
    <row r="1196" spans="1:12" x14ac:dyDescent="0.3">
      <c r="A1196" s="2" t="str">
        <f xml:space="preserve"> IF( 'From SvanPC++'!A1196= "", "", ('From SvanPC++'!A1196))</f>
        <v/>
      </c>
      <c r="C1196" s="6" t="s">
        <v>10</v>
      </c>
      <c r="G1196" s="38" t="str">
        <f t="shared" si="90"/>
        <v/>
      </c>
      <c r="H1196" s="141" t="str">
        <f t="shared" si="91"/>
        <v/>
      </c>
      <c r="J1196" s="141" t="str">
        <f t="shared" si="92"/>
        <v/>
      </c>
      <c r="K1196" s="141" t="str">
        <f t="shared" si="93"/>
        <v/>
      </c>
      <c r="L1196" s="141" t="str">
        <f t="shared" si="94"/>
        <v/>
      </c>
    </row>
    <row r="1197" spans="1:12" x14ac:dyDescent="0.3">
      <c r="A1197" s="2" t="str">
        <f xml:space="preserve"> IF( 'From SvanPC++'!A1197= "", "", ('From SvanPC++'!A1197))</f>
        <v/>
      </c>
      <c r="C1197" s="6" t="s">
        <v>10</v>
      </c>
      <c r="G1197" s="38" t="str">
        <f t="shared" si="90"/>
        <v/>
      </c>
      <c r="H1197" s="141" t="str">
        <f t="shared" si="91"/>
        <v/>
      </c>
      <c r="J1197" s="141" t="str">
        <f t="shared" si="92"/>
        <v/>
      </c>
      <c r="K1197" s="141" t="str">
        <f t="shared" si="93"/>
        <v/>
      </c>
      <c r="L1197" s="141" t="str">
        <f t="shared" si="94"/>
        <v/>
      </c>
    </row>
    <row r="1198" spans="1:12" x14ac:dyDescent="0.3">
      <c r="A1198" s="2" t="str">
        <f xml:space="preserve"> IF( 'From SvanPC++'!A1198= "", "", ('From SvanPC++'!A1198))</f>
        <v/>
      </c>
      <c r="C1198" s="6" t="s">
        <v>10</v>
      </c>
      <c r="G1198" s="38" t="str">
        <f t="shared" si="90"/>
        <v/>
      </c>
      <c r="H1198" s="141" t="str">
        <f t="shared" si="91"/>
        <v/>
      </c>
      <c r="J1198" s="141" t="str">
        <f t="shared" si="92"/>
        <v/>
      </c>
      <c r="K1198" s="141" t="str">
        <f t="shared" si="93"/>
        <v/>
      </c>
      <c r="L1198" s="141" t="str">
        <f t="shared" si="94"/>
        <v/>
      </c>
    </row>
    <row r="1199" spans="1:12" x14ac:dyDescent="0.3">
      <c r="A1199" s="2" t="str">
        <f xml:space="preserve"> IF( 'From SvanPC++'!A1199= "", "", ('From SvanPC++'!A1199))</f>
        <v/>
      </c>
      <c r="C1199" s="6" t="s">
        <v>10</v>
      </c>
      <c r="G1199" s="38" t="str">
        <f t="shared" si="90"/>
        <v/>
      </c>
      <c r="H1199" s="141" t="str">
        <f t="shared" si="91"/>
        <v/>
      </c>
      <c r="J1199" s="141" t="str">
        <f t="shared" si="92"/>
        <v/>
      </c>
      <c r="K1199" s="141" t="str">
        <f t="shared" si="93"/>
        <v/>
      </c>
      <c r="L1199" s="141" t="str">
        <f t="shared" si="94"/>
        <v/>
      </c>
    </row>
    <row r="1200" spans="1:12" x14ac:dyDescent="0.3">
      <c r="A1200" s="2" t="str">
        <f xml:space="preserve"> IF( 'From SvanPC++'!A1200= "", "", ('From SvanPC++'!A1200))</f>
        <v/>
      </c>
      <c r="C1200" s="6" t="s">
        <v>10</v>
      </c>
      <c r="G1200" s="38" t="str">
        <f t="shared" si="90"/>
        <v/>
      </c>
      <c r="H1200" s="141" t="str">
        <f t="shared" si="91"/>
        <v/>
      </c>
      <c r="J1200" s="141" t="str">
        <f t="shared" si="92"/>
        <v/>
      </c>
      <c r="K1200" s="141" t="str">
        <f t="shared" si="93"/>
        <v/>
      </c>
      <c r="L1200" s="141" t="str">
        <f t="shared" si="94"/>
        <v/>
      </c>
    </row>
    <row r="1201" spans="1:12" x14ac:dyDescent="0.3">
      <c r="A1201" s="2" t="str">
        <f xml:space="preserve"> IF( 'From SvanPC++'!A1201= "", "", ('From SvanPC++'!A1201))</f>
        <v/>
      </c>
      <c r="C1201" s="6" t="s">
        <v>10</v>
      </c>
      <c r="G1201" s="38" t="str">
        <f t="shared" si="90"/>
        <v/>
      </c>
      <c r="H1201" s="141" t="str">
        <f t="shared" si="91"/>
        <v/>
      </c>
      <c r="J1201" s="141" t="str">
        <f t="shared" si="92"/>
        <v/>
      </c>
      <c r="K1201" s="141" t="str">
        <f t="shared" si="93"/>
        <v/>
      </c>
      <c r="L1201" s="141" t="str">
        <f t="shared" si="94"/>
        <v/>
      </c>
    </row>
    <row r="1202" spans="1:12" x14ac:dyDescent="0.3">
      <c r="A1202" s="2" t="str">
        <f xml:space="preserve"> IF( 'From SvanPC++'!A1202= "", "", ('From SvanPC++'!A1202))</f>
        <v/>
      </c>
      <c r="C1202" s="6" t="s">
        <v>10</v>
      </c>
      <c r="G1202" s="38" t="str">
        <f t="shared" si="90"/>
        <v/>
      </c>
      <c r="H1202" s="141" t="str">
        <f t="shared" si="91"/>
        <v/>
      </c>
      <c r="J1202" s="141" t="str">
        <f t="shared" si="92"/>
        <v/>
      </c>
      <c r="K1202" s="141" t="str">
        <f t="shared" si="93"/>
        <v/>
      </c>
      <c r="L1202" s="141" t="str">
        <f t="shared" si="94"/>
        <v/>
      </c>
    </row>
    <row r="1203" spans="1:12" x14ac:dyDescent="0.3">
      <c r="A1203" s="2" t="str">
        <f xml:space="preserve"> IF( 'From SvanPC++'!A1203= "", "", ('From SvanPC++'!A1203))</f>
        <v/>
      </c>
      <c r="C1203" s="6" t="s">
        <v>10</v>
      </c>
      <c r="G1203" s="38" t="str">
        <f t="shared" si="90"/>
        <v/>
      </c>
      <c r="H1203" s="141" t="str">
        <f t="shared" si="91"/>
        <v/>
      </c>
      <c r="J1203" s="141" t="str">
        <f t="shared" si="92"/>
        <v/>
      </c>
      <c r="K1203" s="141" t="str">
        <f t="shared" si="93"/>
        <v/>
      </c>
      <c r="L1203" s="141" t="str">
        <f t="shared" si="94"/>
        <v/>
      </c>
    </row>
    <row r="1204" spans="1:12" x14ac:dyDescent="0.3">
      <c r="A1204" s="2" t="str">
        <f xml:space="preserve"> IF( 'From SvanPC++'!A1204= "", "", ('From SvanPC++'!A1204))</f>
        <v/>
      </c>
      <c r="C1204" s="6" t="s">
        <v>10</v>
      </c>
      <c r="G1204" s="38" t="str">
        <f t="shared" si="90"/>
        <v/>
      </c>
      <c r="H1204" s="141" t="str">
        <f t="shared" si="91"/>
        <v/>
      </c>
      <c r="J1204" s="141" t="str">
        <f t="shared" si="92"/>
        <v/>
      </c>
      <c r="K1204" s="141" t="str">
        <f t="shared" si="93"/>
        <v/>
      </c>
      <c r="L1204" s="141" t="str">
        <f t="shared" si="94"/>
        <v/>
      </c>
    </row>
    <row r="1205" spans="1:12" x14ac:dyDescent="0.3">
      <c r="A1205" s="2" t="str">
        <f xml:space="preserve"> IF( 'From SvanPC++'!A1205= "", "", ('From SvanPC++'!A1205))</f>
        <v/>
      </c>
      <c r="C1205" s="6" t="s">
        <v>10</v>
      </c>
      <c r="G1205" s="38" t="str">
        <f t="shared" si="90"/>
        <v/>
      </c>
      <c r="H1205" s="141" t="str">
        <f t="shared" si="91"/>
        <v/>
      </c>
      <c r="J1205" s="141" t="str">
        <f t="shared" si="92"/>
        <v/>
      </c>
      <c r="K1205" s="141" t="str">
        <f t="shared" si="93"/>
        <v/>
      </c>
      <c r="L1205" s="141" t="str">
        <f t="shared" si="94"/>
        <v/>
      </c>
    </row>
    <row r="1206" spans="1:12" x14ac:dyDescent="0.3">
      <c r="A1206" s="2" t="str">
        <f xml:space="preserve"> IF( 'From SvanPC++'!A1206= "", "", ('From SvanPC++'!A1206))</f>
        <v/>
      </c>
      <c r="C1206" s="6" t="s">
        <v>10</v>
      </c>
      <c r="G1206" s="38" t="str">
        <f t="shared" si="90"/>
        <v/>
      </c>
      <c r="H1206" s="141" t="str">
        <f t="shared" si="91"/>
        <v/>
      </c>
      <c r="J1206" s="141" t="str">
        <f t="shared" si="92"/>
        <v/>
      </c>
      <c r="K1206" s="141" t="str">
        <f t="shared" si="93"/>
        <v/>
      </c>
      <c r="L1206" s="141" t="str">
        <f t="shared" si="94"/>
        <v/>
      </c>
    </row>
    <row r="1207" spans="1:12" x14ac:dyDescent="0.3">
      <c r="A1207" s="2" t="str">
        <f xml:space="preserve"> IF( 'From SvanPC++'!A1207= "", "", ('From SvanPC++'!A1207))</f>
        <v/>
      </c>
      <c r="C1207" s="6" t="s">
        <v>10</v>
      </c>
      <c r="G1207" s="38" t="str">
        <f t="shared" si="90"/>
        <v/>
      </c>
      <c r="H1207" s="141" t="str">
        <f t="shared" si="91"/>
        <v/>
      </c>
      <c r="J1207" s="141" t="str">
        <f t="shared" si="92"/>
        <v/>
      </c>
      <c r="K1207" s="141" t="str">
        <f t="shared" si="93"/>
        <v/>
      </c>
      <c r="L1207" s="141" t="str">
        <f t="shared" si="94"/>
        <v/>
      </c>
    </row>
    <row r="1208" spans="1:12" x14ac:dyDescent="0.3">
      <c r="A1208" s="2" t="str">
        <f xml:space="preserve"> IF( 'From SvanPC++'!A1208= "", "", ('From SvanPC++'!A1208))</f>
        <v/>
      </c>
      <c r="C1208" s="6" t="s">
        <v>10</v>
      </c>
      <c r="G1208" s="38" t="str">
        <f t="shared" si="90"/>
        <v/>
      </c>
      <c r="H1208" s="141" t="str">
        <f t="shared" si="91"/>
        <v/>
      </c>
      <c r="J1208" s="141" t="str">
        <f t="shared" si="92"/>
        <v/>
      </c>
      <c r="K1208" s="141" t="str">
        <f t="shared" si="93"/>
        <v/>
      </c>
      <c r="L1208" s="141" t="str">
        <f t="shared" si="94"/>
        <v/>
      </c>
    </row>
    <row r="1209" spans="1:12" x14ac:dyDescent="0.3">
      <c r="A1209" s="2" t="str">
        <f xml:space="preserve"> IF( 'From SvanPC++'!A1209= "", "", ('From SvanPC++'!A1209))</f>
        <v/>
      </c>
      <c r="C1209" s="6" t="s">
        <v>10</v>
      </c>
      <c r="G1209" s="38" t="str">
        <f t="shared" si="90"/>
        <v/>
      </c>
      <c r="H1209" s="141" t="str">
        <f t="shared" si="91"/>
        <v/>
      </c>
      <c r="J1209" s="141" t="str">
        <f t="shared" si="92"/>
        <v/>
      </c>
      <c r="K1209" s="141" t="str">
        <f t="shared" si="93"/>
        <v/>
      </c>
      <c r="L1209" s="141" t="str">
        <f t="shared" si="94"/>
        <v/>
      </c>
    </row>
    <row r="1210" spans="1:12" x14ac:dyDescent="0.3">
      <c r="A1210" s="2" t="str">
        <f xml:space="preserve"> IF( 'From SvanPC++'!A1210= "", "", ('From SvanPC++'!A1210))</f>
        <v/>
      </c>
      <c r="C1210" s="6" t="s">
        <v>10</v>
      </c>
      <c r="G1210" s="38" t="str">
        <f t="shared" si="90"/>
        <v/>
      </c>
      <c r="H1210" s="141" t="str">
        <f t="shared" si="91"/>
        <v/>
      </c>
      <c r="J1210" s="141" t="str">
        <f t="shared" si="92"/>
        <v/>
      </c>
      <c r="K1210" s="141" t="str">
        <f t="shared" si="93"/>
        <v/>
      </c>
      <c r="L1210" s="141" t="str">
        <f t="shared" si="94"/>
        <v/>
      </c>
    </row>
    <row r="1211" spans="1:12" x14ac:dyDescent="0.3">
      <c r="A1211" s="2" t="str">
        <f xml:space="preserve"> IF( 'From SvanPC++'!A1211= "", "", ('From SvanPC++'!A1211))</f>
        <v/>
      </c>
      <c r="C1211" s="6" t="s">
        <v>10</v>
      </c>
      <c r="G1211" s="38" t="str">
        <f t="shared" si="90"/>
        <v/>
      </c>
      <c r="H1211" s="141" t="str">
        <f t="shared" si="91"/>
        <v/>
      </c>
      <c r="J1211" s="141" t="str">
        <f t="shared" si="92"/>
        <v/>
      </c>
      <c r="K1211" s="141" t="str">
        <f t="shared" si="93"/>
        <v/>
      </c>
      <c r="L1211" s="141" t="str">
        <f t="shared" si="94"/>
        <v/>
      </c>
    </row>
    <row r="1212" spans="1:12" x14ac:dyDescent="0.3">
      <c r="A1212" s="2" t="str">
        <f xml:space="preserve"> IF( 'From SvanPC++'!A1212= "", "", ('From SvanPC++'!A1212))</f>
        <v/>
      </c>
      <c r="C1212" s="6" t="s">
        <v>10</v>
      </c>
      <c r="G1212" s="38" t="str">
        <f t="shared" si="90"/>
        <v/>
      </c>
      <c r="H1212" s="141" t="str">
        <f t="shared" si="91"/>
        <v/>
      </c>
      <c r="J1212" s="141" t="str">
        <f t="shared" si="92"/>
        <v/>
      </c>
      <c r="K1212" s="141" t="str">
        <f t="shared" si="93"/>
        <v/>
      </c>
      <c r="L1212" s="141" t="str">
        <f t="shared" si="94"/>
        <v/>
      </c>
    </row>
    <row r="1213" spans="1:12" x14ac:dyDescent="0.3">
      <c r="A1213" s="2" t="str">
        <f xml:space="preserve"> IF( 'From SvanPC++'!A1213= "", "", ('From SvanPC++'!A1213))</f>
        <v/>
      </c>
      <c r="C1213" s="6" t="s">
        <v>10</v>
      </c>
      <c r="G1213" s="38" t="str">
        <f t="shared" si="90"/>
        <v/>
      </c>
      <c r="H1213" s="141" t="str">
        <f t="shared" si="91"/>
        <v/>
      </c>
      <c r="J1213" s="141" t="str">
        <f t="shared" si="92"/>
        <v/>
      </c>
      <c r="K1213" s="141" t="str">
        <f t="shared" si="93"/>
        <v/>
      </c>
      <c r="L1213" s="141" t="str">
        <f t="shared" si="94"/>
        <v/>
      </c>
    </row>
    <row r="1214" spans="1:12" x14ac:dyDescent="0.3">
      <c r="A1214" s="2" t="str">
        <f xml:space="preserve"> IF( 'From SvanPC++'!A1214= "", "", ('From SvanPC++'!A1214))</f>
        <v/>
      </c>
      <c r="C1214" s="6" t="s">
        <v>10</v>
      </c>
      <c r="G1214" s="38" t="str">
        <f t="shared" si="90"/>
        <v/>
      </c>
      <c r="H1214" s="141" t="str">
        <f t="shared" si="91"/>
        <v/>
      </c>
      <c r="J1214" s="141" t="str">
        <f t="shared" si="92"/>
        <v/>
      </c>
      <c r="K1214" s="141" t="str">
        <f t="shared" si="93"/>
        <v/>
      </c>
      <c r="L1214" s="141" t="str">
        <f t="shared" si="94"/>
        <v/>
      </c>
    </row>
    <row r="1215" spans="1:12" x14ac:dyDescent="0.3">
      <c r="A1215" s="2" t="str">
        <f xml:space="preserve"> IF( 'From SvanPC++'!A1215= "", "", ('From SvanPC++'!A1215))</f>
        <v/>
      </c>
      <c r="C1215" s="6" t="s">
        <v>10</v>
      </c>
      <c r="G1215" s="38" t="str">
        <f t="shared" si="90"/>
        <v/>
      </c>
      <c r="H1215" s="141" t="str">
        <f t="shared" si="91"/>
        <v/>
      </c>
      <c r="J1215" s="141" t="str">
        <f t="shared" si="92"/>
        <v/>
      </c>
      <c r="K1215" s="141" t="str">
        <f t="shared" si="93"/>
        <v/>
      </c>
      <c r="L1215" s="141" t="str">
        <f t="shared" si="94"/>
        <v/>
      </c>
    </row>
    <row r="1216" spans="1:12" x14ac:dyDescent="0.3">
      <c r="A1216" s="2" t="str">
        <f xml:space="preserve"> IF( 'From SvanPC++'!A1216= "", "", ('From SvanPC++'!A1216))</f>
        <v/>
      </c>
      <c r="C1216" s="6" t="s">
        <v>10</v>
      </c>
      <c r="G1216" s="38" t="str">
        <f t="shared" si="90"/>
        <v/>
      </c>
      <c r="H1216" s="141" t="str">
        <f t="shared" si="91"/>
        <v/>
      </c>
      <c r="J1216" s="141" t="str">
        <f t="shared" si="92"/>
        <v/>
      </c>
      <c r="K1216" s="141" t="str">
        <f t="shared" si="93"/>
        <v/>
      </c>
      <c r="L1216" s="141" t="str">
        <f t="shared" si="94"/>
        <v/>
      </c>
    </row>
    <row r="1217" spans="1:12" x14ac:dyDescent="0.3">
      <c r="A1217" s="2" t="str">
        <f xml:space="preserve"> IF( 'From SvanPC++'!A1217= "", "", ('From SvanPC++'!A1217))</f>
        <v/>
      </c>
      <c r="C1217" s="6" t="s">
        <v>10</v>
      </c>
      <c r="G1217" s="38" t="str">
        <f t="shared" si="90"/>
        <v/>
      </c>
      <c r="H1217" s="141" t="str">
        <f t="shared" si="91"/>
        <v/>
      </c>
      <c r="J1217" s="141" t="str">
        <f t="shared" si="92"/>
        <v/>
      </c>
      <c r="K1217" s="141" t="str">
        <f t="shared" si="93"/>
        <v/>
      </c>
      <c r="L1217" s="141" t="str">
        <f t="shared" si="94"/>
        <v/>
      </c>
    </row>
    <row r="1218" spans="1:12" x14ac:dyDescent="0.3">
      <c r="A1218" s="2" t="str">
        <f xml:space="preserve"> IF( 'From SvanPC++'!A1218= "", "", ('From SvanPC++'!A1218))</f>
        <v/>
      </c>
      <c r="C1218" s="6" t="s">
        <v>10</v>
      </c>
      <c r="G1218" s="38" t="str">
        <f t="shared" si="90"/>
        <v/>
      </c>
      <c r="H1218" s="141" t="str">
        <f t="shared" si="91"/>
        <v/>
      </c>
      <c r="J1218" s="141" t="str">
        <f t="shared" si="92"/>
        <v/>
      </c>
      <c r="K1218" s="141" t="str">
        <f t="shared" si="93"/>
        <v/>
      </c>
      <c r="L1218" s="141" t="str">
        <f t="shared" si="94"/>
        <v/>
      </c>
    </row>
    <row r="1219" spans="1:12" x14ac:dyDescent="0.3">
      <c r="A1219" s="2" t="str">
        <f xml:space="preserve"> IF( 'From SvanPC++'!A1219= "", "", ('From SvanPC++'!A1219))</f>
        <v/>
      </c>
      <c r="C1219" s="6" t="s">
        <v>10</v>
      </c>
      <c r="G1219" s="38" t="str">
        <f t="shared" si="90"/>
        <v/>
      </c>
      <c r="H1219" s="141" t="str">
        <f t="shared" si="91"/>
        <v/>
      </c>
      <c r="J1219" s="141" t="str">
        <f t="shared" si="92"/>
        <v/>
      </c>
      <c r="K1219" s="141" t="str">
        <f t="shared" si="93"/>
        <v/>
      </c>
      <c r="L1219" s="141" t="str">
        <f t="shared" si="94"/>
        <v/>
      </c>
    </row>
    <row r="1220" spans="1:12" x14ac:dyDescent="0.3">
      <c r="A1220" s="2" t="str">
        <f xml:space="preserve"> IF( 'From SvanPC++'!A1220= "", "", ('From SvanPC++'!A1220))</f>
        <v/>
      </c>
      <c r="C1220" s="6" t="s">
        <v>10</v>
      </c>
      <c r="G1220" s="38" t="str">
        <f t="shared" si="90"/>
        <v/>
      </c>
      <c r="H1220" s="141" t="str">
        <f t="shared" si="91"/>
        <v/>
      </c>
      <c r="J1220" s="141" t="str">
        <f t="shared" si="92"/>
        <v/>
      </c>
      <c r="K1220" s="141" t="str">
        <f t="shared" si="93"/>
        <v/>
      </c>
      <c r="L1220" s="141" t="str">
        <f t="shared" si="94"/>
        <v/>
      </c>
    </row>
    <row r="1221" spans="1:12" x14ac:dyDescent="0.3">
      <c r="A1221" s="2" t="str">
        <f xml:space="preserve"> IF( 'From SvanPC++'!A1221= "", "", ('From SvanPC++'!A1221))</f>
        <v/>
      </c>
      <c r="C1221" s="6" t="s">
        <v>10</v>
      </c>
      <c r="G1221" s="38" t="str">
        <f t="shared" si="90"/>
        <v/>
      </c>
      <c r="H1221" s="141" t="str">
        <f t="shared" si="91"/>
        <v/>
      </c>
      <c r="J1221" s="141" t="str">
        <f t="shared" si="92"/>
        <v/>
      </c>
      <c r="K1221" s="141" t="str">
        <f t="shared" si="93"/>
        <v/>
      </c>
      <c r="L1221" s="141" t="str">
        <f t="shared" si="94"/>
        <v/>
      </c>
    </row>
    <row r="1222" spans="1:12" x14ac:dyDescent="0.3">
      <c r="A1222" s="2" t="str">
        <f xml:space="preserve"> IF( 'From SvanPC++'!A1222= "", "", ('From SvanPC++'!A1222))</f>
        <v/>
      </c>
      <c r="C1222" s="6" t="s">
        <v>10</v>
      </c>
      <c r="G1222" s="38" t="str">
        <f t="shared" si="90"/>
        <v/>
      </c>
      <c r="H1222" s="141" t="str">
        <f t="shared" si="91"/>
        <v/>
      </c>
      <c r="J1222" s="141" t="str">
        <f t="shared" si="92"/>
        <v/>
      </c>
      <c r="K1222" s="141" t="str">
        <f t="shared" si="93"/>
        <v/>
      </c>
      <c r="L1222" s="141" t="str">
        <f t="shared" si="94"/>
        <v/>
      </c>
    </row>
    <row r="1223" spans="1:12" x14ac:dyDescent="0.3">
      <c r="A1223" s="2" t="str">
        <f xml:space="preserve"> IF( 'From SvanPC++'!A1223= "", "", ('From SvanPC++'!A1223))</f>
        <v/>
      </c>
      <c r="C1223" s="6" t="s">
        <v>10</v>
      </c>
      <c r="G1223" s="38" t="str">
        <f t="shared" ref="G1223:G1286" si="95" xml:space="preserve"> IF( D1223= "", "", ( IF( AND( D1223 &gt;= TIMEVALUE( "07:00:01" ), D1223 &lt; TIMEVALUE( "08:00:01" ) ) = TRUE, (G1222+1), (G1222+0) )))</f>
        <v/>
      </c>
      <c r="H1223" s="141" t="str">
        <f t="shared" ref="H1223:H1286" si="96" xml:space="preserve"> IF( D1223= "", "", (
IF( AND( D1223 &gt;= TIMEVALUE( "07:00:01" ), D1223 &lt;= TIMEVALUE( "18:00:00" ), WEEKDAY( C1223,1+N("            Weekday Day Period              ")) &gt;=2, ( WEEKDAY( C1223,1) &lt;=6) ) = TRUE, "Day",
IF( AND( D1223 &gt;= TIMEVALUE( "18:00:01" ), D1223 &lt;= TIMEVALUE( "22:00:00" ), WEEKDAY( C1223,1+N("            Weekday Evening Period          ")) &gt;=2, ( WEEKDAY( C1223,1) &lt;=6) ) = TRUE, "Evening",
IF( AND( D1223 &gt;= TIMEVALUE( "22:00:01" ), D1223 &lt;= TIMEVALUE( "23:59:59" ), WEEKDAY( C1223,1+N("            Weekday Night Period            ")) &gt;=2, ( WEEKDAY( C1223,1) &lt;=6) ) = TRUE, "Night",
IF( AND( D1223 &gt;= TIMEVALUE( "00:00:00" ), D1223 &lt;= TIMEVALUE( "07:00:00" ), WEEKDAY( C1223,1+N("            Weekday Night Period            ")) &gt;=2, ( WEEKDAY( C1223,1) &lt;=6) ) = TRUE, "Night",
IF( AND( D1223 &gt;= TIMEVALUE( "07:00:01" ), D1223 &lt;= TIMEVALUE( "18:00:00" ), WEEKDAY( C1223) =(7+N("         Saturday Day Period             ")) ) = TRUE, "Day",
IF( AND( D1223 &gt;= TIMEVALUE( "18:00:01" ), D1223 &lt;= TIMEVALUE( "22:00:00" ), WEEKDAY( C1223) =(7+N("         Saturday Evening Period         ")) ) = TRUE, "Evening",
IF( AND( D1223 &gt;= TIMEVALUE( "22:00:01" ), D1223 &lt;= TIMEVALUE( "23:59:59" ), WEEKDAY( C1223) =(7+N("         Saturday Night Period           ")) ) = TRUE, "Night",
IF( AND( D1223 &gt;= TIMEVALUE( "00:00:00" ), D1223 &lt;= TIMEVALUE( "07:00:00" ), WEEKDAY( C1223) =(7+N("         Saturday Night Period           ")) ) = TRUE, "Night",
IF( AND( D1223 &gt;= TIMEVALUE( "07:00:01" ), D1223 &lt;= TIMEVALUE( "22:00:00" ), WEEKDAY( C1223) =(1+N("         Sunday Evening Period           ")) ) = TRUE, "Evening",
IF( AND( D1223 &gt;= TIMEVALUE( "20:00:01" ), D1223 &lt;= TIMEVALUE( "23:59:59" ), WEEKDAY( C1223) =(1+N("         Sunday Night Period             ")) ) = TRUE, "Night",
IF( AND( D1223 &gt;= TIMEVALUE( "00:00:00" ), D1223 &lt;= TIMEVALUE( "07:00:00" ), WEEKDAY( C1223) =(1+N("         Sunday Night Period             ")) ) = TRUE, "Night",
)))))))))))))</f>
        <v/>
      </c>
      <c r="J1223" s="141" t="str">
        <f t="shared" si="92"/>
        <v/>
      </c>
      <c r="K1223" s="141" t="str">
        <f t="shared" si="93"/>
        <v/>
      </c>
      <c r="L1223" s="141" t="str">
        <f t="shared" si="94"/>
        <v/>
      </c>
    </row>
    <row r="1224" spans="1:12" x14ac:dyDescent="0.3">
      <c r="A1224" s="2" t="str">
        <f xml:space="preserve"> IF( 'From SvanPC++'!A1224= "", "", ('From SvanPC++'!A1224))</f>
        <v/>
      </c>
      <c r="C1224" s="6" t="s">
        <v>10</v>
      </c>
      <c r="G1224" s="38" t="str">
        <f t="shared" si="95"/>
        <v/>
      </c>
      <c r="H1224" s="141" t="str">
        <f t="shared" si="96"/>
        <v/>
      </c>
      <c r="J1224" s="141" t="str">
        <f t="shared" ref="J1224:J1287" si="97" xml:space="preserve"> IF( ISERROR( IF( D1224= "", "", ( IF( G1224= (G1223+1), ( AVERAGEIFS( E1224:E1368, G1224:G1368, G1224, H1224:H1368, "Day" )), "" )))), "",( IF( D1224= "", "", ( IF( G1224= (G1223+1), ( AVERAGEIFS( E1224:E1368, G1224:G1368, G1224, H1224:H1368, "Day" )), "" )))))</f>
        <v/>
      </c>
      <c r="K1224" s="141" t="str">
        <f t="shared" ref="K1224:K1287" si="98" xml:space="preserve"> IF( ISERROR( IF( D1224= "", "", ( IF( G1224= (G1223+1), ( AVERAGEIFS( E1224:E1368, G1224:G1368, G1224, H1224:H1368, "Evening" )), "" )))), "",( IF( D1224= "", "", ( IF( G1224= (G1223+1), ( AVERAGEIFS( E1224:E1368, G1224:G1368, G1224, H1224:H1368, "Evening" )), "" )))))</f>
        <v/>
      </c>
      <c r="L1224" s="141" t="str">
        <f t="shared" ref="L1224:L1287" si="99" xml:space="preserve"> IF( ISERROR( IF( D1224= "", "", ( IF( G1224= (G1223+1), ( AVERAGEIFS( E1224:E1368, G1224:G1368, G1224, H1224:H1368, "Night" )), "" )))), "",( IF( D1224= "", "", ( IF( G1224= (G1223+1), ( AVERAGEIFS( E1224:E1368, G1224:G1368, G1224, H1224:H1368, "Night" )), "" )))))</f>
        <v/>
      </c>
    </row>
    <row r="1225" spans="1:12" x14ac:dyDescent="0.3">
      <c r="A1225" s="2" t="str">
        <f xml:space="preserve"> IF( 'From SvanPC++'!A1225= "", "", ('From SvanPC++'!A1225))</f>
        <v/>
      </c>
      <c r="C1225" s="6" t="s">
        <v>10</v>
      </c>
      <c r="G1225" s="38" t="str">
        <f t="shared" si="95"/>
        <v/>
      </c>
      <c r="H1225" s="141" t="str">
        <f t="shared" si="96"/>
        <v/>
      </c>
      <c r="J1225" s="141" t="str">
        <f t="shared" si="97"/>
        <v/>
      </c>
      <c r="K1225" s="141" t="str">
        <f t="shared" si="98"/>
        <v/>
      </c>
      <c r="L1225" s="141" t="str">
        <f t="shared" si="99"/>
        <v/>
      </c>
    </row>
    <row r="1226" spans="1:12" x14ac:dyDescent="0.3">
      <c r="A1226" s="2" t="str">
        <f xml:space="preserve"> IF( 'From SvanPC++'!A1226= "", "", ('From SvanPC++'!A1226))</f>
        <v/>
      </c>
      <c r="C1226" s="6" t="s">
        <v>10</v>
      </c>
      <c r="G1226" s="38" t="str">
        <f t="shared" si="95"/>
        <v/>
      </c>
      <c r="H1226" s="141" t="str">
        <f t="shared" si="96"/>
        <v/>
      </c>
      <c r="J1226" s="141" t="str">
        <f t="shared" si="97"/>
        <v/>
      </c>
      <c r="K1226" s="141" t="str">
        <f t="shared" si="98"/>
        <v/>
      </c>
      <c r="L1226" s="141" t="str">
        <f t="shared" si="99"/>
        <v/>
      </c>
    </row>
    <row r="1227" spans="1:12" x14ac:dyDescent="0.3">
      <c r="A1227" s="2" t="str">
        <f xml:space="preserve"> IF( 'From SvanPC++'!A1227= "", "", ('From SvanPC++'!A1227))</f>
        <v/>
      </c>
      <c r="C1227" s="6" t="s">
        <v>10</v>
      </c>
      <c r="G1227" s="38" t="str">
        <f t="shared" si="95"/>
        <v/>
      </c>
      <c r="H1227" s="141" t="str">
        <f t="shared" si="96"/>
        <v/>
      </c>
      <c r="J1227" s="141" t="str">
        <f t="shared" si="97"/>
        <v/>
      </c>
      <c r="K1227" s="141" t="str">
        <f t="shared" si="98"/>
        <v/>
      </c>
      <c r="L1227" s="141" t="str">
        <f t="shared" si="99"/>
        <v/>
      </c>
    </row>
    <row r="1228" spans="1:12" x14ac:dyDescent="0.3">
      <c r="A1228" s="2" t="str">
        <f xml:space="preserve"> IF( 'From SvanPC++'!A1228= "", "", ('From SvanPC++'!A1228))</f>
        <v/>
      </c>
      <c r="C1228" s="6" t="s">
        <v>10</v>
      </c>
      <c r="G1228" s="38" t="str">
        <f t="shared" si="95"/>
        <v/>
      </c>
      <c r="H1228" s="141" t="str">
        <f t="shared" si="96"/>
        <v/>
      </c>
      <c r="J1228" s="141" t="str">
        <f t="shared" si="97"/>
        <v/>
      </c>
      <c r="K1228" s="141" t="str">
        <f t="shared" si="98"/>
        <v/>
      </c>
      <c r="L1228" s="141" t="str">
        <f t="shared" si="99"/>
        <v/>
      </c>
    </row>
    <row r="1229" spans="1:12" x14ac:dyDescent="0.3">
      <c r="A1229" s="2" t="str">
        <f xml:space="preserve"> IF( 'From SvanPC++'!A1229= "", "", ('From SvanPC++'!A1229))</f>
        <v/>
      </c>
      <c r="C1229" s="6" t="s">
        <v>10</v>
      </c>
      <c r="G1229" s="38" t="str">
        <f t="shared" si="95"/>
        <v/>
      </c>
      <c r="H1229" s="141" t="str">
        <f t="shared" si="96"/>
        <v/>
      </c>
      <c r="J1229" s="141" t="str">
        <f t="shared" si="97"/>
        <v/>
      </c>
      <c r="K1229" s="141" t="str">
        <f t="shared" si="98"/>
        <v/>
      </c>
      <c r="L1229" s="141" t="str">
        <f t="shared" si="99"/>
        <v/>
      </c>
    </row>
    <row r="1230" spans="1:12" x14ac:dyDescent="0.3">
      <c r="A1230" s="2" t="str">
        <f xml:space="preserve"> IF( 'From SvanPC++'!A1230= "", "", ('From SvanPC++'!A1230))</f>
        <v/>
      </c>
      <c r="C1230" s="6" t="s">
        <v>10</v>
      </c>
      <c r="G1230" s="38" t="str">
        <f t="shared" si="95"/>
        <v/>
      </c>
      <c r="H1230" s="141" t="str">
        <f t="shared" si="96"/>
        <v/>
      </c>
      <c r="J1230" s="141" t="str">
        <f t="shared" si="97"/>
        <v/>
      </c>
      <c r="K1230" s="141" t="str">
        <f t="shared" si="98"/>
        <v/>
      </c>
      <c r="L1230" s="141" t="str">
        <f t="shared" si="99"/>
        <v/>
      </c>
    </row>
    <row r="1231" spans="1:12" x14ac:dyDescent="0.3">
      <c r="A1231" s="2" t="str">
        <f xml:space="preserve"> IF( 'From SvanPC++'!A1231= "", "", ('From SvanPC++'!A1231))</f>
        <v/>
      </c>
      <c r="C1231" s="6" t="s">
        <v>10</v>
      </c>
      <c r="G1231" s="38" t="str">
        <f t="shared" si="95"/>
        <v/>
      </c>
      <c r="H1231" s="141" t="str">
        <f t="shared" si="96"/>
        <v/>
      </c>
      <c r="J1231" s="141" t="str">
        <f t="shared" si="97"/>
        <v/>
      </c>
      <c r="K1231" s="141" t="str">
        <f t="shared" si="98"/>
        <v/>
      </c>
      <c r="L1231" s="141" t="str">
        <f t="shared" si="99"/>
        <v/>
      </c>
    </row>
    <row r="1232" spans="1:12" x14ac:dyDescent="0.3">
      <c r="A1232" s="2" t="str">
        <f xml:space="preserve"> IF( 'From SvanPC++'!A1232= "", "", ('From SvanPC++'!A1232))</f>
        <v/>
      </c>
      <c r="C1232" s="6" t="s">
        <v>10</v>
      </c>
      <c r="G1232" s="38" t="str">
        <f t="shared" si="95"/>
        <v/>
      </c>
      <c r="H1232" s="141" t="str">
        <f t="shared" si="96"/>
        <v/>
      </c>
      <c r="J1232" s="141" t="str">
        <f t="shared" si="97"/>
        <v/>
      </c>
      <c r="K1232" s="141" t="str">
        <f t="shared" si="98"/>
        <v/>
      </c>
      <c r="L1232" s="141" t="str">
        <f t="shared" si="99"/>
        <v/>
      </c>
    </row>
    <row r="1233" spans="1:12" x14ac:dyDescent="0.3">
      <c r="A1233" s="2" t="str">
        <f xml:space="preserve"> IF( 'From SvanPC++'!A1233= "", "", ('From SvanPC++'!A1233))</f>
        <v/>
      </c>
      <c r="C1233" s="6" t="s">
        <v>10</v>
      </c>
      <c r="G1233" s="38" t="str">
        <f t="shared" si="95"/>
        <v/>
      </c>
      <c r="H1233" s="141" t="str">
        <f t="shared" si="96"/>
        <v/>
      </c>
      <c r="J1233" s="141" t="str">
        <f t="shared" si="97"/>
        <v/>
      </c>
      <c r="K1233" s="141" t="str">
        <f t="shared" si="98"/>
        <v/>
      </c>
      <c r="L1233" s="141" t="str">
        <f t="shared" si="99"/>
        <v/>
      </c>
    </row>
    <row r="1234" spans="1:12" x14ac:dyDescent="0.3">
      <c r="A1234" s="2" t="str">
        <f xml:space="preserve"> IF( 'From SvanPC++'!A1234= "", "", ('From SvanPC++'!A1234))</f>
        <v/>
      </c>
      <c r="C1234" s="6" t="s">
        <v>10</v>
      </c>
      <c r="G1234" s="38" t="str">
        <f t="shared" si="95"/>
        <v/>
      </c>
      <c r="H1234" s="141" t="str">
        <f t="shared" si="96"/>
        <v/>
      </c>
      <c r="J1234" s="141" t="str">
        <f t="shared" si="97"/>
        <v/>
      </c>
      <c r="K1234" s="141" t="str">
        <f t="shared" si="98"/>
        <v/>
      </c>
      <c r="L1234" s="141" t="str">
        <f t="shared" si="99"/>
        <v/>
      </c>
    </row>
    <row r="1235" spans="1:12" x14ac:dyDescent="0.3">
      <c r="A1235" s="2" t="str">
        <f xml:space="preserve"> IF( 'From SvanPC++'!A1235= "", "", ('From SvanPC++'!A1235))</f>
        <v/>
      </c>
      <c r="C1235" s="6" t="s">
        <v>10</v>
      </c>
      <c r="G1235" s="38" t="str">
        <f t="shared" si="95"/>
        <v/>
      </c>
      <c r="H1235" s="141" t="str">
        <f t="shared" si="96"/>
        <v/>
      </c>
      <c r="J1235" s="141" t="str">
        <f t="shared" si="97"/>
        <v/>
      </c>
      <c r="K1235" s="141" t="str">
        <f t="shared" si="98"/>
        <v/>
      </c>
      <c r="L1235" s="141" t="str">
        <f t="shared" si="99"/>
        <v/>
      </c>
    </row>
    <row r="1236" spans="1:12" x14ac:dyDescent="0.3">
      <c r="A1236" s="2" t="str">
        <f xml:space="preserve"> IF( 'From SvanPC++'!A1236= "", "", ('From SvanPC++'!A1236))</f>
        <v/>
      </c>
      <c r="C1236" s="6" t="s">
        <v>10</v>
      </c>
      <c r="G1236" s="38" t="str">
        <f t="shared" si="95"/>
        <v/>
      </c>
      <c r="H1236" s="141" t="str">
        <f t="shared" si="96"/>
        <v/>
      </c>
      <c r="J1236" s="141" t="str">
        <f t="shared" si="97"/>
        <v/>
      </c>
      <c r="K1236" s="141" t="str">
        <f t="shared" si="98"/>
        <v/>
      </c>
      <c r="L1236" s="141" t="str">
        <f t="shared" si="99"/>
        <v/>
      </c>
    </row>
    <row r="1237" spans="1:12" x14ac:dyDescent="0.3">
      <c r="A1237" s="2" t="str">
        <f xml:space="preserve"> IF( 'From SvanPC++'!A1237= "", "", ('From SvanPC++'!A1237))</f>
        <v/>
      </c>
      <c r="C1237" s="6" t="s">
        <v>10</v>
      </c>
      <c r="G1237" s="38" t="str">
        <f t="shared" si="95"/>
        <v/>
      </c>
      <c r="H1237" s="141" t="str">
        <f t="shared" si="96"/>
        <v/>
      </c>
      <c r="J1237" s="141" t="str">
        <f t="shared" si="97"/>
        <v/>
      </c>
      <c r="K1237" s="141" t="str">
        <f t="shared" si="98"/>
        <v/>
      </c>
      <c r="L1237" s="141" t="str">
        <f t="shared" si="99"/>
        <v/>
      </c>
    </row>
    <row r="1238" spans="1:12" x14ac:dyDescent="0.3">
      <c r="A1238" s="2" t="str">
        <f xml:space="preserve"> IF( 'From SvanPC++'!A1238= "", "", ('From SvanPC++'!A1238))</f>
        <v/>
      </c>
      <c r="C1238" s="6" t="s">
        <v>10</v>
      </c>
      <c r="G1238" s="38" t="str">
        <f t="shared" si="95"/>
        <v/>
      </c>
      <c r="H1238" s="141" t="str">
        <f t="shared" si="96"/>
        <v/>
      </c>
      <c r="J1238" s="141" t="str">
        <f t="shared" si="97"/>
        <v/>
      </c>
      <c r="K1238" s="141" t="str">
        <f t="shared" si="98"/>
        <v/>
      </c>
      <c r="L1238" s="141" t="str">
        <f t="shared" si="99"/>
        <v/>
      </c>
    </row>
    <row r="1239" spans="1:12" x14ac:dyDescent="0.3">
      <c r="A1239" s="2" t="str">
        <f xml:space="preserve"> IF( 'From SvanPC++'!A1239= "", "", ('From SvanPC++'!A1239))</f>
        <v/>
      </c>
      <c r="C1239" s="6" t="s">
        <v>10</v>
      </c>
      <c r="G1239" s="38" t="str">
        <f t="shared" si="95"/>
        <v/>
      </c>
      <c r="H1239" s="141" t="str">
        <f t="shared" si="96"/>
        <v/>
      </c>
      <c r="J1239" s="141" t="str">
        <f t="shared" si="97"/>
        <v/>
      </c>
      <c r="K1239" s="141" t="str">
        <f t="shared" si="98"/>
        <v/>
      </c>
      <c r="L1239" s="141" t="str">
        <f t="shared" si="99"/>
        <v/>
      </c>
    </row>
    <row r="1240" spans="1:12" x14ac:dyDescent="0.3">
      <c r="A1240" s="2" t="str">
        <f xml:space="preserve"> IF( 'From SvanPC++'!A1240= "", "", ('From SvanPC++'!A1240))</f>
        <v/>
      </c>
      <c r="C1240" s="6" t="s">
        <v>10</v>
      </c>
      <c r="G1240" s="38" t="str">
        <f t="shared" si="95"/>
        <v/>
      </c>
      <c r="H1240" s="141" t="str">
        <f t="shared" si="96"/>
        <v/>
      </c>
      <c r="J1240" s="141" t="str">
        <f t="shared" si="97"/>
        <v/>
      </c>
      <c r="K1240" s="141" t="str">
        <f t="shared" si="98"/>
        <v/>
      </c>
      <c r="L1240" s="141" t="str">
        <f t="shared" si="99"/>
        <v/>
      </c>
    </row>
    <row r="1241" spans="1:12" x14ac:dyDescent="0.3">
      <c r="A1241" s="2" t="str">
        <f xml:space="preserve"> IF( 'From SvanPC++'!A1241= "", "", ('From SvanPC++'!A1241))</f>
        <v/>
      </c>
      <c r="C1241" s="6" t="s">
        <v>10</v>
      </c>
      <c r="G1241" s="38" t="str">
        <f t="shared" si="95"/>
        <v/>
      </c>
      <c r="H1241" s="141" t="str">
        <f t="shared" si="96"/>
        <v/>
      </c>
      <c r="J1241" s="141" t="str">
        <f t="shared" si="97"/>
        <v/>
      </c>
      <c r="K1241" s="141" t="str">
        <f t="shared" si="98"/>
        <v/>
      </c>
      <c r="L1241" s="141" t="str">
        <f t="shared" si="99"/>
        <v/>
      </c>
    </row>
    <row r="1242" spans="1:12" x14ac:dyDescent="0.3">
      <c r="A1242" s="2" t="str">
        <f xml:space="preserve"> IF( 'From SvanPC++'!A1242= "", "", ('From SvanPC++'!A1242))</f>
        <v/>
      </c>
      <c r="C1242" s="6" t="s">
        <v>10</v>
      </c>
      <c r="G1242" s="38" t="str">
        <f t="shared" si="95"/>
        <v/>
      </c>
      <c r="H1242" s="141" t="str">
        <f t="shared" si="96"/>
        <v/>
      </c>
      <c r="J1242" s="141" t="str">
        <f t="shared" si="97"/>
        <v/>
      </c>
      <c r="K1242" s="141" t="str">
        <f t="shared" si="98"/>
        <v/>
      </c>
      <c r="L1242" s="141" t="str">
        <f t="shared" si="99"/>
        <v/>
      </c>
    </row>
    <row r="1243" spans="1:12" x14ac:dyDescent="0.3">
      <c r="A1243" s="2" t="str">
        <f xml:space="preserve"> IF( 'From SvanPC++'!A1243= "", "", ('From SvanPC++'!A1243))</f>
        <v/>
      </c>
      <c r="C1243" s="6" t="s">
        <v>10</v>
      </c>
      <c r="G1243" s="38" t="str">
        <f t="shared" si="95"/>
        <v/>
      </c>
      <c r="H1243" s="141" t="str">
        <f t="shared" si="96"/>
        <v/>
      </c>
      <c r="J1243" s="141" t="str">
        <f t="shared" si="97"/>
        <v/>
      </c>
      <c r="K1243" s="141" t="str">
        <f t="shared" si="98"/>
        <v/>
      </c>
      <c r="L1243" s="141" t="str">
        <f t="shared" si="99"/>
        <v/>
      </c>
    </row>
    <row r="1244" spans="1:12" x14ac:dyDescent="0.3">
      <c r="A1244" s="2" t="str">
        <f xml:space="preserve"> IF( 'From SvanPC++'!A1244= "", "", ('From SvanPC++'!A1244))</f>
        <v/>
      </c>
      <c r="C1244" s="6" t="s">
        <v>10</v>
      </c>
      <c r="G1244" s="38" t="str">
        <f t="shared" si="95"/>
        <v/>
      </c>
      <c r="H1244" s="141" t="str">
        <f t="shared" si="96"/>
        <v/>
      </c>
      <c r="J1244" s="141" t="str">
        <f t="shared" si="97"/>
        <v/>
      </c>
      <c r="K1244" s="141" t="str">
        <f t="shared" si="98"/>
        <v/>
      </c>
      <c r="L1244" s="141" t="str">
        <f t="shared" si="99"/>
        <v/>
      </c>
    </row>
    <row r="1245" spans="1:12" x14ac:dyDescent="0.3">
      <c r="A1245" s="2" t="str">
        <f xml:space="preserve"> IF( 'From SvanPC++'!A1245= "", "", ('From SvanPC++'!A1245))</f>
        <v/>
      </c>
      <c r="C1245" s="6" t="s">
        <v>10</v>
      </c>
      <c r="G1245" s="38" t="str">
        <f t="shared" si="95"/>
        <v/>
      </c>
      <c r="H1245" s="141" t="str">
        <f t="shared" si="96"/>
        <v/>
      </c>
      <c r="J1245" s="141" t="str">
        <f t="shared" si="97"/>
        <v/>
      </c>
      <c r="K1245" s="141" t="str">
        <f t="shared" si="98"/>
        <v/>
      </c>
      <c r="L1245" s="141" t="str">
        <f t="shared" si="99"/>
        <v/>
      </c>
    </row>
    <row r="1246" spans="1:12" x14ac:dyDescent="0.3">
      <c r="A1246" s="2" t="str">
        <f xml:space="preserve"> IF( 'From SvanPC++'!A1246= "", "", ('From SvanPC++'!A1246))</f>
        <v/>
      </c>
      <c r="C1246" s="6" t="s">
        <v>10</v>
      </c>
      <c r="G1246" s="38" t="str">
        <f t="shared" si="95"/>
        <v/>
      </c>
      <c r="H1246" s="141" t="str">
        <f t="shared" si="96"/>
        <v/>
      </c>
      <c r="J1246" s="141" t="str">
        <f t="shared" si="97"/>
        <v/>
      </c>
      <c r="K1246" s="141" t="str">
        <f t="shared" si="98"/>
        <v/>
      </c>
      <c r="L1246" s="141" t="str">
        <f t="shared" si="99"/>
        <v/>
      </c>
    </row>
    <row r="1247" spans="1:12" x14ac:dyDescent="0.3">
      <c r="A1247" s="2" t="str">
        <f xml:space="preserve"> IF( 'From SvanPC++'!A1247= "", "", ('From SvanPC++'!A1247))</f>
        <v/>
      </c>
      <c r="C1247" s="6" t="s">
        <v>10</v>
      </c>
      <c r="G1247" s="38" t="str">
        <f t="shared" si="95"/>
        <v/>
      </c>
      <c r="H1247" s="141" t="str">
        <f t="shared" si="96"/>
        <v/>
      </c>
      <c r="J1247" s="141" t="str">
        <f t="shared" si="97"/>
        <v/>
      </c>
      <c r="K1247" s="141" t="str">
        <f t="shared" si="98"/>
        <v/>
      </c>
      <c r="L1247" s="141" t="str">
        <f t="shared" si="99"/>
        <v/>
      </c>
    </row>
    <row r="1248" spans="1:12" x14ac:dyDescent="0.3">
      <c r="A1248" s="2" t="str">
        <f xml:space="preserve"> IF( 'From SvanPC++'!A1248= "", "", ('From SvanPC++'!A1248))</f>
        <v/>
      </c>
      <c r="C1248" s="6" t="s">
        <v>10</v>
      </c>
      <c r="G1248" s="38" t="str">
        <f t="shared" si="95"/>
        <v/>
      </c>
      <c r="H1248" s="141" t="str">
        <f t="shared" si="96"/>
        <v/>
      </c>
      <c r="J1248" s="141" t="str">
        <f t="shared" si="97"/>
        <v/>
      </c>
      <c r="K1248" s="141" t="str">
        <f t="shared" si="98"/>
        <v/>
      </c>
      <c r="L1248" s="141" t="str">
        <f t="shared" si="99"/>
        <v/>
      </c>
    </row>
    <row r="1249" spans="1:12" x14ac:dyDescent="0.3">
      <c r="A1249" s="2" t="str">
        <f xml:space="preserve"> IF( 'From SvanPC++'!A1249= "", "", ('From SvanPC++'!A1249))</f>
        <v/>
      </c>
      <c r="C1249" s="6" t="s">
        <v>10</v>
      </c>
      <c r="G1249" s="38" t="str">
        <f t="shared" si="95"/>
        <v/>
      </c>
      <c r="H1249" s="141" t="str">
        <f t="shared" si="96"/>
        <v/>
      </c>
      <c r="J1249" s="141" t="str">
        <f t="shared" si="97"/>
        <v/>
      </c>
      <c r="K1249" s="141" t="str">
        <f t="shared" si="98"/>
        <v/>
      </c>
      <c r="L1249" s="141" t="str">
        <f t="shared" si="99"/>
        <v/>
      </c>
    </row>
    <row r="1250" spans="1:12" x14ac:dyDescent="0.3">
      <c r="A1250" s="2" t="str">
        <f xml:space="preserve"> IF( 'From SvanPC++'!A1250= "", "", ('From SvanPC++'!A1250))</f>
        <v/>
      </c>
      <c r="C1250" s="6" t="s">
        <v>10</v>
      </c>
      <c r="G1250" s="38" t="str">
        <f t="shared" si="95"/>
        <v/>
      </c>
      <c r="H1250" s="141" t="str">
        <f t="shared" si="96"/>
        <v/>
      </c>
      <c r="J1250" s="141" t="str">
        <f t="shared" si="97"/>
        <v/>
      </c>
      <c r="K1250" s="141" t="str">
        <f t="shared" si="98"/>
        <v/>
      </c>
      <c r="L1250" s="141" t="str">
        <f t="shared" si="99"/>
        <v/>
      </c>
    </row>
    <row r="1251" spans="1:12" x14ac:dyDescent="0.3">
      <c r="A1251" s="2" t="str">
        <f xml:space="preserve"> IF( 'From SvanPC++'!A1251= "", "", ('From SvanPC++'!A1251))</f>
        <v/>
      </c>
      <c r="C1251" s="6" t="s">
        <v>10</v>
      </c>
      <c r="G1251" s="38" t="str">
        <f t="shared" si="95"/>
        <v/>
      </c>
      <c r="H1251" s="141" t="str">
        <f t="shared" si="96"/>
        <v/>
      </c>
      <c r="J1251" s="141" t="str">
        <f t="shared" si="97"/>
        <v/>
      </c>
      <c r="K1251" s="141" t="str">
        <f t="shared" si="98"/>
        <v/>
      </c>
      <c r="L1251" s="141" t="str">
        <f t="shared" si="99"/>
        <v/>
      </c>
    </row>
    <row r="1252" spans="1:12" x14ac:dyDescent="0.3">
      <c r="A1252" s="2" t="str">
        <f xml:space="preserve"> IF( 'From SvanPC++'!A1252= "", "", ('From SvanPC++'!A1252))</f>
        <v/>
      </c>
      <c r="C1252" s="6" t="s">
        <v>10</v>
      </c>
      <c r="G1252" s="38" t="str">
        <f t="shared" si="95"/>
        <v/>
      </c>
      <c r="H1252" s="141" t="str">
        <f t="shared" si="96"/>
        <v/>
      </c>
      <c r="J1252" s="141" t="str">
        <f t="shared" si="97"/>
        <v/>
      </c>
      <c r="K1252" s="141" t="str">
        <f t="shared" si="98"/>
        <v/>
      </c>
      <c r="L1252" s="141" t="str">
        <f t="shared" si="99"/>
        <v/>
      </c>
    </row>
    <row r="1253" spans="1:12" x14ac:dyDescent="0.3">
      <c r="A1253" s="2" t="str">
        <f xml:space="preserve"> IF( 'From SvanPC++'!A1253= "", "", ('From SvanPC++'!A1253))</f>
        <v/>
      </c>
      <c r="C1253" s="6" t="s">
        <v>10</v>
      </c>
      <c r="G1253" s="38" t="str">
        <f t="shared" si="95"/>
        <v/>
      </c>
      <c r="H1253" s="141" t="str">
        <f t="shared" si="96"/>
        <v/>
      </c>
      <c r="J1253" s="141" t="str">
        <f t="shared" si="97"/>
        <v/>
      </c>
      <c r="K1253" s="141" t="str">
        <f t="shared" si="98"/>
        <v/>
      </c>
      <c r="L1253" s="141" t="str">
        <f t="shared" si="99"/>
        <v/>
      </c>
    </row>
    <row r="1254" spans="1:12" x14ac:dyDescent="0.3">
      <c r="A1254" s="2" t="str">
        <f xml:space="preserve"> IF( 'From SvanPC++'!A1254= "", "", ('From SvanPC++'!A1254))</f>
        <v/>
      </c>
      <c r="C1254" s="6" t="s">
        <v>10</v>
      </c>
      <c r="G1254" s="38" t="str">
        <f t="shared" si="95"/>
        <v/>
      </c>
      <c r="H1254" s="141" t="str">
        <f t="shared" si="96"/>
        <v/>
      </c>
      <c r="J1254" s="141" t="str">
        <f t="shared" si="97"/>
        <v/>
      </c>
      <c r="K1254" s="141" t="str">
        <f t="shared" si="98"/>
        <v/>
      </c>
      <c r="L1254" s="141" t="str">
        <f t="shared" si="99"/>
        <v/>
      </c>
    </row>
    <row r="1255" spans="1:12" x14ac:dyDescent="0.3">
      <c r="A1255" s="2" t="str">
        <f xml:space="preserve"> IF( 'From SvanPC++'!A1255= "", "", ('From SvanPC++'!A1255))</f>
        <v/>
      </c>
      <c r="C1255" s="6" t="s">
        <v>10</v>
      </c>
      <c r="G1255" s="38" t="str">
        <f t="shared" si="95"/>
        <v/>
      </c>
      <c r="H1255" s="141" t="str">
        <f t="shared" si="96"/>
        <v/>
      </c>
      <c r="J1255" s="141" t="str">
        <f t="shared" si="97"/>
        <v/>
      </c>
      <c r="K1255" s="141" t="str">
        <f t="shared" si="98"/>
        <v/>
      </c>
      <c r="L1255" s="141" t="str">
        <f t="shared" si="99"/>
        <v/>
      </c>
    </row>
    <row r="1256" spans="1:12" x14ac:dyDescent="0.3">
      <c r="A1256" s="2" t="str">
        <f xml:space="preserve"> IF( 'From SvanPC++'!A1256= "", "", ('From SvanPC++'!A1256))</f>
        <v/>
      </c>
      <c r="C1256" s="6" t="s">
        <v>10</v>
      </c>
      <c r="G1256" s="38" t="str">
        <f t="shared" si="95"/>
        <v/>
      </c>
      <c r="H1256" s="141" t="str">
        <f t="shared" si="96"/>
        <v/>
      </c>
      <c r="J1256" s="141" t="str">
        <f t="shared" si="97"/>
        <v/>
      </c>
      <c r="K1256" s="141" t="str">
        <f t="shared" si="98"/>
        <v/>
      </c>
      <c r="L1256" s="141" t="str">
        <f t="shared" si="99"/>
        <v/>
      </c>
    </row>
    <row r="1257" spans="1:12" x14ac:dyDescent="0.3">
      <c r="A1257" s="2" t="str">
        <f xml:space="preserve"> IF( 'From SvanPC++'!A1257= "", "", ('From SvanPC++'!A1257))</f>
        <v/>
      </c>
      <c r="C1257" s="6" t="s">
        <v>10</v>
      </c>
      <c r="G1257" s="38" t="str">
        <f t="shared" si="95"/>
        <v/>
      </c>
      <c r="H1257" s="141" t="str">
        <f t="shared" si="96"/>
        <v/>
      </c>
      <c r="J1257" s="141" t="str">
        <f t="shared" si="97"/>
        <v/>
      </c>
      <c r="K1257" s="141" t="str">
        <f t="shared" si="98"/>
        <v/>
      </c>
      <c r="L1257" s="141" t="str">
        <f t="shared" si="99"/>
        <v/>
      </c>
    </row>
    <row r="1258" spans="1:12" x14ac:dyDescent="0.3">
      <c r="A1258" s="2" t="str">
        <f xml:space="preserve"> IF( 'From SvanPC++'!A1258= "", "", ('From SvanPC++'!A1258))</f>
        <v/>
      </c>
      <c r="C1258" s="6" t="s">
        <v>10</v>
      </c>
      <c r="G1258" s="38" t="str">
        <f t="shared" si="95"/>
        <v/>
      </c>
      <c r="H1258" s="141" t="str">
        <f t="shared" si="96"/>
        <v/>
      </c>
      <c r="J1258" s="141" t="str">
        <f t="shared" si="97"/>
        <v/>
      </c>
      <c r="K1258" s="141" t="str">
        <f t="shared" si="98"/>
        <v/>
      </c>
      <c r="L1258" s="141" t="str">
        <f t="shared" si="99"/>
        <v/>
      </c>
    </row>
    <row r="1259" spans="1:12" x14ac:dyDescent="0.3">
      <c r="A1259" s="2" t="str">
        <f xml:space="preserve"> IF( 'From SvanPC++'!A1259= "", "", ('From SvanPC++'!A1259))</f>
        <v/>
      </c>
      <c r="C1259" s="6" t="s">
        <v>10</v>
      </c>
      <c r="G1259" s="38" t="str">
        <f t="shared" si="95"/>
        <v/>
      </c>
      <c r="H1259" s="141" t="str">
        <f t="shared" si="96"/>
        <v/>
      </c>
      <c r="J1259" s="141" t="str">
        <f t="shared" si="97"/>
        <v/>
      </c>
      <c r="K1259" s="141" t="str">
        <f t="shared" si="98"/>
        <v/>
      </c>
      <c r="L1259" s="141" t="str">
        <f t="shared" si="99"/>
        <v/>
      </c>
    </row>
    <row r="1260" spans="1:12" x14ac:dyDescent="0.3">
      <c r="A1260" s="2" t="str">
        <f xml:space="preserve"> IF( 'From SvanPC++'!A1260= "", "", ('From SvanPC++'!A1260))</f>
        <v/>
      </c>
      <c r="C1260" s="6" t="s">
        <v>10</v>
      </c>
      <c r="G1260" s="38" t="str">
        <f t="shared" si="95"/>
        <v/>
      </c>
      <c r="H1260" s="141" t="str">
        <f t="shared" si="96"/>
        <v/>
      </c>
      <c r="J1260" s="141" t="str">
        <f t="shared" si="97"/>
        <v/>
      </c>
      <c r="K1260" s="141" t="str">
        <f t="shared" si="98"/>
        <v/>
      </c>
      <c r="L1260" s="141" t="str">
        <f t="shared" si="99"/>
        <v/>
      </c>
    </row>
    <row r="1261" spans="1:12" x14ac:dyDescent="0.3">
      <c r="A1261" s="2" t="str">
        <f xml:space="preserve"> IF( 'From SvanPC++'!A1261= "", "", ('From SvanPC++'!A1261))</f>
        <v/>
      </c>
      <c r="C1261" s="6" t="s">
        <v>10</v>
      </c>
      <c r="G1261" s="38" t="str">
        <f t="shared" si="95"/>
        <v/>
      </c>
      <c r="H1261" s="141" t="str">
        <f t="shared" si="96"/>
        <v/>
      </c>
      <c r="J1261" s="141" t="str">
        <f t="shared" si="97"/>
        <v/>
      </c>
      <c r="K1261" s="141" t="str">
        <f t="shared" si="98"/>
        <v/>
      </c>
      <c r="L1261" s="141" t="str">
        <f t="shared" si="99"/>
        <v/>
      </c>
    </row>
    <row r="1262" spans="1:12" x14ac:dyDescent="0.3">
      <c r="A1262" s="2" t="str">
        <f xml:space="preserve"> IF( 'From SvanPC++'!A1262= "", "", ('From SvanPC++'!A1262))</f>
        <v/>
      </c>
      <c r="C1262" s="6" t="s">
        <v>10</v>
      </c>
      <c r="G1262" s="38" t="str">
        <f t="shared" si="95"/>
        <v/>
      </c>
      <c r="H1262" s="141" t="str">
        <f t="shared" si="96"/>
        <v/>
      </c>
      <c r="J1262" s="141" t="str">
        <f t="shared" si="97"/>
        <v/>
      </c>
      <c r="K1262" s="141" t="str">
        <f t="shared" si="98"/>
        <v/>
      </c>
      <c r="L1262" s="141" t="str">
        <f t="shared" si="99"/>
        <v/>
      </c>
    </row>
    <row r="1263" spans="1:12" x14ac:dyDescent="0.3">
      <c r="A1263" s="2" t="str">
        <f xml:space="preserve"> IF( 'From SvanPC++'!A1263= "", "", ('From SvanPC++'!A1263))</f>
        <v/>
      </c>
      <c r="C1263" s="6" t="s">
        <v>10</v>
      </c>
      <c r="G1263" s="38" t="str">
        <f t="shared" si="95"/>
        <v/>
      </c>
      <c r="H1263" s="141" t="str">
        <f t="shared" si="96"/>
        <v/>
      </c>
      <c r="J1263" s="141" t="str">
        <f t="shared" si="97"/>
        <v/>
      </c>
      <c r="K1263" s="141" t="str">
        <f t="shared" si="98"/>
        <v/>
      </c>
      <c r="L1263" s="141" t="str">
        <f t="shared" si="99"/>
        <v/>
      </c>
    </row>
    <row r="1264" spans="1:12" x14ac:dyDescent="0.3">
      <c r="A1264" s="2" t="str">
        <f xml:space="preserve"> IF( 'From SvanPC++'!A1264= "", "", ('From SvanPC++'!A1264))</f>
        <v/>
      </c>
      <c r="C1264" s="6" t="s">
        <v>10</v>
      </c>
      <c r="G1264" s="38" t="str">
        <f t="shared" si="95"/>
        <v/>
      </c>
      <c r="H1264" s="141" t="str">
        <f t="shared" si="96"/>
        <v/>
      </c>
      <c r="J1264" s="141" t="str">
        <f t="shared" si="97"/>
        <v/>
      </c>
      <c r="K1264" s="141" t="str">
        <f t="shared" si="98"/>
        <v/>
      </c>
      <c r="L1264" s="141" t="str">
        <f t="shared" si="99"/>
        <v/>
      </c>
    </row>
    <row r="1265" spans="1:12" x14ac:dyDescent="0.3">
      <c r="A1265" s="2" t="str">
        <f xml:space="preserve"> IF( 'From SvanPC++'!A1265= "", "", ('From SvanPC++'!A1265))</f>
        <v/>
      </c>
      <c r="C1265" s="6" t="s">
        <v>10</v>
      </c>
      <c r="G1265" s="38" t="str">
        <f t="shared" si="95"/>
        <v/>
      </c>
      <c r="H1265" s="141" t="str">
        <f t="shared" si="96"/>
        <v/>
      </c>
      <c r="J1265" s="141" t="str">
        <f t="shared" si="97"/>
        <v/>
      </c>
      <c r="K1265" s="141" t="str">
        <f t="shared" si="98"/>
        <v/>
      </c>
      <c r="L1265" s="141" t="str">
        <f t="shared" si="99"/>
        <v/>
      </c>
    </row>
    <row r="1266" spans="1:12" x14ac:dyDescent="0.3">
      <c r="A1266" s="2" t="str">
        <f xml:space="preserve"> IF( 'From SvanPC++'!A1266= "", "", ('From SvanPC++'!A1266))</f>
        <v/>
      </c>
      <c r="C1266" s="6" t="s">
        <v>10</v>
      </c>
      <c r="G1266" s="38" t="str">
        <f t="shared" si="95"/>
        <v/>
      </c>
      <c r="H1266" s="141" t="str">
        <f t="shared" si="96"/>
        <v/>
      </c>
      <c r="J1266" s="141" t="str">
        <f t="shared" si="97"/>
        <v/>
      </c>
      <c r="K1266" s="141" t="str">
        <f t="shared" si="98"/>
        <v/>
      </c>
      <c r="L1266" s="141" t="str">
        <f t="shared" si="99"/>
        <v/>
      </c>
    </row>
    <row r="1267" spans="1:12" x14ac:dyDescent="0.3">
      <c r="A1267" s="2" t="str">
        <f xml:space="preserve"> IF( 'From SvanPC++'!A1267= "", "", ('From SvanPC++'!A1267))</f>
        <v/>
      </c>
      <c r="C1267" s="6" t="s">
        <v>10</v>
      </c>
      <c r="G1267" s="38" t="str">
        <f t="shared" si="95"/>
        <v/>
      </c>
      <c r="H1267" s="141" t="str">
        <f t="shared" si="96"/>
        <v/>
      </c>
      <c r="J1267" s="141" t="str">
        <f t="shared" si="97"/>
        <v/>
      </c>
      <c r="K1267" s="141" t="str">
        <f t="shared" si="98"/>
        <v/>
      </c>
      <c r="L1267" s="141" t="str">
        <f t="shared" si="99"/>
        <v/>
      </c>
    </row>
    <row r="1268" spans="1:12" x14ac:dyDescent="0.3">
      <c r="A1268" s="2" t="str">
        <f xml:space="preserve"> IF( 'From SvanPC++'!A1268= "", "", ('From SvanPC++'!A1268))</f>
        <v/>
      </c>
      <c r="C1268" s="6" t="s">
        <v>10</v>
      </c>
      <c r="G1268" s="38" t="str">
        <f t="shared" si="95"/>
        <v/>
      </c>
      <c r="H1268" s="141" t="str">
        <f t="shared" si="96"/>
        <v/>
      </c>
      <c r="J1268" s="141" t="str">
        <f t="shared" si="97"/>
        <v/>
      </c>
      <c r="K1268" s="141" t="str">
        <f t="shared" si="98"/>
        <v/>
      </c>
      <c r="L1268" s="141" t="str">
        <f t="shared" si="99"/>
        <v/>
      </c>
    </row>
    <row r="1269" spans="1:12" x14ac:dyDescent="0.3">
      <c r="A1269" s="2" t="str">
        <f xml:space="preserve"> IF( 'From SvanPC++'!A1269= "", "", ('From SvanPC++'!A1269))</f>
        <v/>
      </c>
      <c r="C1269" s="6" t="s">
        <v>10</v>
      </c>
      <c r="G1269" s="38" t="str">
        <f t="shared" si="95"/>
        <v/>
      </c>
      <c r="H1269" s="141" t="str">
        <f t="shared" si="96"/>
        <v/>
      </c>
      <c r="J1269" s="141" t="str">
        <f t="shared" si="97"/>
        <v/>
      </c>
      <c r="K1269" s="141" t="str">
        <f t="shared" si="98"/>
        <v/>
      </c>
      <c r="L1269" s="141" t="str">
        <f t="shared" si="99"/>
        <v/>
      </c>
    </row>
    <row r="1270" spans="1:12" x14ac:dyDescent="0.3">
      <c r="A1270" s="2" t="str">
        <f xml:space="preserve"> IF( 'From SvanPC++'!A1270= "", "", ('From SvanPC++'!A1270))</f>
        <v/>
      </c>
      <c r="C1270" s="6" t="s">
        <v>10</v>
      </c>
      <c r="G1270" s="38" t="str">
        <f t="shared" si="95"/>
        <v/>
      </c>
      <c r="H1270" s="141" t="str">
        <f t="shared" si="96"/>
        <v/>
      </c>
      <c r="J1270" s="141" t="str">
        <f t="shared" si="97"/>
        <v/>
      </c>
      <c r="K1270" s="141" t="str">
        <f t="shared" si="98"/>
        <v/>
      </c>
      <c r="L1270" s="141" t="str">
        <f t="shared" si="99"/>
        <v/>
      </c>
    </row>
    <row r="1271" spans="1:12" x14ac:dyDescent="0.3">
      <c r="A1271" s="2" t="str">
        <f xml:space="preserve"> IF( 'From SvanPC++'!A1271= "", "", ('From SvanPC++'!A1271))</f>
        <v/>
      </c>
      <c r="C1271" s="6" t="s">
        <v>10</v>
      </c>
      <c r="G1271" s="38" t="str">
        <f t="shared" si="95"/>
        <v/>
      </c>
      <c r="H1271" s="141" t="str">
        <f t="shared" si="96"/>
        <v/>
      </c>
      <c r="J1271" s="141" t="str">
        <f t="shared" si="97"/>
        <v/>
      </c>
      <c r="K1271" s="141" t="str">
        <f t="shared" si="98"/>
        <v/>
      </c>
      <c r="L1271" s="141" t="str">
        <f t="shared" si="99"/>
        <v/>
      </c>
    </row>
    <row r="1272" spans="1:12" x14ac:dyDescent="0.3">
      <c r="A1272" s="2" t="str">
        <f xml:space="preserve"> IF( 'From SvanPC++'!A1272= "", "", ('From SvanPC++'!A1272))</f>
        <v/>
      </c>
      <c r="C1272" s="6" t="s">
        <v>10</v>
      </c>
      <c r="G1272" s="38" t="str">
        <f t="shared" si="95"/>
        <v/>
      </c>
      <c r="H1272" s="141" t="str">
        <f t="shared" si="96"/>
        <v/>
      </c>
      <c r="J1272" s="141" t="str">
        <f t="shared" si="97"/>
        <v/>
      </c>
      <c r="K1272" s="141" t="str">
        <f t="shared" si="98"/>
        <v/>
      </c>
      <c r="L1272" s="141" t="str">
        <f t="shared" si="99"/>
        <v/>
      </c>
    </row>
    <row r="1273" spans="1:12" x14ac:dyDescent="0.3">
      <c r="A1273" s="2" t="str">
        <f xml:space="preserve"> IF( 'From SvanPC++'!A1273= "", "", ('From SvanPC++'!A1273))</f>
        <v/>
      </c>
      <c r="C1273" s="6" t="s">
        <v>10</v>
      </c>
      <c r="G1273" s="38" t="str">
        <f t="shared" si="95"/>
        <v/>
      </c>
      <c r="H1273" s="141" t="str">
        <f t="shared" si="96"/>
        <v/>
      </c>
      <c r="J1273" s="141" t="str">
        <f t="shared" si="97"/>
        <v/>
      </c>
      <c r="K1273" s="141" t="str">
        <f t="shared" si="98"/>
        <v/>
      </c>
      <c r="L1273" s="141" t="str">
        <f t="shared" si="99"/>
        <v/>
      </c>
    </row>
    <row r="1274" spans="1:12" x14ac:dyDescent="0.3">
      <c r="A1274" s="2" t="str">
        <f xml:space="preserve"> IF( 'From SvanPC++'!A1274= "", "", ('From SvanPC++'!A1274))</f>
        <v/>
      </c>
      <c r="C1274" s="6" t="s">
        <v>10</v>
      </c>
      <c r="G1274" s="38" t="str">
        <f t="shared" si="95"/>
        <v/>
      </c>
      <c r="H1274" s="141" t="str">
        <f t="shared" si="96"/>
        <v/>
      </c>
      <c r="J1274" s="141" t="str">
        <f t="shared" si="97"/>
        <v/>
      </c>
      <c r="K1274" s="141" t="str">
        <f t="shared" si="98"/>
        <v/>
      </c>
      <c r="L1274" s="141" t="str">
        <f t="shared" si="99"/>
        <v/>
      </c>
    </row>
    <row r="1275" spans="1:12" x14ac:dyDescent="0.3">
      <c r="A1275" s="2" t="str">
        <f xml:space="preserve"> IF( 'From SvanPC++'!A1275= "", "", ('From SvanPC++'!A1275))</f>
        <v/>
      </c>
      <c r="C1275" s="6" t="s">
        <v>10</v>
      </c>
      <c r="G1275" s="38" t="str">
        <f t="shared" si="95"/>
        <v/>
      </c>
      <c r="H1275" s="141" t="str">
        <f t="shared" si="96"/>
        <v/>
      </c>
      <c r="J1275" s="141" t="str">
        <f t="shared" si="97"/>
        <v/>
      </c>
      <c r="K1275" s="141" t="str">
        <f t="shared" si="98"/>
        <v/>
      </c>
      <c r="L1275" s="141" t="str">
        <f t="shared" si="99"/>
        <v/>
      </c>
    </row>
    <row r="1276" spans="1:12" x14ac:dyDescent="0.3">
      <c r="A1276" s="2" t="str">
        <f xml:space="preserve"> IF( 'From SvanPC++'!A1276= "", "", ('From SvanPC++'!A1276))</f>
        <v/>
      </c>
      <c r="C1276" s="6" t="s">
        <v>10</v>
      </c>
      <c r="G1276" s="38" t="str">
        <f t="shared" si="95"/>
        <v/>
      </c>
      <c r="H1276" s="141" t="str">
        <f t="shared" si="96"/>
        <v/>
      </c>
      <c r="J1276" s="141" t="str">
        <f t="shared" si="97"/>
        <v/>
      </c>
      <c r="K1276" s="141" t="str">
        <f t="shared" si="98"/>
        <v/>
      </c>
      <c r="L1276" s="141" t="str">
        <f t="shared" si="99"/>
        <v/>
      </c>
    </row>
    <row r="1277" spans="1:12" x14ac:dyDescent="0.3">
      <c r="A1277" s="2" t="str">
        <f xml:space="preserve"> IF( 'From SvanPC++'!A1277= "", "", ('From SvanPC++'!A1277))</f>
        <v/>
      </c>
      <c r="C1277" s="6" t="s">
        <v>10</v>
      </c>
      <c r="G1277" s="38" t="str">
        <f t="shared" si="95"/>
        <v/>
      </c>
      <c r="H1277" s="141" t="str">
        <f t="shared" si="96"/>
        <v/>
      </c>
      <c r="J1277" s="141" t="str">
        <f t="shared" si="97"/>
        <v/>
      </c>
      <c r="K1277" s="141" t="str">
        <f t="shared" si="98"/>
        <v/>
      </c>
      <c r="L1277" s="141" t="str">
        <f t="shared" si="99"/>
        <v/>
      </c>
    </row>
    <row r="1278" spans="1:12" x14ac:dyDescent="0.3">
      <c r="A1278" s="2" t="str">
        <f xml:space="preserve"> IF( 'From SvanPC++'!A1278= "", "", ('From SvanPC++'!A1278))</f>
        <v/>
      </c>
      <c r="C1278" s="6" t="s">
        <v>10</v>
      </c>
      <c r="G1278" s="38" t="str">
        <f t="shared" si="95"/>
        <v/>
      </c>
      <c r="H1278" s="141" t="str">
        <f t="shared" si="96"/>
        <v/>
      </c>
      <c r="J1278" s="141" t="str">
        <f t="shared" si="97"/>
        <v/>
      </c>
      <c r="K1278" s="141" t="str">
        <f t="shared" si="98"/>
        <v/>
      </c>
      <c r="L1278" s="141" t="str">
        <f t="shared" si="99"/>
        <v/>
      </c>
    </row>
    <row r="1279" spans="1:12" x14ac:dyDescent="0.3">
      <c r="A1279" s="2" t="str">
        <f xml:space="preserve"> IF( 'From SvanPC++'!A1279= "", "", ('From SvanPC++'!A1279))</f>
        <v/>
      </c>
      <c r="C1279" s="6" t="s">
        <v>10</v>
      </c>
      <c r="G1279" s="38" t="str">
        <f t="shared" si="95"/>
        <v/>
      </c>
      <c r="H1279" s="141" t="str">
        <f t="shared" si="96"/>
        <v/>
      </c>
      <c r="J1279" s="141" t="str">
        <f t="shared" si="97"/>
        <v/>
      </c>
      <c r="K1279" s="141" t="str">
        <f t="shared" si="98"/>
        <v/>
      </c>
      <c r="L1279" s="141" t="str">
        <f t="shared" si="99"/>
        <v/>
      </c>
    </row>
    <row r="1280" spans="1:12" x14ac:dyDescent="0.3">
      <c r="A1280" s="2" t="str">
        <f xml:space="preserve"> IF( 'From SvanPC++'!A1280= "", "", ('From SvanPC++'!A1280))</f>
        <v/>
      </c>
      <c r="C1280" s="6" t="s">
        <v>10</v>
      </c>
      <c r="G1280" s="38" t="str">
        <f t="shared" si="95"/>
        <v/>
      </c>
      <c r="H1280" s="141" t="str">
        <f t="shared" si="96"/>
        <v/>
      </c>
      <c r="J1280" s="141" t="str">
        <f t="shared" si="97"/>
        <v/>
      </c>
      <c r="K1280" s="141" t="str">
        <f t="shared" si="98"/>
        <v/>
      </c>
      <c r="L1280" s="141" t="str">
        <f t="shared" si="99"/>
        <v/>
      </c>
    </row>
    <row r="1281" spans="1:12" x14ac:dyDescent="0.3">
      <c r="A1281" s="2" t="str">
        <f xml:space="preserve"> IF( 'From SvanPC++'!A1281= "", "", ('From SvanPC++'!A1281))</f>
        <v/>
      </c>
      <c r="C1281" s="6" t="s">
        <v>10</v>
      </c>
      <c r="G1281" s="38" t="str">
        <f t="shared" si="95"/>
        <v/>
      </c>
      <c r="H1281" s="141" t="str">
        <f t="shared" si="96"/>
        <v/>
      </c>
      <c r="J1281" s="141" t="str">
        <f t="shared" si="97"/>
        <v/>
      </c>
      <c r="K1281" s="141" t="str">
        <f t="shared" si="98"/>
        <v/>
      </c>
      <c r="L1281" s="141" t="str">
        <f t="shared" si="99"/>
        <v/>
      </c>
    </row>
    <row r="1282" spans="1:12" x14ac:dyDescent="0.3">
      <c r="A1282" s="2" t="str">
        <f xml:space="preserve"> IF( 'From SvanPC++'!A1282= "", "", ('From SvanPC++'!A1282))</f>
        <v/>
      </c>
      <c r="C1282" s="6" t="s">
        <v>10</v>
      </c>
      <c r="G1282" s="38" t="str">
        <f t="shared" si="95"/>
        <v/>
      </c>
      <c r="H1282" s="141" t="str">
        <f t="shared" si="96"/>
        <v/>
      </c>
      <c r="J1282" s="141" t="str">
        <f t="shared" si="97"/>
        <v/>
      </c>
      <c r="K1282" s="141" t="str">
        <f t="shared" si="98"/>
        <v/>
      </c>
      <c r="L1282" s="141" t="str">
        <f t="shared" si="99"/>
        <v/>
      </c>
    </row>
    <row r="1283" spans="1:12" x14ac:dyDescent="0.3">
      <c r="A1283" s="2" t="str">
        <f xml:space="preserve"> IF( 'From SvanPC++'!A1283= "", "", ('From SvanPC++'!A1283))</f>
        <v/>
      </c>
      <c r="C1283" s="6" t="s">
        <v>10</v>
      </c>
      <c r="G1283" s="38" t="str">
        <f t="shared" si="95"/>
        <v/>
      </c>
      <c r="H1283" s="141" t="str">
        <f t="shared" si="96"/>
        <v/>
      </c>
      <c r="J1283" s="141" t="str">
        <f t="shared" si="97"/>
        <v/>
      </c>
      <c r="K1283" s="141" t="str">
        <f t="shared" si="98"/>
        <v/>
      </c>
      <c r="L1283" s="141" t="str">
        <f t="shared" si="99"/>
        <v/>
      </c>
    </row>
    <row r="1284" spans="1:12" x14ac:dyDescent="0.3">
      <c r="A1284" s="2" t="str">
        <f xml:space="preserve"> IF( 'From SvanPC++'!A1284= "", "", ('From SvanPC++'!A1284))</f>
        <v/>
      </c>
      <c r="C1284" s="6" t="s">
        <v>10</v>
      </c>
      <c r="G1284" s="38" t="str">
        <f t="shared" si="95"/>
        <v/>
      </c>
      <c r="H1284" s="141" t="str">
        <f t="shared" si="96"/>
        <v/>
      </c>
      <c r="J1284" s="141" t="str">
        <f t="shared" si="97"/>
        <v/>
      </c>
      <c r="K1284" s="141" t="str">
        <f t="shared" si="98"/>
        <v/>
      </c>
      <c r="L1284" s="141" t="str">
        <f t="shared" si="99"/>
        <v/>
      </c>
    </row>
    <row r="1285" spans="1:12" x14ac:dyDescent="0.3">
      <c r="A1285" s="2" t="str">
        <f xml:space="preserve"> IF( 'From SvanPC++'!A1285= "", "", ('From SvanPC++'!A1285))</f>
        <v/>
      </c>
      <c r="C1285" s="6" t="s">
        <v>10</v>
      </c>
      <c r="G1285" s="38" t="str">
        <f t="shared" si="95"/>
        <v/>
      </c>
      <c r="H1285" s="141" t="str">
        <f t="shared" si="96"/>
        <v/>
      </c>
      <c r="J1285" s="141" t="str">
        <f t="shared" si="97"/>
        <v/>
      </c>
      <c r="K1285" s="141" t="str">
        <f t="shared" si="98"/>
        <v/>
      </c>
      <c r="L1285" s="141" t="str">
        <f t="shared" si="99"/>
        <v/>
      </c>
    </row>
    <row r="1286" spans="1:12" x14ac:dyDescent="0.3">
      <c r="A1286" s="2" t="str">
        <f xml:space="preserve"> IF( 'From SvanPC++'!A1286= "", "", ('From SvanPC++'!A1286))</f>
        <v/>
      </c>
      <c r="C1286" s="6" t="s">
        <v>10</v>
      </c>
      <c r="G1286" s="38" t="str">
        <f t="shared" si="95"/>
        <v/>
      </c>
      <c r="H1286" s="141" t="str">
        <f t="shared" si="96"/>
        <v/>
      </c>
      <c r="J1286" s="141" t="str">
        <f t="shared" si="97"/>
        <v/>
      </c>
      <c r="K1286" s="141" t="str">
        <f t="shared" si="98"/>
        <v/>
      </c>
      <c r="L1286" s="141" t="str">
        <f t="shared" si="99"/>
        <v/>
      </c>
    </row>
    <row r="1287" spans="1:12" x14ac:dyDescent="0.3">
      <c r="A1287" s="2" t="str">
        <f xml:space="preserve"> IF( 'From SvanPC++'!A1287= "", "", ('From SvanPC++'!A1287))</f>
        <v/>
      </c>
      <c r="C1287" s="6" t="s">
        <v>10</v>
      </c>
      <c r="G1287" s="38" t="str">
        <f t="shared" ref="G1287:G1350" si="100" xml:space="preserve"> IF( D1287= "", "", ( IF( AND( D1287 &gt;= TIMEVALUE( "07:00:01" ), D1287 &lt; TIMEVALUE( "08:00:01" ) ) = TRUE, (G1286+1), (G1286+0) )))</f>
        <v/>
      </c>
      <c r="H1287" s="141" t="str">
        <f t="shared" ref="H1287:H1350" si="101" xml:space="preserve"> IF( D1287= "", "", (
IF( AND( D1287 &gt;= TIMEVALUE( "07:00:01" ), D1287 &lt;= TIMEVALUE( "18:00:00" ), WEEKDAY( C1287,1+N("            Weekday Day Period              ")) &gt;=2, ( WEEKDAY( C1287,1) &lt;=6) ) = TRUE, "Day",
IF( AND( D1287 &gt;= TIMEVALUE( "18:00:01" ), D1287 &lt;= TIMEVALUE( "22:00:00" ), WEEKDAY( C1287,1+N("            Weekday Evening Period          ")) &gt;=2, ( WEEKDAY( C1287,1) &lt;=6) ) = TRUE, "Evening",
IF( AND( D1287 &gt;= TIMEVALUE( "22:00:01" ), D1287 &lt;= TIMEVALUE( "23:59:59" ), WEEKDAY( C1287,1+N("            Weekday Night Period            ")) &gt;=2, ( WEEKDAY( C1287,1) &lt;=6) ) = TRUE, "Night",
IF( AND( D1287 &gt;= TIMEVALUE( "00:00:00" ), D1287 &lt;= TIMEVALUE( "07:00:00" ), WEEKDAY( C1287,1+N("            Weekday Night Period            ")) &gt;=2, ( WEEKDAY( C1287,1) &lt;=6) ) = TRUE, "Night",
IF( AND( D1287 &gt;= TIMEVALUE( "07:00:01" ), D1287 &lt;= TIMEVALUE( "18:00:00" ), WEEKDAY( C1287) =(7+N("         Saturday Day Period             ")) ) = TRUE, "Day",
IF( AND( D1287 &gt;= TIMEVALUE( "18:00:01" ), D1287 &lt;= TIMEVALUE( "22:00:00" ), WEEKDAY( C1287) =(7+N("         Saturday Evening Period         ")) ) = TRUE, "Evening",
IF( AND( D1287 &gt;= TIMEVALUE( "22:00:01" ), D1287 &lt;= TIMEVALUE( "23:59:59" ), WEEKDAY( C1287) =(7+N("         Saturday Night Period           ")) ) = TRUE, "Night",
IF( AND( D1287 &gt;= TIMEVALUE( "00:00:00" ), D1287 &lt;= TIMEVALUE( "07:00:00" ), WEEKDAY( C1287) =(7+N("         Saturday Night Period           ")) ) = TRUE, "Night",
IF( AND( D1287 &gt;= TIMEVALUE( "07:00:01" ), D1287 &lt;= TIMEVALUE( "22:00:00" ), WEEKDAY( C1287) =(1+N("         Sunday Evening Period           ")) ) = TRUE, "Evening",
IF( AND( D1287 &gt;= TIMEVALUE( "20:00:01" ), D1287 &lt;= TIMEVALUE( "23:59:59" ), WEEKDAY( C1287) =(1+N("         Sunday Night Period             ")) ) = TRUE, "Night",
IF( AND( D1287 &gt;= TIMEVALUE( "00:00:00" ), D1287 &lt;= TIMEVALUE( "07:00:00" ), WEEKDAY( C1287) =(1+N("         Sunday Night Period             ")) ) = TRUE, "Night",
)))))))))))))</f>
        <v/>
      </c>
      <c r="J1287" s="141" t="str">
        <f t="shared" si="97"/>
        <v/>
      </c>
      <c r="K1287" s="141" t="str">
        <f t="shared" si="98"/>
        <v/>
      </c>
      <c r="L1287" s="141" t="str">
        <f t="shared" si="99"/>
        <v/>
      </c>
    </row>
    <row r="1288" spans="1:12" x14ac:dyDescent="0.3">
      <c r="A1288" s="2" t="str">
        <f xml:space="preserve"> IF( 'From SvanPC++'!A1288= "", "", ('From SvanPC++'!A1288))</f>
        <v/>
      </c>
      <c r="C1288" s="6" t="s">
        <v>10</v>
      </c>
      <c r="G1288" s="38" t="str">
        <f t="shared" si="100"/>
        <v/>
      </c>
      <c r="H1288" s="141" t="str">
        <f t="shared" si="101"/>
        <v/>
      </c>
      <c r="J1288" s="141" t="str">
        <f t="shared" ref="J1288:J1351" si="102" xml:space="preserve"> IF( ISERROR( IF( D1288= "", "", ( IF( G1288= (G1287+1), ( AVERAGEIFS( E1288:E1432, G1288:G1432, G1288, H1288:H1432, "Day" )), "" )))), "",( IF( D1288= "", "", ( IF( G1288= (G1287+1), ( AVERAGEIFS( E1288:E1432, G1288:G1432, G1288, H1288:H1432, "Day" )), "" )))))</f>
        <v/>
      </c>
      <c r="K1288" s="141" t="str">
        <f t="shared" ref="K1288:K1351" si="103" xml:space="preserve"> IF( ISERROR( IF( D1288= "", "", ( IF( G1288= (G1287+1), ( AVERAGEIFS( E1288:E1432, G1288:G1432, G1288, H1288:H1432, "Evening" )), "" )))), "",( IF( D1288= "", "", ( IF( G1288= (G1287+1), ( AVERAGEIFS( E1288:E1432, G1288:G1432, G1288, H1288:H1432, "Evening" )), "" )))))</f>
        <v/>
      </c>
      <c r="L1288" s="141" t="str">
        <f t="shared" ref="L1288:L1351" si="104" xml:space="preserve"> IF( ISERROR( IF( D1288= "", "", ( IF( G1288= (G1287+1), ( AVERAGEIFS( E1288:E1432, G1288:G1432, G1288, H1288:H1432, "Night" )), "" )))), "",( IF( D1288= "", "", ( IF( G1288= (G1287+1), ( AVERAGEIFS( E1288:E1432, G1288:G1432, G1288, H1288:H1432, "Night" )), "" )))))</f>
        <v/>
      </c>
    </row>
    <row r="1289" spans="1:12" x14ac:dyDescent="0.3">
      <c r="A1289" s="2" t="str">
        <f xml:space="preserve"> IF( 'From SvanPC++'!A1289= "", "", ('From SvanPC++'!A1289))</f>
        <v/>
      </c>
      <c r="C1289" s="6" t="s">
        <v>10</v>
      </c>
      <c r="G1289" s="38" t="str">
        <f t="shared" si="100"/>
        <v/>
      </c>
      <c r="H1289" s="141" t="str">
        <f t="shared" si="101"/>
        <v/>
      </c>
      <c r="J1289" s="141" t="str">
        <f t="shared" si="102"/>
        <v/>
      </c>
      <c r="K1289" s="141" t="str">
        <f t="shared" si="103"/>
        <v/>
      </c>
      <c r="L1289" s="141" t="str">
        <f t="shared" si="104"/>
        <v/>
      </c>
    </row>
    <row r="1290" spans="1:12" x14ac:dyDescent="0.3">
      <c r="A1290" s="2" t="str">
        <f xml:space="preserve"> IF( 'From SvanPC++'!A1290= "", "", ('From SvanPC++'!A1290))</f>
        <v/>
      </c>
      <c r="C1290" s="6" t="s">
        <v>10</v>
      </c>
      <c r="G1290" s="38" t="str">
        <f t="shared" si="100"/>
        <v/>
      </c>
      <c r="H1290" s="141" t="str">
        <f t="shared" si="101"/>
        <v/>
      </c>
      <c r="J1290" s="141" t="str">
        <f t="shared" si="102"/>
        <v/>
      </c>
      <c r="K1290" s="141" t="str">
        <f t="shared" si="103"/>
        <v/>
      </c>
      <c r="L1290" s="141" t="str">
        <f t="shared" si="104"/>
        <v/>
      </c>
    </row>
    <row r="1291" spans="1:12" x14ac:dyDescent="0.3">
      <c r="A1291" s="2" t="str">
        <f xml:space="preserve"> IF( 'From SvanPC++'!A1291= "", "", ('From SvanPC++'!A1291))</f>
        <v/>
      </c>
      <c r="C1291" s="6" t="s">
        <v>10</v>
      </c>
      <c r="G1291" s="38" t="str">
        <f t="shared" si="100"/>
        <v/>
      </c>
      <c r="H1291" s="141" t="str">
        <f t="shared" si="101"/>
        <v/>
      </c>
      <c r="J1291" s="141" t="str">
        <f t="shared" si="102"/>
        <v/>
      </c>
      <c r="K1291" s="141" t="str">
        <f t="shared" si="103"/>
        <v/>
      </c>
      <c r="L1291" s="141" t="str">
        <f t="shared" si="104"/>
        <v/>
      </c>
    </row>
    <row r="1292" spans="1:12" x14ac:dyDescent="0.3">
      <c r="A1292" s="2" t="str">
        <f xml:space="preserve"> IF( 'From SvanPC++'!A1292= "", "", ('From SvanPC++'!A1292))</f>
        <v/>
      </c>
      <c r="C1292" s="6" t="s">
        <v>10</v>
      </c>
      <c r="G1292" s="38" t="str">
        <f t="shared" si="100"/>
        <v/>
      </c>
      <c r="H1292" s="141" t="str">
        <f t="shared" si="101"/>
        <v/>
      </c>
      <c r="J1292" s="141" t="str">
        <f t="shared" si="102"/>
        <v/>
      </c>
      <c r="K1292" s="141" t="str">
        <f t="shared" si="103"/>
        <v/>
      </c>
      <c r="L1292" s="141" t="str">
        <f t="shared" si="104"/>
        <v/>
      </c>
    </row>
    <row r="1293" spans="1:12" x14ac:dyDescent="0.3">
      <c r="A1293" s="2" t="str">
        <f xml:space="preserve"> IF( 'From SvanPC++'!A1293= "", "", ('From SvanPC++'!A1293))</f>
        <v/>
      </c>
      <c r="C1293" s="6" t="s">
        <v>10</v>
      </c>
      <c r="G1293" s="38" t="str">
        <f t="shared" si="100"/>
        <v/>
      </c>
      <c r="H1293" s="141" t="str">
        <f t="shared" si="101"/>
        <v/>
      </c>
      <c r="J1293" s="141" t="str">
        <f t="shared" si="102"/>
        <v/>
      </c>
      <c r="K1293" s="141" t="str">
        <f t="shared" si="103"/>
        <v/>
      </c>
      <c r="L1293" s="141" t="str">
        <f t="shared" si="104"/>
        <v/>
      </c>
    </row>
    <row r="1294" spans="1:12" x14ac:dyDescent="0.3">
      <c r="A1294" s="2" t="str">
        <f xml:space="preserve"> IF( 'From SvanPC++'!A1294= "", "", ('From SvanPC++'!A1294))</f>
        <v/>
      </c>
      <c r="C1294" s="6" t="s">
        <v>10</v>
      </c>
      <c r="G1294" s="38" t="str">
        <f t="shared" si="100"/>
        <v/>
      </c>
      <c r="H1294" s="141" t="str">
        <f t="shared" si="101"/>
        <v/>
      </c>
      <c r="J1294" s="141" t="str">
        <f t="shared" si="102"/>
        <v/>
      </c>
      <c r="K1294" s="141" t="str">
        <f t="shared" si="103"/>
        <v/>
      </c>
      <c r="L1294" s="141" t="str">
        <f t="shared" si="104"/>
        <v/>
      </c>
    </row>
    <row r="1295" spans="1:12" x14ac:dyDescent="0.3">
      <c r="A1295" s="2" t="str">
        <f xml:space="preserve"> IF( 'From SvanPC++'!A1295= "", "", ('From SvanPC++'!A1295))</f>
        <v/>
      </c>
      <c r="C1295" s="6" t="s">
        <v>10</v>
      </c>
      <c r="G1295" s="38" t="str">
        <f t="shared" si="100"/>
        <v/>
      </c>
      <c r="H1295" s="141" t="str">
        <f t="shared" si="101"/>
        <v/>
      </c>
      <c r="J1295" s="141" t="str">
        <f t="shared" si="102"/>
        <v/>
      </c>
      <c r="K1295" s="141" t="str">
        <f t="shared" si="103"/>
        <v/>
      </c>
      <c r="L1295" s="141" t="str">
        <f t="shared" si="104"/>
        <v/>
      </c>
    </row>
    <row r="1296" spans="1:12" x14ac:dyDescent="0.3">
      <c r="A1296" s="2" t="str">
        <f xml:space="preserve"> IF( 'From SvanPC++'!A1296= "", "", ('From SvanPC++'!A1296))</f>
        <v/>
      </c>
      <c r="C1296" s="6" t="s">
        <v>10</v>
      </c>
      <c r="G1296" s="38" t="str">
        <f t="shared" si="100"/>
        <v/>
      </c>
      <c r="H1296" s="141" t="str">
        <f t="shared" si="101"/>
        <v/>
      </c>
      <c r="J1296" s="141" t="str">
        <f t="shared" si="102"/>
        <v/>
      </c>
      <c r="K1296" s="141" t="str">
        <f t="shared" si="103"/>
        <v/>
      </c>
      <c r="L1296" s="141" t="str">
        <f t="shared" si="104"/>
        <v/>
      </c>
    </row>
    <row r="1297" spans="1:12" x14ac:dyDescent="0.3">
      <c r="A1297" s="2" t="str">
        <f xml:space="preserve"> IF( 'From SvanPC++'!A1297= "", "", ('From SvanPC++'!A1297))</f>
        <v/>
      </c>
      <c r="C1297" s="6" t="s">
        <v>10</v>
      </c>
      <c r="G1297" s="38" t="str">
        <f t="shared" si="100"/>
        <v/>
      </c>
      <c r="H1297" s="141" t="str">
        <f t="shared" si="101"/>
        <v/>
      </c>
      <c r="J1297" s="141" t="str">
        <f t="shared" si="102"/>
        <v/>
      </c>
      <c r="K1297" s="141" t="str">
        <f t="shared" si="103"/>
        <v/>
      </c>
      <c r="L1297" s="141" t="str">
        <f t="shared" si="104"/>
        <v/>
      </c>
    </row>
    <row r="1298" spans="1:12" x14ac:dyDescent="0.3">
      <c r="A1298" s="2" t="str">
        <f xml:space="preserve"> IF( 'From SvanPC++'!A1298= "", "", ('From SvanPC++'!A1298))</f>
        <v/>
      </c>
      <c r="C1298" s="6" t="s">
        <v>10</v>
      </c>
      <c r="G1298" s="38" t="str">
        <f t="shared" si="100"/>
        <v/>
      </c>
      <c r="H1298" s="141" t="str">
        <f t="shared" si="101"/>
        <v/>
      </c>
      <c r="J1298" s="141" t="str">
        <f t="shared" si="102"/>
        <v/>
      </c>
      <c r="K1298" s="141" t="str">
        <f t="shared" si="103"/>
        <v/>
      </c>
      <c r="L1298" s="141" t="str">
        <f t="shared" si="104"/>
        <v/>
      </c>
    </row>
    <row r="1299" spans="1:12" x14ac:dyDescent="0.3">
      <c r="A1299" s="2" t="str">
        <f xml:space="preserve"> IF( 'From SvanPC++'!A1299= "", "", ('From SvanPC++'!A1299))</f>
        <v/>
      </c>
      <c r="C1299" s="6" t="s">
        <v>10</v>
      </c>
      <c r="G1299" s="38" t="str">
        <f t="shared" si="100"/>
        <v/>
      </c>
      <c r="H1299" s="141" t="str">
        <f t="shared" si="101"/>
        <v/>
      </c>
      <c r="J1299" s="141" t="str">
        <f t="shared" si="102"/>
        <v/>
      </c>
      <c r="K1299" s="141" t="str">
        <f t="shared" si="103"/>
        <v/>
      </c>
      <c r="L1299" s="141" t="str">
        <f t="shared" si="104"/>
        <v/>
      </c>
    </row>
    <row r="1300" spans="1:12" x14ac:dyDescent="0.3">
      <c r="A1300" s="2" t="str">
        <f xml:space="preserve"> IF( 'From SvanPC++'!A1300= "", "", ('From SvanPC++'!A1300))</f>
        <v/>
      </c>
      <c r="C1300" s="6" t="s">
        <v>10</v>
      </c>
      <c r="G1300" s="38" t="str">
        <f t="shared" si="100"/>
        <v/>
      </c>
      <c r="H1300" s="141" t="str">
        <f t="shared" si="101"/>
        <v/>
      </c>
      <c r="J1300" s="141" t="str">
        <f t="shared" si="102"/>
        <v/>
      </c>
      <c r="K1300" s="141" t="str">
        <f t="shared" si="103"/>
        <v/>
      </c>
      <c r="L1300" s="141" t="str">
        <f t="shared" si="104"/>
        <v/>
      </c>
    </row>
    <row r="1301" spans="1:12" x14ac:dyDescent="0.3">
      <c r="A1301" s="2" t="str">
        <f xml:space="preserve"> IF( 'From SvanPC++'!A1301= "", "", ('From SvanPC++'!A1301))</f>
        <v/>
      </c>
      <c r="C1301" s="6" t="s">
        <v>10</v>
      </c>
      <c r="G1301" s="38" t="str">
        <f t="shared" si="100"/>
        <v/>
      </c>
      <c r="H1301" s="141" t="str">
        <f t="shared" si="101"/>
        <v/>
      </c>
      <c r="J1301" s="141" t="str">
        <f t="shared" si="102"/>
        <v/>
      </c>
      <c r="K1301" s="141" t="str">
        <f t="shared" si="103"/>
        <v/>
      </c>
      <c r="L1301" s="141" t="str">
        <f t="shared" si="104"/>
        <v/>
      </c>
    </row>
    <row r="1302" spans="1:12" x14ac:dyDescent="0.3">
      <c r="A1302" s="2" t="str">
        <f xml:space="preserve"> IF( 'From SvanPC++'!A1302= "", "", ('From SvanPC++'!A1302))</f>
        <v/>
      </c>
      <c r="C1302" s="6" t="s">
        <v>10</v>
      </c>
      <c r="G1302" s="38" t="str">
        <f t="shared" si="100"/>
        <v/>
      </c>
      <c r="H1302" s="141" t="str">
        <f t="shared" si="101"/>
        <v/>
      </c>
      <c r="J1302" s="141" t="str">
        <f t="shared" si="102"/>
        <v/>
      </c>
      <c r="K1302" s="141" t="str">
        <f t="shared" si="103"/>
        <v/>
      </c>
      <c r="L1302" s="141" t="str">
        <f t="shared" si="104"/>
        <v/>
      </c>
    </row>
    <row r="1303" spans="1:12" x14ac:dyDescent="0.3">
      <c r="A1303" s="2" t="str">
        <f xml:space="preserve"> IF( 'From SvanPC++'!A1303= "", "", ('From SvanPC++'!A1303))</f>
        <v/>
      </c>
      <c r="C1303" s="6" t="s">
        <v>10</v>
      </c>
      <c r="G1303" s="38" t="str">
        <f t="shared" si="100"/>
        <v/>
      </c>
      <c r="H1303" s="141" t="str">
        <f t="shared" si="101"/>
        <v/>
      </c>
      <c r="J1303" s="141" t="str">
        <f t="shared" si="102"/>
        <v/>
      </c>
      <c r="K1303" s="141" t="str">
        <f t="shared" si="103"/>
        <v/>
      </c>
      <c r="L1303" s="141" t="str">
        <f t="shared" si="104"/>
        <v/>
      </c>
    </row>
    <row r="1304" spans="1:12" x14ac:dyDescent="0.3">
      <c r="A1304" s="2" t="str">
        <f xml:space="preserve"> IF( 'From SvanPC++'!A1304= "", "", ('From SvanPC++'!A1304))</f>
        <v/>
      </c>
      <c r="C1304" s="6" t="s">
        <v>10</v>
      </c>
      <c r="G1304" s="38" t="str">
        <f t="shared" si="100"/>
        <v/>
      </c>
      <c r="H1304" s="141" t="str">
        <f t="shared" si="101"/>
        <v/>
      </c>
      <c r="J1304" s="141" t="str">
        <f t="shared" si="102"/>
        <v/>
      </c>
      <c r="K1304" s="141" t="str">
        <f t="shared" si="103"/>
        <v/>
      </c>
      <c r="L1304" s="141" t="str">
        <f t="shared" si="104"/>
        <v/>
      </c>
    </row>
    <row r="1305" spans="1:12" x14ac:dyDescent="0.3">
      <c r="A1305" s="2" t="str">
        <f xml:space="preserve"> IF( 'From SvanPC++'!A1305= "", "", ('From SvanPC++'!A1305))</f>
        <v/>
      </c>
      <c r="C1305" s="6" t="s">
        <v>10</v>
      </c>
      <c r="G1305" s="38" t="str">
        <f t="shared" si="100"/>
        <v/>
      </c>
      <c r="H1305" s="141" t="str">
        <f t="shared" si="101"/>
        <v/>
      </c>
      <c r="J1305" s="141" t="str">
        <f t="shared" si="102"/>
        <v/>
      </c>
      <c r="K1305" s="141" t="str">
        <f t="shared" si="103"/>
        <v/>
      </c>
      <c r="L1305" s="141" t="str">
        <f t="shared" si="104"/>
        <v/>
      </c>
    </row>
    <row r="1306" spans="1:12" x14ac:dyDescent="0.3">
      <c r="A1306" s="2" t="str">
        <f xml:space="preserve"> IF( 'From SvanPC++'!A1306= "", "", ('From SvanPC++'!A1306))</f>
        <v/>
      </c>
      <c r="C1306" s="6" t="s">
        <v>10</v>
      </c>
      <c r="G1306" s="38" t="str">
        <f t="shared" si="100"/>
        <v/>
      </c>
      <c r="H1306" s="141" t="str">
        <f t="shared" si="101"/>
        <v/>
      </c>
      <c r="J1306" s="141" t="str">
        <f t="shared" si="102"/>
        <v/>
      </c>
      <c r="K1306" s="141" t="str">
        <f t="shared" si="103"/>
        <v/>
      </c>
      <c r="L1306" s="141" t="str">
        <f t="shared" si="104"/>
        <v/>
      </c>
    </row>
    <row r="1307" spans="1:12" x14ac:dyDescent="0.3">
      <c r="A1307" s="2" t="str">
        <f xml:space="preserve"> IF( 'From SvanPC++'!A1307= "", "", ('From SvanPC++'!A1307))</f>
        <v/>
      </c>
      <c r="C1307" s="6" t="s">
        <v>10</v>
      </c>
      <c r="G1307" s="38" t="str">
        <f t="shared" si="100"/>
        <v/>
      </c>
      <c r="H1307" s="141" t="str">
        <f t="shared" si="101"/>
        <v/>
      </c>
      <c r="J1307" s="141" t="str">
        <f t="shared" si="102"/>
        <v/>
      </c>
      <c r="K1307" s="141" t="str">
        <f t="shared" si="103"/>
        <v/>
      </c>
      <c r="L1307" s="141" t="str">
        <f t="shared" si="104"/>
        <v/>
      </c>
    </row>
    <row r="1308" spans="1:12" x14ac:dyDescent="0.3">
      <c r="A1308" s="2" t="str">
        <f xml:space="preserve"> IF( 'From SvanPC++'!A1308= "", "", ('From SvanPC++'!A1308))</f>
        <v/>
      </c>
      <c r="C1308" s="6" t="s">
        <v>10</v>
      </c>
      <c r="G1308" s="38" t="str">
        <f t="shared" si="100"/>
        <v/>
      </c>
      <c r="H1308" s="141" t="str">
        <f t="shared" si="101"/>
        <v/>
      </c>
      <c r="J1308" s="141" t="str">
        <f t="shared" si="102"/>
        <v/>
      </c>
      <c r="K1308" s="141" t="str">
        <f t="shared" si="103"/>
        <v/>
      </c>
      <c r="L1308" s="141" t="str">
        <f t="shared" si="104"/>
        <v/>
      </c>
    </row>
    <row r="1309" spans="1:12" x14ac:dyDescent="0.3">
      <c r="A1309" s="2" t="str">
        <f xml:space="preserve"> IF( 'From SvanPC++'!A1309= "", "", ('From SvanPC++'!A1309))</f>
        <v/>
      </c>
      <c r="C1309" s="6" t="s">
        <v>10</v>
      </c>
      <c r="G1309" s="38" t="str">
        <f t="shared" si="100"/>
        <v/>
      </c>
      <c r="H1309" s="141" t="str">
        <f t="shared" si="101"/>
        <v/>
      </c>
      <c r="J1309" s="141" t="str">
        <f t="shared" si="102"/>
        <v/>
      </c>
      <c r="K1309" s="141" t="str">
        <f t="shared" si="103"/>
        <v/>
      </c>
      <c r="L1309" s="141" t="str">
        <f t="shared" si="104"/>
        <v/>
      </c>
    </row>
    <row r="1310" spans="1:12" x14ac:dyDescent="0.3">
      <c r="A1310" s="2" t="str">
        <f xml:space="preserve"> IF( 'From SvanPC++'!A1310= "", "", ('From SvanPC++'!A1310))</f>
        <v/>
      </c>
      <c r="C1310" s="6" t="s">
        <v>10</v>
      </c>
      <c r="G1310" s="38" t="str">
        <f t="shared" si="100"/>
        <v/>
      </c>
      <c r="H1310" s="141" t="str">
        <f t="shared" si="101"/>
        <v/>
      </c>
      <c r="J1310" s="141" t="str">
        <f t="shared" si="102"/>
        <v/>
      </c>
      <c r="K1310" s="141" t="str">
        <f t="shared" si="103"/>
        <v/>
      </c>
      <c r="L1310" s="141" t="str">
        <f t="shared" si="104"/>
        <v/>
      </c>
    </row>
    <row r="1311" spans="1:12" x14ac:dyDescent="0.3">
      <c r="A1311" s="2" t="str">
        <f xml:space="preserve"> IF( 'From SvanPC++'!A1311= "", "", ('From SvanPC++'!A1311))</f>
        <v/>
      </c>
      <c r="C1311" s="6" t="s">
        <v>10</v>
      </c>
      <c r="G1311" s="38" t="str">
        <f t="shared" si="100"/>
        <v/>
      </c>
      <c r="H1311" s="141" t="str">
        <f t="shared" si="101"/>
        <v/>
      </c>
      <c r="J1311" s="141" t="str">
        <f t="shared" si="102"/>
        <v/>
      </c>
      <c r="K1311" s="141" t="str">
        <f t="shared" si="103"/>
        <v/>
      </c>
      <c r="L1311" s="141" t="str">
        <f t="shared" si="104"/>
        <v/>
      </c>
    </row>
    <row r="1312" spans="1:12" x14ac:dyDescent="0.3">
      <c r="A1312" s="2" t="str">
        <f xml:space="preserve"> IF( 'From SvanPC++'!A1312= "", "", ('From SvanPC++'!A1312))</f>
        <v/>
      </c>
      <c r="C1312" s="6" t="s">
        <v>10</v>
      </c>
      <c r="G1312" s="38" t="str">
        <f t="shared" si="100"/>
        <v/>
      </c>
      <c r="H1312" s="141" t="str">
        <f t="shared" si="101"/>
        <v/>
      </c>
      <c r="J1312" s="141" t="str">
        <f t="shared" si="102"/>
        <v/>
      </c>
      <c r="K1312" s="141" t="str">
        <f t="shared" si="103"/>
        <v/>
      </c>
      <c r="L1312" s="141" t="str">
        <f t="shared" si="104"/>
        <v/>
      </c>
    </row>
    <row r="1313" spans="1:12" x14ac:dyDescent="0.3">
      <c r="A1313" s="2" t="str">
        <f xml:space="preserve"> IF( 'From SvanPC++'!A1313= "", "", ('From SvanPC++'!A1313))</f>
        <v/>
      </c>
      <c r="C1313" s="6" t="s">
        <v>10</v>
      </c>
      <c r="G1313" s="38" t="str">
        <f t="shared" si="100"/>
        <v/>
      </c>
      <c r="H1313" s="141" t="str">
        <f t="shared" si="101"/>
        <v/>
      </c>
      <c r="J1313" s="141" t="str">
        <f t="shared" si="102"/>
        <v/>
      </c>
      <c r="K1313" s="141" t="str">
        <f t="shared" si="103"/>
        <v/>
      </c>
      <c r="L1313" s="141" t="str">
        <f t="shared" si="104"/>
        <v/>
      </c>
    </row>
    <row r="1314" spans="1:12" x14ac:dyDescent="0.3">
      <c r="A1314" s="2" t="str">
        <f xml:space="preserve"> IF( 'From SvanPC++'!A1314= "", "", ('From SvanPC++'!A1314))</f>
        <v/>
      </c>
      <c r="C1314" s="6" t="s">
        <v>10</v>
      </c>
      <c r="G1314" s="38" t="str">
        <f t="shared" si="100"/>
        <v/>
      </c>
      <c r="H1314" s="141" t="str">
        <f t="shared" si="101"/>
        <v/>
      </c>
      <c r="J1314" s="141" t="str">
        <f t="shared" si="102"/>
        <v/>
      </c>
      <c r="K1314" s="141" t="str">
        <f t="shared" si="103"/>
        <v/>
      </c>
      <c r="L1314" s="141" t="str">
        <f t="shared" si="104"/>
        <v/>
      </c>
    </row>
    <row r="1315" spans="1:12" x14ac:dyDescent="0.3">
      <c r="A1315" s="2" t="str">
        <f xml:space="preserve"> IF( 'From SvanPC++'!A1315= "", "", ('From SvanPC++'!A1315))</f>
        <v/>
      </c>
      <c r="C1315" s="6" t="s">
        <v>10</v>
      </c>
      <c r="G1315" s="38" t="str">
        <f t="shared" si="100"/>
        <v/>
      </c>
      <c r="H1315" s="141" t="str">
        <f t="shared" si="101"/>
        <v/>
      </c>
      <c r="J1315" s="141" t="str">
        <f t="shared" si="102"/>
        <v/>
      </c>
      <c r="K1315" s="141" t="str">
        <f t="shared" si="103"/>
        <v/>
      </c>
      <c r="L1315" s="141" t="str">
        <f t="shared" si="104"/>
        <v/>
      </c>
    </row>
    <row r="1316" spans="1:12" x14ac:dyDescent="0.3">
      <c r="A1316" s="2" t="str">
        <f xml:space="preserve"> IF( 'From SvanPC++'!A1316= "", "", ('From SvanPC++'!A1316))</f>
        <v/>
      </c>
      <c r="C1316" s="6" t="s">
        <v>10</v>
      </c>
      <c r="G1316" s="38" t="str">
        <f t="shared" si="100"/>
        <v/>
      </c>
      <c r="H1316" s="141" t="str">
        <f t="shared" si="101"/>
        <v/>
      </c>
      <c r="J1316" s="141" t="str">
        <f t="shared" si="102"/>
        <v/>
      </c>
      <c r="K1316" s="141" t="str">
        <f t="shared" si="103"/>
        <v/>
      </c>
      <c r="L1316" s="141" t="str">
        <f t="shared" si="104"/>
        <v/>
      </c>
    </row>
    <row r="1317" spans="1:12" x14ac:dyDescent="0.3">
      <c r="A1317" s="2" t="str">
        <f xml:space="preserve"> IF( 'From SvanPC++'!A1317= "", "", ('From SvanPC++'!A1317))</f>
        <v/>
      </c>
      <c r="C1317" s="6" t="s">
        <v>10</v>
      </c>
      <c r="G1317" s="38" t="str">
        <f t="shared" si="100"/>
        <v/>
      </c>
      <c r="H1317" s="141" t="str">
        <f t="shared" si="101"/>
        <v/>
      </c>
      <c r="J1317" s="141" t="str">
        <f t="shared" si="102"/>
        <v/>
      </c>
      <c r="K1317" s="141" t="str">
        <f t="shared" si="103"/>
        <v/>
      </c>
      <c r="L1317" s="141" t="str">
        <f t="shared" si="104"/>
        <v/>
      </c>
    </row>
    <row r="1318" spans="1:12" x14ac:dyDescent="0.3">
      <c r="A1318" s="2" t="str">
        <f xml:space="preserve"> IF( 'From SvanPC++'!A1318= "", "", ('From SvanPC++'!A1318))</f>
        <v/>
      </c>
      <c r="C1318" s="6" t="s">
        <v>10</v>
      </c>
      <c r="G1318" s="38" t="str">
        <f t="shared" si="100"/>
        <v/>
      </c>
      <c r="H1318" s="141" t="str">
        <f t="shared" si="101"/>
        <v/>
      </c>
      <c r="J1318" s="141" t="str">
        <f t="shared" si="102"/>
        <v/>
      </c>
      <c r="K1318" s="141" t="str">
        <f t="shared" si="103"/>
        <v/>
      </c>
      <c r="L1318" s="141" t="str">
        <f t="shared" si="104"/>
        <v/>
      </c>
    </row>
    <row r="1319" spans="1:12" x14ac:dyDescent="0.3">
      <c r="A1319" s="2" t="str">
        <f xml:space="preserve"> IF( 'From SvanPC++'!A1319= "", "", ('From SvanPC++'!A1319))</f>
        <v/>
      </c>
      <c r="C1319" s="6" t="s">
        <v>10</v>
      </c>
      <c r="G1319" s="38" t="str">
        <f t="shared" si="100"/>
        <v/>
      </c>
      <c r="H1319" s="141" t="str">
        <f t="shared" si="101"/>
        <v/>
      </c>
      <c r="J1319" s="141" t="str">
        <f t="shared" si="102"/>
        <v/>
      </c>
      <c r="K1319" s="141" t="str">
        <f t="shared" si="103"/>
        <v/>
      </c>
      <c r="L1319" s="141" t="str">
        <f t="shared" si="104"/>
        <v/>
      </c>
    </row>
    <row r="1320" spans="1:12" x14ac:dyDescent="0.3">
      <c r="A1320" s="2" t="str">
        <f xml:space="preserve"> IF( 'From SvanPC++'!A1320= "", "", ('From SvanPC++'!A1320))</f>
        <v/>
      </c>
      <c r="C1320" s="6" t="s">
        <v>10</v>
      </c>
      <c r="G1320" s="38" t="str">
        <f t="shared" si="100"/>
        <v/>
      </c>
      <c r="H1320" s="141" t="str">
        <f t="shared" si="101"/>
        <v/>
      </c>
      <c r="J1320" s="141" t="str">
        <f t="shared" si="102"/>
        <v/>
      </c>
      <c r="K1320" s="141" t="str">
        <f t="shared" si="103"/>
        <v/>
      </c>
      <c r="L1320" s="141" t="str">
        <f t="shared" si="104"/>
        <v/>
      </c>
    </row>
    <row r="1321" spans="1:12" x14ac:dyDescent="0.3">
      <c r="A1321" s="2" t="str">
        <f xml:space="preserve"> IF( 'From SvanPC++'!A1321= "", "", ('From SvanPC++'!A1321))</f>
        <v/>
      </c>
      <c r="C1321" s="6" t="s">
        <v>10</v>
      </c>
      <c r="G1321" s="38" t="str">
        <f t="shared" si="100"/>
        <v/>
      </c>
      <c r="H1321" s="141" t="str">
        <f t="shared" si="101"/>
        <v/>
      </c>
      <c r="J1321" s="141" t="str">
        <f t="shared" si="102"/>
        <v/>
      </c>
      <c r="K1321" s="141" t="str">
        <f t="shared" si="103"/>
        <v/>
      </c>
      <c r="L1321" s="141" t="str">
        <f t="shared" si="104"/>
        <v/>
      </c>
    </row>
    <row r="1322" spans="1:12" x14ac:dyDescent="0.3">
      <c r="A1322" s="2" t="str">
        <f xml:space="preserve"> IF( 'From SvanPC++'!A1322= "", "", ('From SvanPC++'!A1322))</f>
        <v/>
      </c>
      <c r="C1322" s="6" t="s">
        <v>10</v>
      </c>
      <c r="G1322" s="38" t="str">
        <f t="shared" si="100"/>
        <v/>
      </c>
      <c r="H1322" s="141" t="str">
        <f t="shared" si="101"/>
        <v/>
      </c>
      <c r="J1322" s="141" t="str">
        <f t="shared" si="102"/>
        <v/>
      </c>
      <c r="K1322" s="141" t="str">
        <f t="shared" si="103"/>
        <v/>
      </c>
      <c r="L1322" s="141" t="str">
        <f t="shared" si="104"/>
        <v/>
      </c>
    </row>
    <row r="1323" spans="1:12" x14ac:dyDescent="0.3">
      <c r="A1323" s="2" t="str">
        <f xml:space="preserve"> IF( 'From SvanPC++'!A1323= "", "", ('From SvanPC++'!A1323))</f>
        <v/>
      </c>
      <c r="C1323" s="6" t="s">
        <v>10</v>
      </c>
      <c r="G1323" s="38" t="str">
        <f t="shared" si="100"/>
        <v/>
      </c>
      <c r="H1323" s="141" t="str">
        <f t="shared" si="101"/>
        <v/>
      </c>
      <c r="J1323" s="141" t="str">
        <f t="shared" si="102"/>
        <v/>
      </c>
      <c r="K1323" s="141" t="str">
        <f t="shared" si="103"/>
        <v/>
      </c>
      <c r="L1323" s="141" t="str">
        <f t="shared" si="104"/>
        <v/>
      </c>
    </row>
    <row r="1324" spans="1:12" x14ac:dyDescent="0.3">
      <c r="A1324" s="2" t="str">
        <f xml:space="preserve"> IF( 'From SvanPC++'!A1324= "", "", ('From SvanPC++'!A1324))</f>
        <v/>
      </c>
      <c r="C1324" s="6" t="s">
        <v>10</v>
      </c>
      <c r="G1324" s="38" t="str">
        <f t="shared" si="100"/>
        <v/>
      </c>
      <c r="H1324" s="141" t="str">
        <f t="shared" si="101"/>
        <v/>
      </c>
      <c r="J1324" s="141" t="str">
        <f t="shared" si="102"/>
        <v/>
      </c>
      <c r="K1324" s="141" t="str">
        <f t="shared" si="103"/>
        <v/>
      </c>
      <c r="L1324" s="141" t="str">
        <f t="shared" si="104"/>
        <v/>
      </c>
    </row>
    <row r="1325" spans="1:12" x14ac:dyDescent="0.3">
      <c r="A1325" s="2" t="str">
        <f xml:space="preserve"> IF( 'From SvanPC++'!A1325= "", "", ('From SvanPC++'!A1325))</f>
        <v/>
      </c>
      <c r="C1325" s="6" t="s">
        <v>10</v>
      </c>
      <c r="G1325" s="38" t="str">
        <f t="shared" si="100"/>
        <v/>
      </c>
      <c r="H1325" s="141" t="str">
        <f t="shared" si="101"/>
        <v/>
      </c>
      <c r="J1325" s="141" t="str">
        <f t="shared" si="102"/>
        <v/>
      </c>
      <c r="K1325" s="141" t="str">
        <f t="shared" si="103"/>
        <v/>
      </c>
      <c r="L1325" s="141" t="str">
        <f t="shared" si="104"/>
        <v/>
      </c>
    </row>
    <row r="1326" spans="1:12" x14ac:dyDescent="0.3">
      <c r="A1326" s="2" t="str">
        <f xml:space="preserve"> IF( 'From SvanPC++'!A1326= "", "", ('From SvanPC++'!A1326))</f>
        <v/>
      </c>
      <c r="C1326" s="6" t="s">
        <v>10</v>
      </c>
      <c r="G1326" s="38" t="str">
        <f t="shared" si="100"/>
        <v/>
      </c>
      <c r="H1326" s="141" t="str">
        <f t="shared" si="101"/>
        <v/>
      </c>
      <c r="J1326" s="141" t="str">
        <f t="shared" si="102"/>
        <v/>
      </c>
      <c r="K1326" s="141" t="str">
        <f t="shared" si="103"/>
        <v/>
      </c>
      <c r="L1326" s="141" t="str">
        <f t="shared" si="104"/>
        <v/>
      </c>
    </row>
    <row r="1327" spans="1:12" x14ac:dyDescent="0.3">
      <c r="A1327" s="2" t="str">
        <f xml:space="preserve"> IF( 'From SvanPC++'!A1327= "", "", ('From SvanPC++'!A1327))</f>
        <v/>
      </c>
      <c r="C1327" s="6" t="s">
        <v>10</v>
      </c>
      <c r="G1327" s="38" t="str">
        <f t="shared" si="100"/>
        <v/>
      </c>
      <c r="H1327" s="141" t="str">
        <f t="shared" si="101"/>
        <v/>
      </c>
      <c r="J1327" s="141" t="str">
        <f t="shared" si="102"/>
        <v/>
      </c>
      <c r="K1327" s="141" t="str">
        <f t="shared" si="103"/>
        <v/>
      </c>
      <c r="L1327" s="141" t="str">
        <f t="shared" si="104"/>
        <v/>
      </c>
    </row>
    <row r="1328" spans="1:12" x14ac:dyDescent="0.3">
      <c r="A1328" s="2" t="str">
        <f xml:space="preserve"> IF( 'From SvanPC++'!A1328= "", "", ('From SvanPC++'!A1328))</f>
        <v/>
      </c>
      <c r="C1328" s="6" t="s">
        <v>10</v>
      </c>
      <c r="G1328" s="38" t="str">
        <f t="shared" si="100"/>
        <v/>
      </c>
      <c r="H1328" s="141" t="str">
        <f t="shared" si="101"/>
        <v/>
      </c>
      <c r="J1328" s="141" t="str">
        <f t="shared" si="102"/>
        <v/>
      </c>
      <c r="K1328" s="141" t="str">
        <f t="shared" si="103"/>
        <v/>
      </c>
      <c r="L1328" s="141" t="str">
        <f t="shared" si="104"/>
        <v/>
      </c>
    </row>
    <row r="1329" spans="1:12" x14ac:dyDescent="0.3">
      <c r="A1329" s="2" t="str">
        <f xml:space="preserve"> IF( 'From SvanPC++'!A1329= "", "", ('From SvanPC++'!A1329))</f>
        <v/>
      </c>
      <c r="C1329" s="6" t="s">
        <v>10</v>
      </c>
      <c r="G1329" s="38" t="str">
        <f t="shared" si="100"/>
        <v/>
      </c>
      <c r="H1329" s="141" t="str">
        <f t="shared" si="101"/>
        <v/>
      </c>
      <c r="J1329" s="141" t="str">
        <f t="shared" si="102"/>
        <v/>
      </c>
      <c r="K1329" s="141" t="str">
        <f t="shared" si="103"/>
        <v/>
      </c>
      <c r="L1329" s="141" t="str">
        <f t="shared" si="104"/>
        <v/>
      </c>
    </row>
    <row r="1330" spans="1:12" x14ac:dyDescent="0.3">
      <c r="A1330" s="2" t="str">
        <f xml:space="preserve"> IF( 'From SvanPC++'!A1330= "", "", ('From SvanPC++'!A1330))</f>
        <v/>
      </c>
      <c r="C1330" s="6" t="s">
        <v>10</v>
      </c>
      <c r="G1330" s="38" t="str">
        <f t="shared" si="100"/>
        <v/>
      </c>
      <c r="H1330" s="141" t="str">
        <f t="shared" si="101"/>
        <v/>
      </c>
      <c r="J1330" s="141" t="str">
        <f t="shared" si="102"/>
        <v/>
      </c>
      <c r="K1330" s="141" t="str">
        <f t="shared" si="103"/>
        <v/>
      </c>
      <c r="L1330" s="141" t="str">
        <f t="shared" si="104"/>
        <v/>
      </c>
    </row>
    <row r="1331" spans="1:12" x14ac:dyDescent="0.3">
      <c r="A1331" s="2" t="str">
        <f xml:space="preserve"> IF( 'From SvanPC++'!A1331= "", "", ('From SvanPC++'!A1331))</f>
        <v/>
      </c>
      <c r="C1331" s="6" t="s">
        <v>10</v>
      </c>
      <c r="G1331" s="38" t="str">
        <f t="shared" si="100"/>
        <v/>
      </c>
      <c r="H1331" s="141" t="str">
        <f t="shared" si="101"/>
        <v/>
      </c>
      <c r="J1331" s="141" t="str">
        <f t="shared" si="102"/>
        <v/>
      </c>
      <c r="K1331" s="141" t="str">
        <f t="shared" si="103"/>
        <v/>
      </c>
      <c r="L1331" s="141" t="str">
        <f t="shared" si="104"/>
        <v/>
      </c>
    </row>
    <row r="1332" spans="1:12" x14ac:dyDescent="0.3">
      <c r="A1332" s="2" t="str">
        <f xml:space="preserve"> IF( 'From SvanPC++'!A1332= "", "", ('From SvanPC++'!A1332))</f>
        <v/>
      </c>
      <c r="C1332" s="6" t="s">
        <v>10</v>
      </c>
      <c r="G1332" s="38" t="str">
        <f t="shared" si="100"/>
        <v/>
      </c>
      <c r="H1332" s="141" t="str">
        <f t="shared" si="101"/>
        <v/>
      </c>
      <c r="J1332" s="141" t="str">
        <f t="shared" si="102"/>
        <v/>
      </c>
      <c r="K1332" s="141" t="str">
        <f t="shared" si="103"/>
        <v/>
      </c>
      <c r="L1332" s="141" t="str">
        <f t="shared" si="104"/>
        <v/>
      </c>
    </row>
    <row r="1333" spans="1:12" x14ac:dyDescent="0.3">
      <c r="A1333" s="2" t="str">
        <f xml:space="preserve"> IF( 'From SvanPC++'!A1333= "", "", ('From SvanPC++'!A1333))</f>
        <v/>
      </c>
      <c r="C1333" s="6" t="s">
        <v>10</v>
      </c>
      <c r="G1333" s="38" t="str">
        <f t="shared" si="100"/>
        <v/>
      </c>
      <c r="H1333" s="141" t="str">
        <f t="shared" si="101"/>
        <v/>
      </c>
      <c r="J1333" s="141" t="str">
        <f t="shared" si="102"/>
        <v/>
      </c>
      <c r="K1333" s="141" t="str">
        <f t="shared" si="103"/>
        <v/>
      </c>
      <c r="L1333" s="141" t="str">
        <f t="shared" si="104"/>
        <v/>
      </c>
    </row>
    <row r="1334" spans="1:12" x14ac:dyDescent="0.3">
      <c r="A1334" s="2" t="str">
        <f xml:space="preserve"> IF( 'From SvanPC++'!A1334= "", "", ('From SvanPC++'!A1334))</f>
        <v/>
      </c>
      <c r="C1334" s="6" t="s">
        <v>10</v>
      </c>
      <c r="G1334" s="38" t="str">
        <f t="shared" si="100"/>
        <v/>
      </c>
      <c r="H1334" s="141" t="str">
        <f t="shared" si="101"/>
        <v/>
      </c>
      <c r="J1334" s="141" t="str">
        <f t="shared" si="102"/>
        <v/>
      </c>
      <c r="K1334" s="141" t="str">
        <f t="shared" si="103"/>
        <v/>
      </c>
      <c r="L1334" s="141" t="str">
        <f t="shared" si="104"/>
        <v/>
      </c>
    </row>
    <row r="1335" spans="1:12" x14ac:dyDescent="0.3">
      <c r="A1335" s="2" t="str">
        <f xml:space="preserve"> IF( 'From SvanPC++'!A1335= "", "", ('From SvanPC++'!A1335))</f>
        <v/>
      </c>
      <c r="C1335" s="6" t="s">
        <v>10</v>
      </c>
      <c r="G1335" s="38" t="str">
        <f t="shared" si="100"/>
        <v/>
      </c>
      <c r="H1335" s="141" t="str">
        <f t="shared" si="101"/>
        <v/>
      </c>
      <c r="J1335" s="141" t="str">
        <f t="shared" si="102"/>
        <v/>
      </c>
      <c r="K1335" s="141" t="str">
        <f t="shared" si="103"/>
        <v/>
      </c>
      <c r="L1335" s="141" t="str">
        <f t="shared" si="104"/>
        <v/>
      </c>
    </row>
    <row r="1336" spans="1:12" x14ac:dyDescent="0.3">
      <c r="A1336" s="2" t="str">
        <f xml:space="preserve"> IF( 'From SvanPC++'!A1336= "", "", ('From SvanPC++'!A1336))</f>
        <v/>
      </c>
      <c r="C1336" s="6" t="s">
        <v>10</v>
      </c>
      <c r="G1336" s="38" t="str">
        <f t="shared" si="100"/>
        <v/>
      </c>
      <c r="H1336" s="141" t="str">
        <f t="shared" si="101"/>
        <v/>
      </c>
      <c r="J1336" s="141" t="str">
        <f t="shared" si="102"/>
        <v/>
      </c>
      <c r="K1336" s="141" t="str">
        <f t="shared" si="103"/>
        <v/>
      </c>
      <c r="L1336" s="141" t="str">
        <f t="shared" si="104"/>
        <v/>
      </c>
    </row>
    <row r="1337" spans="1:12" x14ac:dyDescent="0.3">
      <c r="A1337" s="2" t="str">
        <f xml:space="preserve"> IF( 'From SvanPC++'!A1337= "", "", ('From SvanPC++'!A1337))</f>
        <v/>
      </c>
      <c r="C1337" s="6" t="s">
        <v>10</v>
      </c>
      <c r="G1337" s="38" t="str">
        <f t="shared" si="100"/>
        <v/>
      </c>
      <c r="H1337" s="141" t="str">
        <f t="shared" si="101"/>
        <v/>
      </c>
      <c r="J1337" s="141" t="str">
        <f t="shared" si="102"/>
        <v/>
      </c>
      <c r="K1337" s="141" t="str">
        <f t="shared" si="103"/>
        <v/>
      </c>
      <c r="L1337" s="141" t="str">
        <f t="shared" si="104"/>
        <v/>
      </c>
    </row>
    <row r="1338" spans="1:12" x14ac:dyDescent="0.3">
      <c r="A1338" s="2" t="str">
        <f xml:space="preserve"> IF( 'From SvanPC++'!A1338= "", "", ('From SvanPC++'!A1338))</f>
        <v/>
      </c>
      <c r="C1338" s="6" t="s">
        <v>10</v>
      </c>
      <c r="G1338" s="38" t="str">
        <f t="shared" si="100"/>
        <v/>
      </c>
      <c r="H1338" s="141" t="str">
        <f t="shared" si="101"/>
        <v/>
      </c>
      <c r="J1338" s="141" t="str">
        <f t="shared" si="102"/>
        <v/>
      </c>
      <c r="K1338" s="141" t="str">
        <f t="shared" si="103"/>
        <v/>
      </c>
      <c r="L1338" s="141" t="str">
        <f t="shared" si="104"/>
        <v/>
      </c>
    </row>
    <row r="1339" spans="1:12" x14ac:dyDescent="0.3">
      <c r="A1339" s="2" t="str">
        <f xml:space="preserve"> IF( 'From SvanPC++'!A1339= "", "", ('From SvanPC++'!A1339))</f>
        <v/>
      </c>
      <c r="C1339" s="6" t="s">
        <v>10</v>
      </c>
      <c r="G1339" s="38" t="str">
        <f t="shared" si="100"/>
        <v/>
      </c>
      <c r="H1339" s="141" t="str">
        <f t="shared" si="101"/>
        <v/>
      </c>
      <c r="J1339" s="141" t="str">
        <f t="shared" si="102"/>
        <v/>
      </c>
      <c r="K1339" s="141" t="str">
        <f t="shared" si="103"/>
        <v/>
      </c>
      <c r="L1339" s="141" t="str">
        <f t="shared" si="104"/>
        <v/>
      </c>
    </row>
    <row r="1340" spans="1:12" x14ac:dyDescent="0.3">
      <c r="A1340" s="2" t="str">
        <f xml:space="preserve"> IF( 'From SvanPC++'!A1340= "", "", ('From SvanPC++'!A1340))</f>
        <v/>
      </c>
      <c r="C1340" s="6" t="s">
        <v>10</v>
      </c>
      <c r="G1340" s="38" t="str">
        <f t="shared" si="100"/>
        <v/>
      </c>
      <c r="H1340" s="141" t="str">
        <f t="shared" si="101"/>
        <v/>
      </c>
      <c r="J1340" s="141" t="str">
        <f t="shared" si="102"/>
        <v/>
      </c>
      <c r="K1340" s="141" t="str">
        <f t="shared" si="103"/>
        <v/>
      </c>
      <c r="L1340" s="141" t="str">
        <f t="shared" si="104"/>
        <v/>
      </c>
    </row>
    <row r="1341" spans="1:12" x14ac:dyDescent="0.3">
      <c r="A1341" s="2" t="str">
        <f xml:space="preserve"> IF( 'From SvanPC++'!A1341= "", "", ('From SvanPC++'!A1341))</f>
        <v/>
      </c>
      <c r="C1341" s="6" t="s">
        <v>10</v>
      </c>
      <c r="G1341" s="38" t="str">
        <f t="shared" si="100"/>
        <v/>
      </c>
      <c r="H1341" s="141" t="str">
        <f t="shared" si="101"/>
        <v/>
      </c>
      <c r="J1341" s="141" t="str">
        <f t="shared" si="102"/>
        <v/>
      </c>
      <c r="K1341" s="141" t="str">
        <f t="shared" si="103"/>
        <v/>
      </c>
      <c r="L1341" s="141" t="str">
        <f t="shared" si="104"/>
        <v/>
      </c>
    </row>
    <row r="1342" spans="1:12" x14ac:dyDescent="0.3">
      <c r="A1342" s="2" t="str">
        <f xml:space="preserve"> IF( 'From SvanPC++'!A1342= "", "", ('From SvanPC++'!A1342))</f>
        <v/>
      </c>
      <c r="C1342" s="6" t="s">
        <v>10</v>
      </c>
      <c r="G1342" s="38" t="str">
        <f t="shared" si="100"/>
        <v/>
      </c>
      <c r="H1342" s="141" t="str">
        <f t="shared" si="101"/>
        <v/>
      </c>
      <c r="J1342" s="141" t="str">
        <f t="shared" si="102"/>
        <v/>
      </c>
      <c r="K1342" s="141" t="str">
        <f t="shared" si="103"/>
        <v/>
      </c>
      <c r="L1342" s="141" t="str">
        <f t="shared" si="104"/>
        <v/>
      </c>
    </row>
    <row r="1343" spans="1:12" x14ac:dyDescent="0.3">
      <c r="A1343" s="2" t="str">
        <f xml:space="preserve"> IF( 'From SvanPC++'!A1343= "", "", ('From SvanPC++'!A1343))</f>
        <v/>
      </c>
      <c r="C1343" s="6" t="s">
        <v>10</v>
      </c>
      <c r="G1343" s="38" t="str">
        <f t="shared" si="100"/>
        <v/>
      </c>
      <c r="H1343" s="141" t="str">
        <f t="shared" si="101"/>
        <v/>
      </c>
      <c r="J1343" s="141" t="str">
        <f t="shared" si="102"/>
        <v/>
      </c>
      <c r="K1343" s="141" t="str">
        <f t="shared" si="103"/>
        <v/>
      </c>
      <c r="L1343" s="141" t="str">
        <f t="shared" si="104"/>
        <v/>
      </c>
    </row>
    <row r="1344" spans="1:12" x14ac:dyDescent="0.3">
      <c r="A1344" s="2" t="str">
        <f xml:space="preserve"> IF( 'From SvanPC++'!A1344= "", "", ('From SvanPC++'!A1344))</f>
        <v/>
      </c>
      <c r="C1344" s="6" t="s">
        <v>10</v>
      </c>
      <c r="G1344" s="38" t="str">
        <f t="shared" si="100"/>
        <v/>
      </c>
      <c r="H1344" s="141" t="str">
        <f t="shared" si="101"/>
        <v/>
      </c>
      <c r="J1344" s="141" t="str">
        <f t="shared" si="102"/>
        <v/>
      </c>
      <c r="K1344" s="141" t="str">
        <f t="shared" si="103"/>
        <v/>
      </c>
      <c r="L1344" s="141" t="str">
        <f t="shared" si="104"/>
        <v/>
      </c>
    </row>
    <row r="1345" spans="1:12" x14ac:dyDescent="0.3">
      <c r="A1345" s="2" t="str">
        <f xml:space="preserve"> IF( 'From SvanPC++'!A1345= "", "", ('From SvanPC++'!A1345))</f>
        <v/>
      </c>
      <c r="C1345" s="6" t="s">
        <v>10</v>
      </c>
      <c r="G1345" s="38" t="str">
        <f t="shared" si="100"/>
        <v/>
      </c>
      <c r="H1345" s="141" t="str">
        <f t="shared" si="101"/>
        <v/>
      </c>
      <c r="J1345" s="141" t="str">
        <f t="shared" si="102"/>
        <v/>
      </c>
      <c r="K1345" s="141" t="str">
        <f t="shared" si="103"/>
        <v/>
      </c>
      <c r="L1345" s="141" t="str">
        <f t="shared" si="104"/>
        <v/>
      </c>
    </row>
    <row r="1346" spans="1:12" x14ac:dyDescent="0.3">
      <c r="A1346" s="2" t="str">
        <f xml:space="preserve"> IF( 'From SvanPC++'!A1346= "", "", ('From SvanPC++'!A1346))</f>
        <v/>
      </c>
      <c r="C1346" s="6" t="s">
        <v>10</v>
      </c>
      <c r="G1346" s="38" t="str">
        <f t="shared" si="100"/>
        <v/>
      </c>
      <c r="H1346" s="141" t="str">
        <f t="shared" si="101"/>
        <v/>
      </c>
      <c r="J1346" s="141" t="str">
        <f t="shared" si="102"/>
        <v/>
      </c>
      <c r="K1346" s="141" t="str">
        <f t="shared" si="103"/>
        <v/>
      </c>
      <c r="L1346" s="141" t="str">
        <f t="shared" si="104"/>
        <v/>
      </c>
    </row>
    <row r="1347" spans="1:12" x14ac:dyDescent="0.3">
      <c r="A1347" s="2" t="str">
        <f xml:space="preserve"> IF( 'From SvanPC++'!A1347= "", "", ('From SvanPC++'!A1347))</f>
        <v/>
      </c>
      <c r="C1347" s="6" t="s">
        <v>10</v>
      </c>
      <c r="G1347" s="38" t="str">
        <f t="shared" si="100"/>
        <v/>
      </c>
      <c r="H1347" s="141" t="str">
        <f t="shared" si="101"/>
        <v/>
      </c>
      <c r="J1347" s="141" t="str">
        <f t="shared" si="102"/>
        <v/>
      </c>
      <c r="K1347" s="141" t="str">
        <f t="shared" si="103"/>
        <v/>
      </c>
      <c r="L1347" s="141" t="str">
        <f t="shared" si="104"/>
        <v/>
      </c>
    </row>
    <row r="1348" spans="1:12" x14ac:dyDescent="0.3">
      <c r="A1348" s="2" t="str">
        <f xml:space="preserve"> IF( 'From SvanPC++'!A1348= "", "", ('From SvanPC++'!A1348))</f>
        <v/>
      </c>
      <c r="C1348" s="6" t="s">
        <v>10</v>
      </c>
      <c r="G1348" s="38" t="str">
        <f t="shared" si="100"/>
        <v/>
      </c>
      <c r="H1348" s="141" t="str">
        <f t="shared" si="101"/>
        <v/>
      </c>
      <c r="J1348" s="141" t="str">
        <f t="shared" si="102"/>
        <v/>
      </c>
      <c r="K1348" s="141" t="str">
        <f t="shared" si="103"/>
        <v/>
      </c>
      <c r="L1348" s="141" t="str">
        <f t="shared" si="104"/>
        <v/>
      </c>
    </row>
    <row r="1349" spans="1:12" x14ac:dyDescent="0.3">
      <c r="A1349" s="2" t="str">
        <f xml:space="preserve"> IF( 'From SvanPC++'!A1349= "", "", ('From SvanPC++'!A1349))</f>
        <v/>
      </c>
      <c r="C1349" s="6" t="s">
        <v>10</v>
      </c>
      <c r="G1349" s="38" t="str">
        <f t="shared" si="100"/>
        <v/>
      </c>
      <c r="H1349" s="141" t="str">
        <f t="shared" si="101"/>
        <v/>
      </c>
      <c r="J1349" s="141" t="str">
        <f t="shared" si="102"/>
        <v/>
      </c>
      <c r="K1349" s="141" t="str">
        <f t="shared" si="103"/>
        <v/>
      </c>
      <c r="L1349" s="141" t="str">
        <f t="shared" si="104"/>
        <v/>
      </c>
    </row>
    <row r="1350" spans="1:12" x14ac:dyDescent="0.3">
      <c r="A1350" s="2" t="str">
        <f xml:space="preserve"> IF( 'From SvanPC++'!A1350= "", "", ('From SvanPC++'!A1350))</f>
        <v/>
      </c>
      <c r="C1350" s="6" t="s">
        <v>10</v>
      </c>
      <c r="G1350" s="38" t="str">
        <f t="shared" si="100"/>
        <v/>
      </c>
      <c r="H1350" s="141" t="str">
        <f t="shared" si="101"/>
        <v/>
      </c>
      <c r="J1350" s="141" t="str">
        <f t="shared" si="102"/>
        <v/>
      </c>
      <c r="K1350" s="141" t="str">
        <f t="shared" si="103"/>
        <v/>
      </c>
      <c r="L1350" s="141" t="str">
        <f t="shared" si="104"/>
        <v/>
      </c>
    </row>
    <row r="1351" spans="1:12" x14ac:dyDescent="0.3">
      <c r="A1351" s="2" t="str">
        <f xml:space="preserve"> IF( 'From SvanPC++'!A1351= "", "", ('From SvanPC++'!A1351))</f>
        <v/>
      </c>
      <c r="C1351" s="6" t="s">
        <v>10</v>
      </c>
      <c r="G1351" s="38" t="str">
        <f t="shared" ref="G1351:G1414" si="105" xml:space="preserve"> IF( D1351= "", "", ( IF( AND( D1351 &gt;= TIMEVALUE( "07:00:01" ), D1351 &lt; TIMEVALUE( "08:00:01" ) ) = TRUE, (G1350+1), (G1350+0) )))</f>
        <v/>
      </c>
      <c r="H1351" s="141" t="str">
        <f t="shared" ref="H1351:H1414" si="106" xml:space="preserve"> IF( D1351= "", "", (
IF( AND( D1351 &gt;= TIMEVALUE( "07:00:01" ), D1351 &lt;= TIMEVALUE( "18:00:00" ), WEEKDAY( C1351,1+N("            Weekday Day Period              ")) &gt;=2, ( WEEKDAY( C1351,1) &lt;=6) ) = TRUE, "Day",
IF( AND( D1351 &gt;= TIMEVALUE( "18:00:01" ), D1351 &lt;= TIMEVALUE( "22:00:00" ), WEEKDAY( C1351,1+N("            Weekday Evening Period          ")) &gt;=2, ( WEEKDAY( C1351,1) &lt;=6) ) = TRUE, "Evening",
IF( AND( D1351 &gt;= TIMEVALUE( "22:00:01" ), D1351 &lt;= TIMEVALUE( "23:59:59" ), WEEKDAY( C1351,1+N("            Weekday Night Period            ")) &gt;=2, ( WEEKDAY( C1351,1) &lt;=6) ) = TRUE, "Night",
IF( AND( D1351 &gt;= TIMEVALUE( "00:00:00" ), D1351 &lt;= TIMEVALUE( "07:00:00" ), WEEKDAY( C1351,1+N("            Weekday Night Period            ")) &gt;=2, ( WEEKDAY( C1351,1) &lt;=6) ) = TRUE, "Night",
IF( AND( D1351 &gt;= TIMEVALUE( "07:00:01" ), D1351 &lt;= TIMEVALUE( "18:00:00" ), WEEKDAY( C1351) =(7+N("         Saturday Day Period             ")) ) = TRUE, "Day",
IF( AND( D1351 &gt;= TIMEVALUE( "18:00:01" ), D1351 &lt;= TIMEVALUE( "22:00:00" ), WEEKDAY( C1351) =(7+N("         Saturday Evening Period         ")) ) = TRUE, "Evening",
IF( AND( D1351 &gt;= TIMEVALUE( "22:00:01" ), D1351 &lt;= TIMEVALUE( "23:59:59" ), WEEKDAY( C1351) =(7+N("         Saturday Night Period           ")) ) = TRUE, "Night",
IF( AND( D1351 &gt;= TIMEVALUE( "00:00:00" ), D1351 &lt;= TIMEVALUE( "07:00:00" ), WEEKDAY( C1351) =(7+N("         Saturday Night Period           ")) ) = TRUE, "Night",
IF( AND( D1351 &gt;= TIMEVALUE( "07:00:01" ), D1351 &lt;= TIMEVALUE( "22:00:00" ), WEEKDAY( C1351) =(1+N("         Sunday Evening Period           ")) ) = TRUE, "Evening",
IF( AND( D1351 &gt;= TIMEVALUE( "20:00:01" ), D1351 &lt;= TIMEVALUE( "23:59:59" ), WEEKDAY( C1351) =(1+N("         Sunday Night Period             ")) ) = TRUE, "Night",
IF( AND( D1351 &gt;= TIMEVALUE( "00:00:00" ), D1351 &lt;= TIMEVALUE( "07:00:00" ), WEEKDAY( C1351) =(1+N("         Sunday Night Period             ")) ) = TRUE, "Night",
)))))))))))))</f>
        <v/>
      </c>
      <c r="J1351" s="141" t="str">
        <f t="shared" si="102"/>
        <v/>
      </c>
      <c r="K1351" s="141" t="str">
        <f t="shared" si="103"/>
        <v/>
      </c>
      <c r="L1351" s="141" t="str">
        <f t="shared" si="104"/>
        <v/>
      </c>
    </row>
    <row r="1352" spans="1:12" x14ac:dyDescent="0.3">
      <c r="A1352" s="2" t="str">
        <f xml:space="preserve"> IF( 'From SvanPC++'!A1352= "", "", ('From SvanPC++'!A1352))</f>
        <v/>
      </c>
      <c r="C1352" s="6" t="s">
        <v>10</v>
      </c>
      <c r="G1352" s="38" t="str">
        <f t="shared" si="105"/>
        <v/>
      </c>
      <c r="H1352" s="141" t="str">
        <f t="shared" si="106"/>
        <v/>
      </c>
      <c r="J1352" s="141" t="str">
        <f t="shared" ref="J1352:J1415" si="107" xml:space="preserve"> IF( ISERROR( IF( D1352= "", "", ( IF( G1352= (G1351+1), ( AVERAGEIFS( E1352:E1496, G1352:G1496, G1352, H1352:H1496, "Day" )), "" )))), "",( IF( D1352= "", "", ( IF( G1352= (G1351+1), ( AVERAGEIFS( E1352:E1496, G1352:G1496, G1352, H1352:H1496, "Day" )), "" )))))</f>
        <v/>
      </c>
      <c r="K1352" s="141" t="str">
        <f t="shared" ref="K1352:K1415" si="108" xml:space="preserve"> IF( ISERROR( IF( D1352= "", "", ( IF( G1352= (G1351+1), ( AVERAGEIFS( E1352:E1496, G1352:G1496, G1352, H1352:H1496, "Evening" )), "" )))), "",( IF( D1352= "", "", ( IF( G1352= (G1351+1), ( AVERAGEIFS( E1352:E1496, G1352:G1496, G1352, H1352:H1496, "Evening" )), "" )))))</f>
        <v/>
      </c>
      <c r="L1352" s="141" t="str">
        <f t="shared" ref="L1352:L1415" si="109" xml:space="preserve"> IF( ISERROR( IF( D1352= "", "", ( IF( G1352= (G1351+1), ( AVERAGEIFS( E1352:E1496, G1352:G1496, G1352, H1352:H1496, "Night" )), "" )))), "",( IF( D1352= "", "", ( IF( G1352= (G1351+1), ( AVERAGEIFS( E1352:E1496, G1352:G1496, G1352, H1352:H1496, "Night" )), "" )))))</f>
        <v/>
      </c>
    </row>
    <row r="1353" spans="1:12" x14ac:dyDescent="0.3">
      <c r="A1353" s="2" t="str">
        <f xml:space="preserve"> IF( 'From SvanPC++'!A1353= "", "", ('From SvanPC++'!A1353))</f>
        <v/>
      </c>
      <c r="C1353" s="6" t="s">
        <v>10</v>
      </c>
      <c r="G1353" s="38" t="str">
        <f t="shared" si="105"/>
        <v/>
      </c>
      <c r="H1353" s="141" t="str">
        <f t="shared" si="106"/>
        <v/>
      </c>
      <c r="J1353" s="141" t="str">
        <f t="shared" si="107"/>
        <v/>
      </c>
      <c r="K1353" s="141" t="str">
        <f t="shared" si="108"/>
        <v/>
      </c>
      <c r="L1353" s="141" t="str">
        <f t="shared" si="109"/>
        <v/>
      </c>
    </row>
    <row r="1354" spans="1:12" x14ac:dyDescent="0.3">
      <c r="A1354" s="2" t="str">
        <f xml:space="preserve"> IF( 'From SvanPC++'!A1354= "", "", ('From SvanPC++'!A1354))</f>
        <v/>
      </c>
      <c r="C1354" s="6" t="s">
        <v>10</v>
      </c>
      <c r="G1354" s="38" t="str">
        <f t="shared" si="105"/>
        <v/>
      </c>
      <c r="H1354" s="141" t="str">
        <f t="shared" si="106"/>
        <v/>
      </c>
      <c r="J1354" s="141" t="str">
        <f t="shared" si="107"/>
        <v/>
      </c>
      <c r="K1354" s="141" t="str">
        <f t="shared" si="108"/>
        <v/>
      </c>
      <c r="L1354" s="141" t="str">
        <f t="shared" si="109"/>
        <v/>
      </c>
    </row>
    <row r="1355" spans="1:12" x14ac:dyDescent="0.3">
      <c r="A1355" s="2" t="str">
        <f xml:space="preserve"> IF( 'From SvanPC++'!A1355= "", "", ('From SvanPC++'!A1355))</f>
        <v/>
      </c>
      <c r="C1355" s="6" t="s">
        <v>10</v>
      </c>
      <c r="G1355" s="38" t="str">
        <f t="shared" si="105"/>
        <v/>
      </c>
      <c r="H1355" s="141" t="str">
        <f t="shared" si="106"/>
        <v/>
      </c>
      <c r="J1355" s="141" t="str">
        <f t="shared" si="107"/>
        <v/>
      </c>
      <c r="K1355" s="141" t="str">
        <f t="shared" si="108"/>
        <v/>
      </c>
      <c r="L1355" s="141" t="str">
        <f t="shared" si="109"/>
        <v/>
      </c>
    </row>
    <row r="1356" spans="1:12" x14ac:dyDescent="0.3">
      <c r="A1356" s="2" t="str">
        <f xml:space="preserve"> IF( 'From SvanPC++'!A1356= "", "", ('From SvanPC++'!A1356))</f>
        <v/>
      </c>
      <c r="C1356" s="6" t="s">
        <v>10</v>
      </c>
      <c r="G1356" s="38" t="str">
        <f t="shared" si="105"/>
        <v/>
      </c>
      <c r="H1356" s="141" t="str">
        <f t="shared" si="106"/>
        <v/>
      </c>
      <c r="J1356" s="141" t="str">
        <f t="shared" si="107"/>
        <v/>
      </c>
      <c r="K1356" s="141" t="str">
        <f t="shared" si="108"/>
        <v/>
      </c>
      <c r="L1356" s="141" t="str">
        <f t="shared" si="109"/>
        <v/>
      </c>
    </row>
    <row r="1357" spans="1:12" x14ac:dyDescent="0.3">
      <c r="A1357" s="2" t="str">
        <f xml:space="preserve"> IF( 'From SvanPC++'!A1357= "", "", ('From SvanPC++'!A1357))</f>
        <v/>
      </c>
      <c r="C1357" s="6" t="s">
        <v>10</v>
      </c>
      <c r="G1357" s="38" t="str">
        <f t="shared" si="105"/>
        <v/>
      </c>
      <c r="H1357" s="141" t="str">
        <f t="shared" si="106"/>
        <v/>
      </c>
      <c r="J1357" s="141" t="str">
        <f t="shared" si="107"/>
        <v/>
      </c>
      <c r="K1357" s="141" t="str">
        <f t="shared" si="108"/>
        <v/>
      </c>
      <c r="L1357" s="141" t="str">
        <f t="shared" si="109"/>
        <v/>
      </c>
    </row>
    <row r="1358" spans="1:12" x14ac:dyDescent="0.3">
      <c r="A1358" s="2" t="str">
        <f xml:space="preserve"> IF( 'From SvanPC++'!A1358= "", "", ('From SvanPC++'!A1358))</f>
        <v/>
      </c>
      <c r="C1358" s="6" t="s">
        <v>10</v>
      </c>
      <c r="G1358" s="38" t="str">
        <f t="shared" si="105"/>
        <v/>
      </c>
      <c r="H1358" s="141" t="str">
        <f t="shared" si="106"/>
        <v/>
      </c>
      <c r="J1358" s="141" t="str">
        <f t="shared" si="107"/>
        <v/>
      </c>
      <c r="K1358" s="141" t="str">
        <f t="shared" si="108"/>
        <v/>
      </c>
      <c r="L1358" s="141" t="str">
        <f t="shared" si="109"/>
        <v/>
      </c>
    </row>
    <row r="1359" spans="1:12" x14ac:dyDescent="0.3">
      <c r="A1359" s="2" t="str">
        <f xml:space="preserve"> IF( 'From SvanPC++'!A1359= "", "", ('From SvanPC++'!A1359))</f>
        <v/>
      </c>
      <c r="C1359" s="6" t="s">
        <v>10</v>
      </c>
      <c r="G1359" s="38" t="str">
        <f t="shared" si="105"/>
        <v/>
      </c>
      <c r="H1359" s="141" t="str">
        <f t="shared" si="106"/>
        <v/>
      </c>
      <c r="J1359" s="141" t="str">
        <f t="shared" si="107"/>
        <v/>
      </c>
      <c r="K1359" s="141" t="str">
        <f t="shared" si="108"/>
        <v/>
      </c>
      <c r="L1359" s="141" t="str">
        <f t="shared" si="109"/>
        <v/>
      </c>
    </row>
    <row r="1360" spans="1:12" x14ac:dyDescent="0.3">
      <c r="A1360" s="2" t="str">
        <f xml:space="preserve"> IF( 'From SvanPC++'!A1360= "", "", ('From SvanPC++'!A1360))</f>
        <v/>
      </c>
      <c r="C1360" s="6" t="s">
        <v>10</v>
      </c>
      <c r="G1360" s="38" t="str">
        <f t="shared" si="105"/>
        <v/>
      </c>
      <c r="H1360" s="141" t="str">
        <f t="shared" si="106"/>
        <v/>
      </c>
      <c r="J1360" s="141" t="str">
        <f t="shared" si="107"/>
        <v/>
      </c>
      <c r="K1360" s="141" t="str">
        <f t="shared" si="108"/>
        <v/>
      </c>
      <c r="L1360" s="141" t="str">
        <f t="shared" si="109"/>
        <v/>
      </c>
    </row>
    <row r="1361" spans="1:12" x14ac:dyDescent="0.3">
      <c r="A1361" s="2" t="str">
        <f xml:space="preserve"> IF( 'From SvanPC++'!A1361= "", "", ('From SvanPC++'!A1361))</f>
        <v/>
      </c>
      <c r="C1361" s="6" t="s">
        <v>10</v>
      </c>
      <c r="G1361" s="38" t="str">
        <f t="shared" si="105"/>
        <v/>
      </c>
      <c r="H1361" s="141" t="str">
        <f t="shared" si="106"/>
        <v/>
      </c>
      <c r="J1361" s="141" t="str">
        <f t="shared" si="107"/>
        <v/>
      </c>
      <c r="K1361" s="141" t="str">
        <f t="shared" si="108"/>
        <v/>
      </c>
      <c r="L1361" s="141" t="str">
        <f t="shared" si="109"/>
        <v/>
      </c>
    </row>
    <row r="1362" spans="1:12" x14ac:dyDescent="0.3">
      <c r="A1362" s="2" t="str">
        <f xml:space="preserve"> IF( 'From SvanPC++'!A1362= "", "", ('From SvanPC++'!A1362))</f>
        <v/>
      </c>
      <c r="C1362" s="6" t="s">
        <v>10</v>
      </c>
      <c r="G1362" s="38" t="str">
        <f t="shared" si="105"/>
        <v/>
      </c>
      <c r="H1362" s="141" t="str">
        <f t="shared" si="106"/>
        <v/>
      </c>
      <c r="J1362" s="141" t="str">
        <f t="shared" si="107"/>
        <v/>
      </c>
      <c r="K1362" s="141" t="str">
        <f t="shared" si="108"/>
        <v/>
      </c>
      <c r="L1362" s="141" t="str">
        <f t="shared" si="109"/>
        <v/>
      </c>
    </row>
    <row r="1363" spans="1:12" x14ac:dyDescent="0.3">
      <c r="A1363" s="2" t="str">
        <f xml:space="preserve"> IF( 'From SvanPC++'!A1363= "", "", ('From SvanPC++'!A1363))</f>
        <v/>
      </c>
      <c r="C1363" s="6" t="s">
        <v>10</v>
      </c>
      <c r="G1363" s="38" t="str">
        <f t="shared" si="105"/>
        <v/>
      </c>
      <c r="H1363" s="141" t="str">
        <f t="shared" si="106"/>
        <v/>
      </c>
      <c r="J1363" s="141" t="str">
        <f t="shared" si="107"/>
        <v/>
      </c>
      <c r="K1363" s="141" t="str">
        <f t="shared" si="108"/>
        <v/>
      </c>
      <c r="L1363" s="141" t="str">
        <f t="shared" si="109"/>
        <v/>
      </c>
    </row>
    <row r="1364" spans="1:12" x14ac:dyDescent="0.3">
      <c r="A1364" s="2" t="str">
        <f xml:space="preserve"> IF( 'From SvanPC++'!A1364= "", "", ('From SvanPC++'!A1364))</f>
        <v/>
      </c>
      <c r="C1364" s="6" t="s">
        <v>10</v>
      </c>
      <c r="G1364" s="38" t="str">
        <f t="shared" si="105"/>
        <v/>
      </c>
      <c r="H1364" s="141" t="str">
        <f t="shared" si="106"/>
        <v/>
      </c>
      <c r="J1364" s="141" t="str">
        <f t="shared" si="107"/>
        <v/>
      </c>
      <c r="K1364" s="141" t="str">
        <f t="shared" si="108"/>
        <v/>
      </c>
      <c r="L1364" s="141" t="str">
        <f t="shared" si="109"/>
        <v/>
      </c>
    </row>
    <row r="1365" spans="1:12" x14ac:dyDescent="0.3">
      <c r="A1365" s="2" t="str">
        <f xml:space="preserve"> IF( 'From SvanPC++'!A1365= "", "", ('From SvanPC++'!A1365))</f>
        <v/>
      </c>
      <c r="C1365" s="6" t="s">
        <v>10</v>
      </c>
      <c r="G1365" s="38" t="str">
        <f t="shared" si="105"/>
        <v/>
      </c>
      <c r="H1365" s="141" t="str">
        <f t="shared" si="106"/>
        <v/>
      </c>
      <c r="J1365" s="141" t="str">
        <f t="shared" si="107"/>
        <v/>
      </c>
      <c r="K1365" s="141" t="str">
        <f t="shared" si="108"/>
        <v/>
      </c>
      <c r="L1365" s="141" t="str">
        <f t="shared" si="109"/>
        <v/>
      </c>
    </row>
    <row r="1366" spans="1:12" x14ac:dyDescent="0.3">
      <c r="A1366" s="2" t="str">
        <f xml:space="preserve"> IF( 'From SvanPC++'!A1366= "", "", ('From SvanPC++'!A1366))</f>
        <v/>
      </c>
      <c r="C1366" s="6" t="s">
        <v>10</v>
      </c>
      <c r="G1366" s="38" t="str">
        <f t="shared" si="105"/>
        <v/>
      </c>
      <c r="H1366" s="141" t="str">
        <f t="shared" si="106"/>
        <v/>
      </c>
      <c r="J1366" s="141" t="str">
        <f t="shared" si="107"/>
        <v/>
      </c>
      <c r="K1366" s="141" t="str">
        <f t="shared" si="108"/>
        <v/>
      </c>
      <c r="L1366" s="141" t="str">
        <f t="shared" si="109"/>
        <v/>
      </c>
    </row>
    <row r="1367" spans="1:12" x14ac:dyDescent="0.3">
      <c r="A1367" s="2" t="str">
        <f xml:space="preserve"> IF( 'From SvanPC++'!A1367= "", "", ('From SvanPC++'!A1367))</f>
        <v/>
      </c>
      <c r="C1367" s="6" t="s">
        <v>10</v>
      </c>
      <c r="G1367" s="38" t="str">
        <f t="shared" si="105"/>
        <v/>
      </c>
      <c r="H1367" s="141" t="str">
        <f t="shared" si="106"/>
        <v/>
      </c>
      <c r="J1367" s="141" t="str">
        <f t="shared" si="107"/>
        <v/>
      </c>
      <c r="K1367" s="141" t="str">
        <f t="shared" si="108"/>
        <v/>
      </c>
      <c r="L1367" s="141" t="str">
        <f t="shared" si="109"/>
        <v/>
      </c>
    </row>
    <row r="1368" spans="1:12" x14ac:dyDescent="0.3">
      <c r="A1368" s="2" t="str">
        <f xml:space="preserve"> IF( 'From SvanPC++'!A1368= "", "", ('From SvanPC++'!A1368))</f>
        <v/>
      </c>
      <c r="C1368" s="6" t="s">
        <v>10</v>
      </c>
      <c r="G1368" s="38" t="str">
        <f t="shared" si="105"/>
        <v/>
      </c>
      <c r="H1368" s="141" t="str">
        <f t="shared" si="106"/>
        <v/>
      </c>
      <c r="J1368" s="141" t="str">
        <f t="shared" si="107"/>
        <v/>
      </c>
      <c r="K1368" s="141" t="str">
        <f t="shared" si="108"/>
        <v/>
      </c>
      <c r="L1368" s="141" t="str">
        <f t="shared" si="109"/>
        <v/>
      </c>
    </row>
    <row r="1369" spans="1:12" x14ac:dyDescent="0.3">
      <c r="A1369" s="2" t="str">
        <f xml:space="preserve"> IF( 'From SvanPC++'!A1369= "", "", ('From SvanPC++'!A1369))</f>
        <v/>
      </c>
      <c r="C1369" s="6" t="s">
        <v>10</v>
      </c>
      <c r="G1369" s="38" t="str">
        <f t="shared" si="105"/>
        <v/>
      </c>
      <c r="H1369" s="141" t="str">
        <f t="shared" si="106"/>
        <v/>
      </c>
      <c r="J1369" s="141" t="str">
        <f t="shared" si="107"/>
        <v/>
      </c>
      <c r="K1369" s="141" t="str">
        <f t="shared" si="108"/>
        <v/>
      </c>
      <c r="L1369" s="141" t="str">
        <f t="shared" si="109"/>
        <v/>
      </c>
    </row>
    <row r="1370" spans="1:12" x14ac:dyDescent="0.3">
      <c r="A1370" s="2" t="str">
        <f xml:space="preserve"> IF( 'From SvanPC++'!A1370= "", "", ('From SvanPC++'!A1370))</f>
        <v/>
      </c>
      <c r="C1370" s="6" t="s">
        <v>10</v>
      </c>
      <c r="G1370" s="38" t="str">
        <f t="shared" si="105"/>
        <v/>
      </c>
      <c r="H1370" s="141" t="str">
        <f t="shared" si="106"/>
        <v/>
      </c>
      <c r="J1370" s="141" t="str">
        <f t="shared" si="107"/>
        <v/>
      </c>
      <c r="K1370" s="141" t="str">
        <f t="shared" si="108"/>
        <v/>
      </c>
      <c r="L1370" s="141" t="str">
        <f t="shared" si="109"/>
        <v/>
      </c>
    </row>
    <row r="1371" spans="1:12" x14ac:dyDescent="0.3">
      <c r="A1371" s="2" t="str">
        <f xml:space="preserve"> IF( 'From SvanPC++'!A1371= "", "", ('From SvanPC++'!A1371))</f>
        <v/>
      </c>
      <c r="C1371" s="6" t="s">
        <v>10</v>
      </c>
      <c r="G1371" s="38" t="str">
        <f t="shared" si="105"/>
        <v/>
      </c>
      <c r="H1371" s="141" t="str">
        <f t="shared" si="106"/>
        <v/>
      </c>
      <c r="J1371" s="141" t="str">
        <f t="shared" si="107"/>
        <v/>
      </c>
      <c r="K1371" s="141" t="str">
        <f t="shared" si="108"/>
        <v/>
      </c>
      <c r="L1371" s="141" t="str">
        <f t="shared" si="109"/>
        <v/>
      </c>
    </row>
    <row r="1372" spans="1:12" x14ac:dyDescent="0.3">
      <c r="A1372" s="2" t="str">
        <f xml:space="preserve"> IF( 'From SvanPC++'!A1372= "", "", ('From SvanPC++'!A1372))</f>
        <v/>
      </c>
      <c r="C1372" s="6" t="s">
        <v>10</v>
      </c>
      <c r="G1372" s="38" t="str">
        <f t="shared" si="105"/>
        <v/>
      </c>
      <c r="H1372" s="141" t="str">
        <f t="shared" si="106"/>
        <v/>
      </c>
      <c r="J1372" s="141" t="str">
        <f t="shared" si="107"/>
        <v/>
      </c>
      <c r="K1372" s="141" t="str">
        <f t="shared" si="108"/>
        <v/>
      </c>
      <c r="L1372" s="141" t="str">
        <f t="shared" si="109"/>
        <v/>
      </c>
    </row>
    <row r="1373" spans="1:12" x14ac:dyDescent="0.3">
      <c r="A1373" s="2" t="str">
        <f xml:space="preserve"> IF( 'From SvanPC++'!A1373= "", "", ('From SvanPC++'!A1373))</f>
        <v/>
      </c>
      <c r="C1373" s="6" t="s">
        <v>10</v>
      </c>
      <c r="G1373" s="38" t="str">
        <f t="shared" si="105"/>
        <v/>
      </c>
      <c r="H1373" s="141" t="str">
        <f t="shared" si="106"/>
        <v/>
      </c>
      <c r="J1373" s="141" t="str">
        <f t="shared" si="107"/>
        <v/>
      </c>
      <c r="K1373" s="141" t="str">
        <f t="shared" si="108"/>
        <v/>
      </c>
      <c r="L1373" s="141" t="str">
        <f t="shared" si="109"/>
        <v/>
      </c>
    </row>
    <row r="1374" spans="1:12" x14ac:dyDescent="0.3">
      <c r="A1374" s="2" t="str">
        <f xml:space="preserve"> IF( 'From SvanPC++'!A1374= "", "", ('From SvanPC++'!A1374))</f>
        <v/>
      </c>
      <c r="C1374" s="6" t="s">
        <v>10</v>
      </c>
      <c r="G1374" s="38" t="str">
        <f t="shared" si="105"/>
        <v/>
      </c>
      <c r="H1374" s="141" t="str">
        <f t="shared" si="106"/>
        <v/>
      </c>
      <c r="J1374" s="141" t="str">
        <f t="shared" si="107"/>
        <v/>
      </c>
      <c r="K1374" s="141" t="str">
        <f t="shared" si="108"/>
        <v/>
      </c>
      <c r="L1374" s="141" t="str">
        <f t="shared" si="109"/>
        <v/>
      </c>
    </row>
    <row r="1375" spans="1:12" x14ac:dyDescent="0.3">
      <c r="A1375" s="2" t="str">
        <f xml:space="preserve"> IF( 'From SvanPC++'!A1375= "", "", ('From SvanPC++'!A1375))</f>
        <v/>
      </c>
      <c r="C1375" s="6" t="s">
        <v>10</v>
      </c>
      <c r="G1375" s="38" t="str">
        <f t="shared" si="105"/>
        <v/>
      </c>
      <c r="H1375" s="141" t="str">
        <f t="shared" si="106"/>
        <v/>
      </c>
      <c r="J1375" s="141" t="str">
        <f t="shared" si="107"/>
        <v/>
      </c>
      <c r="K1375" s="141" t="str">
        <f t="shared" si="108"/>
        <v/>
      </c>
      <c r="L1375" s="141" t="str">
        <f t="shared" si="109"/>
        <v/>
      </c>
    </row>
    <row r="1376" spans="1:12" x14ac:dyDescent="0.3">
      <c r="A1376" s="2" t="str">
        <f xml:space="preserve"> IF( 'From SvanPC++'!A1376= "", "", ('From SvanPC++'!A1376))</f>
        <v/>
      </c>
      <c r="C1376" s="6" t="s">
        <v>10</v>
      </c>
      <c r="G1376" s="38" t="str">
        <f t="shared" si="105"/>
        <v/>
      </c>
      <c r="H1376" s="141" t="str">
        <f t="shared" si="106"/>
        <v/>
      </c>
      <c r="J1376" s="141" t="str">
        <f t="shared" si="107"/>
        <v/>
      </c>
      <c r="K1376" s="141" t="str">
        <f t="shared" si="108"/>
        <v/>
      </c>
      <c r="L1376" s="141" t="str">
        <f t="shared" si="109"/>
        <v/>
      </c>
    </row>
    <row r="1377" spans="1:12" x14ac:dyDescent="0.3">
      <c r="A1377" s="2" t="str">
        <f xml:space="preserve"> IF( 'From SvanPC++'!A1377= "", "", ('From SvanPC++'!A1377))</f>
        <v/>
      </c>
      <c r="C1377" s="6" t="s">
        <v>10</v>
      </c>
      <c r="G1377" s="38" t="str">
        <f t="shared" si="105"/>
        <v/>
      </c>
      <c r="H1377" s="141" t="str">
        <f t="shared" si="106"/>
        <v/>
      </c>
      <c r="J1377" s="141" t="str">
        <f t="shared" si="107"/>
        <v/>
      </c>
      <c r="K1377" s="141" t="str">
        <f t="shared" si="108"/>
        <v/>
      </c>
      <c r="L1377" s="141" t="str">
        <f t="shared" si="109"/>
        <v/>
      </c>
    </row>
    <row r="1378" spans="1:12" x14ac:dyDescent="0.3">
      <c r="A1378" s="2" t="str">
        <f xml:space="preserve"> IF( 'From SvanPC++'!A1378= "", "", ('From SvanPC++'!A1378))</f>
        <v/>
      </c>
      <c r="C1378" s="6" t="s">
        <v>10</v>
      </c>
      <c r="G1378" s="38" t="str">
        <f t="shared" si="105"/>
        <v/>
      </c>
      <c r="H1378" s="141" t="str">
        <f t="shared" si="106"/>
        <v/>
      </c>
      <c r="J1378" s="141" t="str">
        <f t="shared" si="107"/>
        <v/>
      </c>
      <c r="K1378" s="141" t="str">
        <f t="shared" si="108"/>
        <v/>
      </c>
      <c r="L1378" s="141" t="str">
        <f t="shared" si="109"/>
        <v/>
      </c>
    </row>
    <row r="1379" spans="1:12" x14ac:dyDescent="0.3">
      <c r="A1379" s="2" t="str">
        <f xml:space="preserve"> IF( 'From SvanPC++'!A1379= "", "", ('From SvanPC++'!A1379))</f>
        <v/>
      </c>
      <c r="C1379" s="6" t="s">
        <v>10</v>
      </c>
      <c r="G1379" s="38" t="str">
        <f t="shared" si="105"/>
        <v/>
      </c>
      <c r="H1379" s="141" t="str">
        <f t="shared" si="106"/>
        <v/>
      </c>
      <c r="J1379" s="141" t="str">
        <f t="shared" si="107"/>
        <v/>
      </c>
      <c r="K1379" s="141" t="str">
        <f t="shared" si="108"/>
        <v/>
      </c>
      <c r="L1379" s="141" t="str">
        <f t="shared" si="109"/>
        <v/>
      </c>
    </row>
    <row r="1380" spans="1:12" x14ac:dyDescent="0.3">
      <c r="A1380" s="2" t="str">
        <f xml:space="preserve"> IF( 'From SvanPC++'!A1380= "", "", ('From SvanPC++'!A1380))</f>
        <v/>
      </c>
      <c r="C1380" s="6" t="s">
        <v>10</v>
      </c>
      <c r="G1380" s="38" t="str">
        <f t="shared" si="105"/>
        <v/>
      </c>
      <c r="H1380" s="141" t="str">
        <f t="shared" si="106"/>
        <v/>
      </c>
      <c r="J1380" s="141" t="str">
        <f t="shared" si="107"/>
        <v/>
      </c>
      <c r="K1380" s="141" t="str">
        <f t="shared" si="108"/>
        <v/>
      </c>
      <c r="L1380" s="141" t="str">
        <f t="shared" si="109"/>
        <v/>
      </c>
    </row>
    <row r="1381" spans="1:12" x14ac:dyDescent="0.3">
      <c r="A1381" s="2" t="str">
        <f xml:space="preserve"> IF( 'From SvanPC++'!A1381= "", "", ('From SvanPC++'!A1381))</f>
        <v/>
      </c>
      <c r="C1381" s="6" t="s">
        <v>10</v>
      </c>
      <c r="G1381" s="38" t="str">
        <f t="shared" si="105"/>
        <v/>
      </c>
      <c r="H1381" s="141" t="str">
        <f t="shared" si="106"/>
        <v/>
      </c>
      <c r="J1381" s="141" t="str">
        <f t="shared" si="107"/>
        <v/>
      </c>
      <c r="K1381" s="141" t="str">
        <f t="shared" si="108"/>
        <v/>
      </c>
      <c r="L1381" s="141" t="str">
        <f t="shared" si="109"/>
        <v/>
      </c>
    </row>
    <row r="1382" spans="1:12" x14ac:dyDescent="0.3">
      <c r="A1382" s="2" t="str">
        <f xml:space="preserve"> IF( 'From SvanPC++'!A1382= "", "", ('From SvanPC++'!A1382))</f>
        <v/>
      </c>
      <c r="C1382" s="6" t="s">
        <v>10</v>
      </c>
      <c r="G1382" s="38" t="str">
        <f t="shared" si="105"/>
        <v/>
      </c>
      <c r="H1382" s="141" t="str">
        <f t="shared" si="106"/>
        <v/>
      </c>
      <c r="J1382" s="141" t="str">
        <f t="shared" si="107"/>
        <v/>
      </c>
      <c r="K1382" s="141" t="str">
        <f t="shared" si="108"/>
        <v/>
      </c>
      <c r="L1382" s="141" t="str">
        <f t="shared" si="109"/>
        <v/>
      </c>
    </row>
    <row r="1383" spans="1:12" x14ac:dyDescent="0.3">
      <c r="A1383" s="2" t="str">
        <f xml:space="preserve"> IF( 'From SvanPC++'!A1383= "", "", ('From SvanPC++'!A1383))</f>
        <v/>
      </c>
      <c r="C1383" s="6" t="s">
        <v>10</v>
      </c>
      <c r="G1383" s="38" t="str">
        <f t="shared" si="105"/>
        <v/>
      </c>
      <c r="H1383" s="141" t="str">
        <f t="shared" si="106"/>
        <v/>
      </c>
      <c r="J1383" s="141" t="str">
        <f t="shared" si="107"/>
        <v/>
      </c>
      <c r="K1383" s="141" t="str">
        <f t="shared" si="108"/>
        <v/>
      </c>
      <c r="L1383" s="141" t="str">
        <f t="shared" si="109"/>
        <v/>
      </c>
    </row>
    <row r="1384" spans="1:12" x14ac:dyDescent="0.3">
      <c r="A1384" s="2" t="str">
        <f xml:space="preserve"> IF( 'From SvanPC++'!A1384= "", "", ('From SvanPC++'!A1384))</f>
        <v/>
      </c>
      <c r="C1384" s="6" t="s">
        <v>10</v>
      </c>
      <c r="G1384" s="38" t="str">
        <f t="shared" si="105"/>
        <v/>
      </c>
      <c r="H1384" s="141" t="str">
        <f t="shared" si="106"/>
        <v/>
      </c>
      <c r="J1384" s="141" t="str">
        <f t="shared" si="107"/>
        <v/>
      </c>
      <c r="K1384" s="141" t="str">
        <f t="shared" si="108"/>
        <v/>
      </c>
      <c r="L1384" s="141" t="str">
        <f t="shared" si="109"/>
        <v/>
      </c>
    </row>
    <row r="1385" spans="1:12" x14ac:dyDescent="0.3">
      <c r="A1385" s="2" t="str">
        <f xml:space="preserve"> IF( 'From SvanPC++'!A1385= "", "", ('From SvanPC++'!A1385))</f>
        <v/>
      </c>
      <c r="C1385" s="6" t="s">
        <v>10</v>
      </c>
      <c r="G1385" s="38" t="str">
        <f t="shared" si="105"/>
        <v/>
      </c>
      <c r="H1385" s="141" t="str">
        <f t="shared" si="106"/>
        <v/>
      </c>
      <c r="J1385" s="141" t="str">
        <f t="shared" si="107"/>
        <v/>
      </c>
      <c r="K1385" s="141" t="str">
        <f t="shared" si="108"/>
        <v/>
      </c>
      <c r="L1385" s="141" t="str">
        <f t="shared" si="109"/>
        <v/>
      </c>
    </row>
    <row r="1386" spans="1:12" x14ac:dyDescent="0.3">
      <c r="A1386" s="2" t="str">
        <f xml:space="preserve"> IF( 'From SvanPC++'!A1386= "", "", ('From SvanPC++'!A1386))</f>
        <v/>
      </c>
      <c r="C1386" s="6" t="s">
        <v>10</v>
      </c>
      <c r="G1386" s="38" t="str">
        <f t="shared" si="105"/>
        <v/>
      </c>
      <c r="H1386" s="141" t="str">
        <f t="shared" si="106"/>
        <v/>
      </c>
      <c r="J1386" s="141" t="str">
        <f t="shared" si="107"/>
        <v/>
      </c>
      <c r="K1386" s="141" t="str">
        <f t="shared" si="108"/>
        <v/>
      </c>
      <c r="L1386" s="141" t="str">
        <f t="shared" si="109"/>
        <v/>
      </c>
    </row>
    <row r="1387" spans="1:12" x14ac:dyDescent="0.3">
      <c r="A1387" s="2" t="str">
        <f xml:space="preserve"> IF( 'From SvanPC++'!A1387= "", "", ('From SvanPC++'!A1387))</f>
        <v/>
      </c>
      <c r="C1387" s="6" t="s">
        <v>10</v>
      </c>
      <c r="G1387" s="38" t="str">
        <f t="shared" si="105"/>
        <v/>
      </c>
      <c r="H1387" s="141" t="str">
        <f t="shared" si="106"/>
        <v/>
      </c>
      <c r="J1387" s="141" t="str">
        <f t="shared" si="107"/>
        <v/>
      </c>
      <c r="K1387" s="141" t="str">
        <f t="shared" si="108"/>
        <v/>
      </c>
      <c r="L1387" s="141" t="str">
        <f t="shared" si="109"/>
        <v/>
      </c>
    </row>
    <row r="1388" spans="1:12" x14ac:dyDescent="0.3">
      <c r="A1388" s="2" t="str">
        <f xml:space="preserve"> IF( 'From SvanPC++'!A1388= "", "", ('From SvanPC++'!A1388))</f>
        <v/>
      </c>
      <c r="C1388" s="6" t="s">
        <v>10</v>
      </c>
      <c r="G1388" s="38" t="str">
        <f t="shared" si="105"/>
        <v/>
      </c>
      <c r="H1388" s="141" t="str">
        <f t="shared" si="106"/>
        <v/>
      </c>
      <c r="J1388" s="141" t="str">
        <f t="shared" si="107"/>
        <v/>
      </c>
      <c r="K1388" s="141" t="str">
        <f t="shared" si="108"/>
        <v/>
      </c>
      <c r="L1388" s="141" t="str">
        <f t="shared" si="109"/>
        <v/>
      </c>
    </row>
    <row r="1389" spans="1:12" x14ac:dyDescent="0.3">
      <c r="A1389" s="2" t="str">
        <f xml:space="preserve"> IF( 'From SvanPC++'!A1389= "", "", ('From SvanPC++'!A1389))</f>
        <v/>
      </c>
      <c r="C1389" s="6" t="s">
        <v>10</v>
      </c>
      <c r="G1389" s="38" t="str">
        <f t="shared" si="105"/>
        <v/>
      </c>
      <c r="H1389" s="141" t="str">
        <f t="shared" si="106"/>
        <v/>
      </c>
      <c r="J1389" s="141" t="str">
        <f t="shared" si="107"/>
        <v/>
      </c>
      <c r="K1389" s="141" t="str">
        <f t="shared" si="108"/>
        <v/>
      </c>
      <c r="L1389" s="141" t="str">
        <f t="shared" si="109"/>
        <v/>
      </c>
    </row>
    <row r="1390" spans="1:12" x14ac:dyDescent="0.3">
      <c r="A1390" s="2" t="str">
        <f xml:space="preserve"> IF( 'From SvanPC++'!A1390= "", "", ('From SvanPC++'!A1390))</f>
        <v/>
      </c>
      <c r="C1390" s="6" t="s">
        <v>10</v>
      </c>
      <c r="G1390" s="38" t="str">
        <f t="shared" si="105"/>
        <v/>
      </c>
      <c r="H1390" s="141" t="str">
        <f t="shared" si="106"/>
        <v/>
      </c>
      <c r="J1390" s="141" t="str">
        <f t="shared" si="107"/>
        <v/>
      </c>
      <c r="K1390" s="141" t="str">
        <f t="shared" si="108"/>
        <v/>
      </c>
      <c r="L1390" s="141" t="str">
        <f t="shared" si="109"/>
        <v/>
      </c>
    </row>
    <row r="1391" spans="1:12" x14ac:dyDescent="0.3">
      <c r="A1391" s="2" t="str">
        <f xml:space="preserve"> IF( 'From SvanPC++'!A1391= "", "", ('From SvanPC++'!A1391))</f>
        <v/>
      </c>
      <c r="C1391" s="6" t="s">
        <v>10</v>
      </c>
      <c r="G1391" s="38" t="str">
        <f t="shared" si="105"/>
        <v/>
      </c>
      <c r="H1391" s="141" t="str">
        <f t="shared" si="106"/>
        <v/>
      </c>
      <c r="J1391" s="141" t="str">
        <f t="shared" si="107"/>
        <v/>
      </c>
      <c r="K1391" s="141" t="str">
        <f t="shared" si="108"/>
        <v/>
      </c>
      <c r="L1391" s="141" t="str">
        <f t="shared" si="109"/>
        <v/>
      </c>
    </row>
    <row r="1392" spans="1:12" x14ac:dyDescent="0.3">
      <c r="A1392" s="2" t="str">
        <f xml:space="preserve"> IF( 'From SvanPC++'!A1392= "", "", ('From SvanPC++'!A1392))</f>
        <v/>
      </c>
      <c r="C1392" s="6" t="s">
        <v>10</v>
      </c>
      <c r="G1392" s="38" t="str">
        <f t="shared" si="105"/>
        <v/>
      </c>
      <c r="H1392" s="141" t="str">
        <f t="shared" si="106"/>
        <v/>
      </c>
      <c r="J1392" s="141" t="str">
        <f t="shared" si="107"/>
        <v/>
      </c>
      <c r="K1392" s="141" t="str">
        <f t="shared" si="108"/>
        <v/>
      </c>
      <c r="L1392" s="141" t="str">
        <f t="shared" si="109"/>
        <v/>
      </c>
    </row>
    <row r="1393" spans="1:12" x14ac:dyDescent="0.3">
      <c r="A1393" s="2" t="str">
        <f xml:space="preserve"> IF( 'From SvanPC++'!A1393= "", "", ('From SvanPC++'!A1393))</f>
        <v/>
      </c>
      <c r="C1393" s="6" t="s">
        <v>10</v>
      </c>
      <c r="G1393" s="38" t="str">
        <f t="shared" si="105"/>
        <v/>
      </c>
      <c r="H1393" s="141" t="str">
        <f t="shared" si="106"/>
        <v/>
      </c>
      <c r="J1393" s="141" t="str">
        <f t="shared" si="107"/>
        <v/>
      </c>
      <c r="K1393" s="141" t="str">
        <f t="shared" si="108"/>
        <v/>
      </c>
      <c r="L1393" s="141" t="str">
        <f t="shared" si="109"/>
        <v/>
      </c>
    </row>
    <row r="1394" spans="1:12" x14ac:dyDescent="0.3">
      <c r="A1394" s="2" t="str">
        <f xml:space="preserve"> IF( 'From SvanPC++'!A1394= "", "", ('From SvanPC++'!A1394))</f>
        <v/>
      </c>
      <c r="C1394" s="6" t="s">
        <v>10</v>
      </c>
      <c r="G1394" s="38" t="str">
        <f t="shared" si="105"/>
        <v/>
      </c>
      <c r="H1394" s="141" t="str">
        <f t="shared" si="106"/>
        <v/>
      </c>
      <c r="J1394" s="141" t="str">
        <f t="shared" si="107"/>
        <v/>
      </c>
      <c r="K1394" s="141" t="str">
        <f t="shared" si="108"/>
        <v/>
      </c>
      <c r="L1394" s="141" t="str">
        <f t="shared" si="109"/>
        <v/>
      </c>
    </row>
    <row r="1395" spans="1:12" x14ac:dyDescent="0.3">
      <c r="A1395" s="2" t="str">
        <f xml:space="preserve"> IF( 'From SvanPC++'!A1395= "", "", ('From SvanPC++'!A1395))</f>
        <v/>
      </c>
      <c r="C1395" s="6" t="s">
        <v>10</v>
      </c>
      <c r="G1395" s="38" t="str">
        <f t="shared" si="105"/>
        <v/>
      </c>
      <c r="H1395" s="141" t="str">
        <f t="shared" si="106"/>
        <v/>
      </c>
      <c r="J1395" s="141" t="str">
        <f t="shared" si="107"/>
        <v/>
      </c>
      <c r="K1395" s="141" t="str">
        <f t="shared" si="108"/>
        <v/>
      </c>
      <c r="L1395" s="141" t="str">
        <f t="shared" si="109"/>
        <v/>
      </c>
    </row>
    <row r="1396" spans="1:12" x14ac:dyDescent="0.3">
      <c r="A1396" s="2" t="str">
        <f xml:space="preserve"> IF( 'From SvanPC++'!A1396= "", "", ('From SvanPC++'!A1396))</f>
        <v/>
      </c>
      <c r="C1396" s="6" t="s">
        <v>10</v>
      </c>
      <c r="G1396" s="38" t="str">
        <f t="shared" si="105"/>
        <v/>
      </c>
      <c r="H1396" s="141" t="str">
        <f t="shared" si="106"/>
        <v/>
      </c>
      <c r="J1396" s="141" t="str">
        <f t="shared" si="107"/>
        <v/>
      </c>
      <c r="K1396" s="141" t="str">
        <f t="shared" si="108"/>
        <v/>
      </c>
      <c r="L1396" s="141" t="str">
        <f t="shared" si="109"/>
        <v/>
      </c>
    </row>
    <row r="1397" spans="1:12" x14ac:dyDescent="0.3">
      <c r="A1397" s="2" t="str">
        <f xml:space="preserve"> IF( 'From SvanPC++'!A1397= "", "", ('From SvanPC++'!A1397))</f>
        <v/>
      </c>
      <c r="C1397" s="6" t="s">
        <v>10</v>
      </c>
      <c r="G1397" s="38" t="str">
        <f t="shared" si="105"/>
        <v/>
      </c>
      <c r="H1397" s="141" t="str">
        <f t="shared" si="106"/>
        <v/>
      </c>
      <c r="J1397" s="141" t="str">
        <f t="shared" si="107"/>
        <v/>
      </c>
      <c r="K1397" s="141" t="str">
        <f t="shared" si="108"/>
        <v/>
      </c>
      <c r="L1397" s="141" t="str">
        <f t="shared" si="109"/>
        <v/>
      </c>
    </row>
    <row r="1398" spans="1:12" x14ac:dyDescent="0.3">
      <c r="A1398" s="2" t="str">
        <f xml:space="preserve"> IF( 'From SvanPC++'!A1398= "", "", ('From SvanPC++'!A1398))</f>
        <v/>
      </c>
      <c r="C1398" s="6" t="s">
        <v>10</v>
      </c>
      <c r="G1398" s="38" t="str">
        <f t="shared" si="105"/>
        <v/>
      </c>
      <c r="H1398" s="141" t="str">
        <f t="shared" si="106"/>
        <v/>
      </c>
      <c r="J1398" s="141" t="str">
        <f t="shared" si="107"/>
        <v/>
      </c>
      <c r="K1398" s="141" t="str">
        <f t="shared" si="108"/>
        <v/>
      </c>
      <c r="L1398" s="141" t="str">
        <f t="shared" si="109"/>
        <v/>
      </c>
    </row>
    <row r="1399" spans="1:12" x14ac:dyDescent="0.3">
      <c r="A1399" s="2" t="str">
        <f xml:space="preserve"> IF( 'From SvanPC++'!A1399= "", "", ('From SvanPC++'!A1399))</f>
        <v/>
      </c>
      <c r="C1399" s="6" t="s">
        <v>10</v>
      </c>
      <c r="G1399" s="38" t="str">
        <f t="shared" si="105"/>
        <v/>
      </c>
      <c r="H1399" s="141" t="str">
        <f t="shared" si="106"/>
        <v/>
      </c>
      <c r="J1399" s="141" t="str">
        <f t="shared" si="107"/>
        <v/>
      </c>
      <c r="K1399" s="141" t="str">
        <f t="shared" si="108"/>
        <v/>
      </c>
      <c r="L1399" s="141" t="str">
        <f t="shared" si="109"/>
        <v/>
      </c>
    </row>
    <row r="1400" spans="1:12" x14ac:dyDescent="0.3">
      <c r="A1400" s="2" t="str">
        <f xml:space="preserve"> IF( 'From SvanPC++'!A1400= "", "", ('From SvanPC++'!A1400))</f>
        <v/>
      </c>
      <c r="C1400" s="6" t="s">
        <v>10</v>
      </c>
      <c r="G1400" s="38" t="str">
        <f t="shared" si="105"/>
        <v/>
      </c>
      <c r="H1400" s="141" t="str">
        <f t="shared" si="106"/>
        <v/>
      </c>
      <c r="J1400" s="141" t="str">
        <f t="shared" si="107"/>
        <v/>
      </c>
      <c r="K1400" s="141" t="str">
        <f t="shared" si="108"/>
        <v/>
      </c>
      <c r="L1400" s="141" t="str">
        <f t="shared" si="109"/>
        <v/>
      </c>
    </row>
    <row r="1401" spans="1:12" x14ac:dyDescent="0.3">
      <c r="A1401" s="2" t="str">
        <f xml:space="preserve"> IF( 'From SvanPC++'!A1401= "", "", ('From SvanPC++'!A1401))</f>
        <v/>
      </c>
      <c r="C1401" s="6" t="s">
        <v>10</v>
      </c>
      <c r="G1401" s="38" t="str">
        <f t="shared" si="105"/>
        <v/>
      </c>
      <c r="H1401" s="141" t="str">
        <f t="shared" si="106"/>
        <v/>
      </c>
      <c r="J1401" s="141" t="str">
        <f t="shared" si="107"/>
        <v/>
      </c>
      <c r="K1401" s="141" t="str">
        <f t="shared" si="108"/>
        <v/>
      </c>
      <c r="L1401" s="141" t="str">
        <f t="shared" si="109"/>
        <v/>
      </c>
    </row>
    <row r="1402" spans="1:12" x14ac:dyDescent="0.3">
      <c r="A1402" s="2" t="str">
        <f xml:space="preserve"> IF( 'From SvanPC++'!A1402= "", "", ('From SvanPC++'!A1402))</f>
        <v/>
      </c>
      <c r="C1402" s="6" t="s">
        <v>10</v>
      </c>
      <c r="G1402" s="38" t="str">
        <f t="shared" si="105"/>
        <v/>
      </c>
      <c r="H1402" s="141" t="str">
        <f t="shared" si="106"/>
        <v/>
      </c>
      <c r="J1402" s="141" t="str">
        <f t="shared" si="107"/>
        <v/>
      </c>
      <c r="K1402" s="141" t="str">
        <f t="shared" si="108"/>
        <v/>
      </c>
      <c r="L1402" s="141" t="str">
        <f t="shared" si="109"/>
        <v/>
      </c>
    </row>
    <row r="1403" spans="1:12" x14ac:dyDescent="0.3">
      <c r="A1403" s="2" t="str">
        <f xml:space="preserve"> IF( 'From SvanPC++'!A1403= "", "", ('From SvanPC++'!A1403))</f>
        <v/>
      </c>
      <c r="C1403" s="6" t="s">
        <v>10</v>
      </c>
      <c r="G1403" s="38" t="str">
        <f t="shared" si="105"/>
        <v/>
      </c>
      <c r="H1403" s="141" t="str">
        <f t="shared" si="106"/>
        <v/>
      </c>
      <c r="J1403" s="141" t="str">
        <f t="shared" si="107"/>
        <v/>
      </c>
      <c r="K1403" s="141" t="str">
        <f t="shared" si="108"/>
        <v/>
      </c>
      <c r="L1403" s="141" t="str">
        <f t="shared" si="109"/>
        <v/>
      </c>
    </row>
    <row r="1404" spans="1:12" x14ac:dyDescent="0.3">
      <c r="A1404" s="2" t="str">
        <f xml:space="preserve"> IF( 'From SvanPC++'!A1404= "", "", ('From SvanPC++'!A1404))</f>
        <v/>
      </c>
      <c r="C1404" s="6" t="s">
        <v>10</v>
      </c>
      <c r="G1404" s="38" t="str">
        <f t="shared" si="105"/>
        <v/>
      </c>
      <c r="H1404" s="141" t="str">
        <f t="shared" si="106"/>
        <v/>
      </c>
      <c r="J1404" s="141" t="str">
        <f t="shared" si="107"/>
        <v/>
      </c>
      <c r="K1404" s="141" t="str">
        <f t="shared" si="108"/>
        <v/>
      </c>
      <c r="L1404" s="141" t="str">
        <f t="shared" si="109"/>
        <v/>
      </c>
    </row>
    <row r="1405" spans="1:12" x14ac:dyDescent="0.3">
      <c r="A1405" s="2" t="str">
        <f xml:space="preserve"> IF( 'From SvanPC++'!A1405= "", "", ('From SvanPC++'!A1405))</f>
        <v/>
      </c>
      <c r="C1405" s="6" t="s">
        <v>10</v>
      </c>
      <c r="G1405" s="38" t="str">
        <f t="shared" si="105"/>
        <v/>
      </c>
      <c r="H1405" s="141" t="str">
        <f t="shared" si="106"/>
        <v/>
      </c>
      <c r="J1405" s="141" t="str">
        <f t="shared" si="107"/>
        <v/>
      </c>
      <c r="K1405" s="141" t="str">
        <f t="shared" si="108"/>
        <v/>
      </c>
      <c r="L1405" s="141" t="str">
        <f t="shared" si="109"/>
        <v/>
      </c>
    </row>
    <row r="1406" spans="1:12" x14ac:dyDescent="0.3">
      <c r="A1406" s="2" t="str">
        <f xml:space="preserve"> IF( 'From SvanPC++'!A1406= "", "", ('From SvanPC++'!A1406))</f>
        <v/>
      </c>
      <c r="C1406" s="6" t="s">
        <v>10</v>
      </c>
      <c r="G1406" s="38" t="str">
        <f t="shared" si="105"/>
        <v/>
      </c>
      <c r="H1406" s="141" t="str">
        <f t="shared" si="106"/>
        <v/>
      </c>
      <c r="J1406" s="141" t="str">
        <f t="shared" si="107"/>
        <v/>
      </c>
      <c r="K1406" s="141" t="str">
        <f t="shared" si="108"/>
        <v/>
      </c>
      <c r="L1406" s="141" t="str">
        <f t="shared" si="109"/>
        <v/>
      </c>
    </row>
    <row r="1407" spans="1:12" x14ac:dyDescent="0.3">
      <c r="A1407" s="2" t="str">
        <f xml:space="preserve"> IF( 'From SvanPC++'!A1407= "", "", ('From SvanPC++'!A1407))</f>
        <v/>
      </c>
      <c r="C1407" s="6" t="s">
        <v>10</v>
      </c>
      <c r="G1407" s="38" t="str">
        <f t="shared" si="105"/>
        <v/>
      </c>
      <c r="H1407" s="141" t="str">
        <f t="shared" si="106"/>
        <v/>
      </c>
      <c r="J1407" s="141" t="str">
        <f t="shared" si="107"/>
        <v/>
      </c>
      <c r="K1407" s="141" t="str">
        <f t="shared" si="108"/>
        <v/>
      </c>
      <c r="L1407" s="141" t="str">
        <f t="shared" si="109"/>
        <v/>
      </c>
    </row>
    <row r="1408" spans="1:12" x14ac:dyDescent="0.3">
      <c r="A1408" s="2" t="str">
        <f xml:space="preserve"> IF( 'From SvanPC++'!A1408= "", "", ('From SvanPC++'!A1408))</f>
        <v/>
      </c>
      <c r="C1408" s="6" t="s">
        <v>10</v>
      </c>
      <c r="G1408" s="38" t="str">
        <f t="shared" si="105"/>
        <v/>
      </c>
      <c r="H1408" s="141" t="str">
        <f t="shared" si="106"/>
        <v/>
      </c>
      <c r="J1408" s="141" t="str">
        <f t="shared" si="107"/>
        <v/>
      </c>
      <c r="K1408" s="141" t="str">
        <f t="shared" si="108"/>
        <v/>
      </c>
      <c r="L1408" s="141" t="str">
        <f t="shared" si="109"/>
        <v/>
      </c>
    </row>
    <row r="1409" spans="1:12" x14ac:dyDescent="0.3">
      <c r="A1409" s="2" t="str">
        <f xml:space="preserve"> IF( 'From SvanPC++'!A1409= "", "", ('From SvanPC++'!A1409))</f>
        <v/>
      </c>
      <c r="C1409" s="6" t="s">
        <v>10</v>
      </c>
      <c r="G1409" s="38" t="str">
        <f t="shared" si="105"/>
        <v/>
      </c>
      <c r="H1409" s="141" t="str">
        <f t="shared" si="106"/>
        <v/>
      </c>
      <c r="J1409" s="141" t="str">
        <f t="shared" si="107"/>
        <v/>
      </c>
      <c r="K1409" s="141" t="str">
        <f t="shared" si="108"/>
        <v/>
      </c>
      <c r="L1409" s="141" t="str">
        <f t="shared" si="109"/>
        <v/>
      </c>
    </row>
    <row r="1410" spans="1:12" x14ac:dyDescent="0.3">
      <c r="A1410" s="2" t="str">
        <f xml:space="preserve"> IF( 'From SvanPC++'!A1410= "", "", ('From SvanPC++'!A1410))</f>
        <v/>
      </c>
      <c r="C1410" s="6" t="s">
        <v>10</v>
      </c>
      <c r="G1410" s="38" t="str">
        <f t="shared" si="105"/>
        <v/>
      </c>
      <c r="H1410" s="141" t="str">
        <f t="shared" si="106"/>
        <v/>
      </c>
      <c r="J1410" s="141" t="str">
        <f t="shared" si="107"/>
        <v/>
      </c>
      <c r="K1410" s="141" t="str">
        <f t="shared" si="108"/>
        <v/>
      </c>
      <c r="L1410" s="141" t="str">
        <f t="shared" si="109"/>
        <v/>
      </c>
    </row>
    <row r="1411" spans="1:12" x14ac:dyDescent="0.3">
      <c r="A1411" s="2" t="str">
        <f xml:space="preserve"> IF( 'From SvanPC++'!A1411= "", "", ('From SvanPC++'!A1411))</f>
        <v/>
      </c>
      <c r="C1411" s="6" t="s">
        <v>10</v>
      </c>
      <c r="G1411" s="38" t="str">
        <f t="shared" si="105"/>
        <v/>
      </c>
      <c r="H1411" s="141" t="str">
        <f t="shared" si="106"/>
        <v/>
      </c>
      <c r="J1411" s="141" t="str">
        <f t="shared" si="107"/>
        <v/>
      </c>
      <c r="K1411" s="141" t="str">
        <f t="shared" si="108"/>
        <v/>
      </c>
      <c r="L1411" s="141" t="str">
        <f t="shared" si="109"/>
        <v/>
      </c>
    </row>
    <row r="1412" spans="1:12" x14ac:dyDescent="0.3">
      <c r="A1412" s="2" t="str">
        <f xml:space="preserve"> IF( 'From SvanPC++'!A1412= "", "", ('From SvanPC++'!A1412))</f>
        <v/>
      </c>
      <c r="C1412" s="6" t="s">
        <v>10</v>
      </c>
      <c r="G1412" s="38" t="str">
        <f t="shared" si="105"/>
        <v/>
      </c>
      <c r="H1412" s="141" t="str">
        <f t="shared" si="106"/>
        <v/>
      </c>
      <c r="J1412" s="141" t="str">
        <f t="shared" si="107"/>
        <v/>
      </c>
      <c r="K1412" s="141" t="str">
        <f t="shared" si="108"/>
        <v/>
      </c>
      <c r="L1412" s="141" t="str">
        <f t="shared" si="109"/>
        <v/>
      </c>
    </row>
    <row r="1413" spans="1:12" x14ac:dyDescent="0.3">
      <c r="A1413" s="2" t="str">
        <f xml:space="preserve"> IF( 'From SvanPC++'!A1413= "", "", ('From SvanPC++'!A1413))</f>
        <v/>
      </c>
      <c r="C1413" s="6" t="s">
        <v>10</v>
      </c>
      <c r="G1413" s="38" t="str">
        <f t="shared" si="105"/>
        <v/>
      </c>
      <c r="H1413" s="141" t="str">
        <f t="shared" si="106"/>
        <v/>
      </c>
      <c r="J1413" s="141" t="str">
        <f t="shared" si="107"/>
        <v/>
      </c>
      <c r="K1413" s="141" t="str">
        <f t="shared" si="108"/>
        <v/>
      </c>
      <c r="L1413" s="141" t="str">
        <f t="shared" si="109"/>
        <v/>
      </c>
    </row>
    <row r="1414" spans="1:12" x14ac:dyDescent="0.3">
      <c r="A1414" s="2" t="str">
        <f xml:space="preserve"> IF( 'From SvanPC++'!A1414= "", "", ('From SvanPC++'!A1414))</f>
        <v/>
      </c>
      <c r="C1414" s="6" t="s">
        <v>10</v>
      </c>
      <c r="G1414" s="38" t="str">
        <f t="shared" si="105"/>
        <v/>
      </c>
      <c r="H1414" s="141" t="str">
        <f t="shared" si="106"/>
        <v/>
      </c>
      <c r="J1414" s="141" t="str">
        <f t="shared" si="107"/>
        <v/>
      </c>
      <c r="K1414" s="141" t="str">
        <f t="shared" si="108"/>
        <v/>
      </c>
      <c r="L1414" s="141" t="str">
        <f t="shared" si="109"/>
        <v/>
      </c>
    </row>
    <row r="1415" spans="1:12" x14ac:dyDescent="0.3">
      <c r="A1415" s="2" t="str">
        <f xml:space="preserve"> IF( 'From SvanPC++'!A1415= "", "", ('From SvanPC++'!A1415))</f>
        <v/>
      </c>
      <c r="C1415" s="6" t="s">
        <v>10</v>
      </c>
      <c r="G1415" s="38" t="str">
        <f t="shared" ref="G1415:G1478" si="110" xml:space="preserve"> IF( D1415= "", "", ( IF( AND( D1415 &gt;= TIMEVALUE( "07:00:01" ), D1415 &lt; TIMEVALUE( "08:00:01" ) ) = TRUE, (G1414+1), (G1414+0) )))</f>
        <v/>
      </c>
      <c r="H1415" s="141" t="str">
        <f t="shared" ref="H1415:H1478" si="111" xml:space="preserve"> IF( D1415= "", "", (
IF( AND( D1415 &gt;= TIMEVALUE( "07:00:01" ), D1415 &lt;= TIMEVALUE( "18:00:00" ), WEEKDAY( C1415,1+N("            Weekday Day Period              ")) &gt;=2, ( WEEKDAY( C1415,1) &lt;=6) ) = TRUE, "Day",
IF( AND( D1415 &gt;= TIMEVALUE( "18:00:01" ), D1415 &lt;= TIMEVALUE( "22:00:00" ), WEEKDAY( C1415,1+N("            Weekday Evening Period          ")) &gt;=2, ( WEEKDAY( C1415,1) &lt;=6) ) = TRUE, "Evening",
IF( AND( D1415 &gt;= TIMEVALUE( "22:00:01" ), D1415 &lt;= TIMEVALUE( "23:59:59" ), WEEKDAY( C1415,1+N("            Weekday Night Period            ")) &gt;=2, ( WEEKDAY( C1415,1) &lt;=6) ) = TRUE, "Night",
IF( AND( D1415 &gt;= TIMEVALUE( "00:00:00" ), D1415 &lt;= TIMEVALUE( "07:00:00" ), WEEKDAY( C1415,1+N("            Weekday Night Period            ")) &gt;=2, ( WEEKDAY( C1415,1) &lt;=6) ) = TRUE, "Night",
IF( AND( D1415 &gt;= TIMEVALUE( "07:00:01" ), D1415 &lt;= TIMEVALUE( "18:00:00" ), WEEKDAY( C1415) =(7+N("         Saturday Day Period             ")) ) = TRUE, "Day",
IF( AND( D1415 &gt;= TIMEVALUE( "18:00:01" ), D1415 &lt;= TIMEVALUE( "22:00:00" ), WEEKDAY( C1415) =(7+N("         Saturday Evening Period         ")) ) = TRUE, "Evening",
IF( AND( D1415 &gt;= TIMEVALUE( "22:00:01" ), D1415 &lt;= TIMEVALUE( "23:59:59" ), WEEKDAY( C1415) =(7+N("         Saturday Night Period           ")) ) = TRUE, "Night",
IF( AND( D1415 &gt;= TIMEVALUE( "00:00:00" ), D1415 &lt;= TIMEVALUE( "07:00:00" ), WEEKDAY( C1415) =(7+N("         Saturday Night Period           ")) ) = TRUE, "Night",
IF( AND( D1415 &gt;= TIMEVALUE( "07:00:01" ), D1415 &lt;= TIMEVALUE( "22:00:00" ), WEEKDAY( C1415) =(1+N("         Sunday Evening Period           ")) ) = TRUE, "Evening",
IF( AND( D1415 &gt;= TIMEVALUE( "20:00:01" ), D1415 &lt;= TIMEVALUE( "23:59:59" ), WEEKDAY( C1415) =(1+N("         Sunday Night Period             ")) ) = TRUE, "Night",
IF( AND( D1415 &gt;= TIMEVALUE( "00:00:00" ), D1415 &lt;= TIMEVALUE( "07:00:00" ), WEEKDAY( C1415) =(1+N("         Sunday Night Period             ")) ) = TRUE, "Night",
)))))))))))))</f>
        <v/>
      </c>
      <c r="J1415" s="141" t="str">
        <f t="shared" si="107"/>
        <v/>
      </c>
      <c r="K1415" s="141" t="str">
        <f t="shared" si="108"/>
        <v/>
      </c>
      <c r="L1415" s="141" t="str">
        <f t="shared" si="109"/>
        <v/>
      </c>
    </row>
    <row r="1416" spans="1:12" x14ac:dyDescent="0.3">
      <c r="A1416" s="2" t="str">
        <f xml:space="preserve"> IF( 'From SvanPC++'!A1416= "", "", ('From SvanPC++'!A1416))</f>
        <v/>
      </c>
      <c r="C1416" s="6" t="s">
        <v>10</v>
      </c>
      <c r="G1416" s="38" t="str">
        <f t="shared" si="110"/>
        <v/>
      </c>
      <c r="H1416" s="141" t="str">
        <f t="shared" si="111"/>
        <v/>
      </c>
      <c r="J1416" s="141" t="str">
        <f t="shared" ref="J1416:J1479" si="112" xml:space="preserve"> IF( ISERROR( IF( D1416= "", "", ( IF( G1416= (G1415+1), ( AVERAGEIFS( E1416:E1560, G1416:G1560, G1416, H1416:H1560, "Day" )), "" )))), "",( IF( D1416= "", "", ( IF( G1416= (G1415+1), ( AVERAGEIFS( E1416:E1560, G1416:G1560, G1416, H1416:H1560, "Day" )), "" )))))</f>
        <v/>
      </c>
      <c r="K1416" s="141" t="str">
        <f t="shared" ref="K1416:K1479" si="113" xml:space="preserve"> IF( ISERROR( IF( D1416= "", "", ( IF( G1416= (G1415+1), ( AVERAGEIFS( E1416:E1560, G1416:G1560, G1416, H1416:H1560, "Evening" )), "" )))), "",( IF( D1416= "", "", ( IF( G1416= (G1415+1), ( AVERAGEIFS( E1416:E1560, G1416:G1560, G1416, H1416:H1560, "Evening" )), "" )))))</f>
        <v/>
      </c>
      <c r="L1416" s="141" t="str">
        <f t="shared" ref="L1416:L1479" si="114" xml:space="preserve"> IF( ISERROR( IF( D1416= "", "", ( IF( G1416= (G1415+1), ( AVERAGEIFS( E1416:E1560, G1416:G1560, G1416, H1416:H1560, "Night" )), "" )))), "",( IF( D1416= "", "", ( IF( G1416= (G1415+1), ( AVERAGEIFS( E1416:E1560, G1416:G1560, G1416, H1416:H1560, "Night" )), "" )))))</f>
        <v/>
      </c>
    </row>
    <row r="1417" spans="1:12" x14ac:dyDescent="0.3">
      <c r="A1417" s="2" t="str">
        <f xml:space="preserve"> IF( 'From SvanPC++'!A1417= "", "", ('From SvanPC++'!A1417))</f>
        <v/>
      </c>
      <c r="C1417" s="6" t="s">
        <v>10</v>
      </c>
      <c r="G1417" s="38" t="str">
        <f t="shared" si="110"/>
        <v/>
      </c>
      <c r="H1417" s="141" t="str">
        <f t="shared" si="111"/>
        <v/>
      </c>
      <c r="J1417" s="141" t="str">
        <f t="shared" si="112"/>
        <v/>
      </c>
      <c r="K1417" s="141" t="str">
        <f t="shared" si="113"/>
        <v/>
      </c>
      <c r="L1417" s="141" t="str">
        <f t="shared" si="114"/>
        <v/>
      </c>
    </row>
    <row r="1418" spans="1:12" x14ac:dyDescent="0.3">
      <c r="A1418" s="2" t="str">
        <f xml:space="preserve"> IF( 'From SvanPC++'!A1418= "", "", ('From SvanPC++'!A1418))</f>
        <v/>
      </c>
      <c r="C1418" s="6" t="s">
        <v>10</v>
      </c>
      <c r="G1418" s="38" t="str">
        <f t="shared" si="110"/>
        <v/>
      </c>
      <c r="H1418" s="141" t="str">
        <f t="shared" si="111"/>
        <v/>
      </c>
      <c r="J1418" s="141" t="str">
        <f t="shared" si="112"/>
        <v/>
      </c>
      <c r="K1418" s="141" t="str">
        <f t="shared" si="113"/>
        <v/>
      </c>
      <c r="L1418" s="141" t="str">
        <f t="shared" si="114"/>
        <v/>
      </c>
    </row>
    <row r="1419" spans="1:12" x14ac:dyDescent="0.3">
      <c r="A1419" s="2" t="str">
        <f xml:space="preserve"> IF( 'From SvanPC++'!A1419= "", "", ('From SvanPC++'!A1419))</f>
        <v/>
      </c>
      <c r="C1419" s="6" t="s">
        <v>10</v>
      </c>
      <c r="G1419" s="38" t="str">
        <f t="shared" si="110"/>
        <v/>
      </c>
      <c r="H1419" s="141" t="str">
        <f t="shared" si="111"/>
        <v/>
      </c>
      <c r="J1419" s="141" t="str">
        <f t="shared" si="112"/>
        <v/>
      </c>
      <c r="K1419" s="141" t="str">
        <f t="shared" si="113"/>
        <v/>
      </c>
      <c r="L1419" s="141" t="str">
        <f t="shared" si="114"/>
        <v/>
      </c>
    </row>
    <row r="1420" spans="1:12" x14ac:dyDescent="0.3">
      <c r="A1420" s="2" t="str">
        <f xml:space="preserve"> IF( 'From SvanPC++'!A1420= "", "", ('From SvanPC++'!A1420))</f>
        <v/>
      </c>
      <c r="C1420" s="6" t="s">
        <v>10</v>
      </c>
      <c r="G1420" s="38" t="str">
        <f t="shared" si="110"/>
        <v/>
      </c>
      <c r="H1420" s="141" t="str">
        <f t="shared" si="111"/>
        <v/>
      </c>
      <c r="J1420" s="141" t="str">
        <f t="shared" si="112"/>
        <v/>
      </c>
      <c r="K1420" s="141" t="str">
        <f t="shared" si="113"/>
        <v/>
      </c>
      <c r="L1420" s="141" t="str">
        <f t="shared" si="114"/>
        <v/>
      </c>
    </row>
    <row r="1421" spans="1:12" x14ac:dyDescent="0.3">
      <c r="A1421" s="2" t="str">
        <f xml:space="preserve"> IF( 'From SvanPC++'!A1421= "", "", ('From SvanPC++'!A1421))</f>
        <v/>
      </c>
      <c r="C1421" s="6" t="s">
        <v>10</v>
      </c>
      <c r="G1421" s="38" t="str">
        <f t="shared" si="110"/>
        <v/>
      </c>
      <c r="H1421" s="141" t="str">
        <f t="shared" si="111"/>
        <v/>
      </c>
      <c r="J1421" s="141" t="str">
        <f t="shared" si="112"/>
        <v/>
      </c>
      <c r="K1421" s="141" t="str">
        <f t="shared" si="113"/>
        <v/>
      </c>
      <c r="L1421" s="141" t="str">
        <f t="shared" si="114"/>
        <v/>
      </c>
    </row>
    <row r="1422" spans="1:12" x14ac:dyDescent="0.3">
      <c r="A1422" s="2" t="str">
        <f xml:space="preserve"> IF( 'From SvanPC++'!A1422= "", "", ('From SvanPC++'!A1422))</f>
        <v/>
      </c>
      <c r="C1422" s="6" t="s">
        <v>10</v>
      </c>
      <c r="G1422" s="38" t="str">
        <f t="shared" si="110"/>
        <v/>
      </c>
      <c r="H1422" s="141" t="str">
        <f t="shared" si="111"/>
        <v/>
      </c>
      <c r="J1422" s="141" t="str">
        <f t="shared" si="112"/>
        <v/>
      </c>
      <c r="K1422" s="141" t="str">
        <f t="shared" si="113"/>
        <v/>
      </c>
      <c r="L1422" s="141" t="str">
        <f t="shared" si="114"/>
        <v/>
      </c>
    </row>
    <row r="1423" spans="1:12" x14ac:dyDescent="0.3">
      <c r="A1423" s="2" t="str">
        <f xml:space="preserve"> IF( 'From SvanPC++'!A1423= "", "", ('From SvanPC++'!A1423))</f>
        <v/>
      </c>
      <c r="C1423" s="6" t="s">
        <v>10</v>
      </c>
      <c r="G1423" s="38" t="str">
        <f t="shared" si="110"/>
        <v/>
      </c>
      <c r="H1423" s="141" t="str">
        <f t="shared" si="111"/>
        <v/>
      </c>
      <c r="J1423" s="141" t="str">
        <f t="shared" si="112"/>
        <v/>
      </c>
      <c r="K1423" s="141" t="str">
        <f t="shared" si="113"/>
        <v/>
      </c>
      <c r="L1423" s="141" t="str">
        <f t="shared" si="114"/>
        <v/>
      </c>
    </row>
    <row r="1424" spans="1:12" x14ac:dyDescent="0.3">
      <c r="A1424" s="2" t="str">
        <f xml:space="preserve"> IF( 'From SvanPC++'!A1424= "", "", ('From SvanPC++'!A1424))</f>
        <v/>
      </c>
      <c r="C1424" s="6" t="s">
        <v>10</v>
      </c>
      <c r="G1424" s="38" t="str">
        <f t="shared" si="110"/>
        <v/>
      </c>
      <c r="H1424" s="141" t="str">
        <f t="shared" si="111"/>
        <v/>
      </c>
      <c r="J1424" s="141" t="str">
        <f t="shared" si="112"/>
        <v/>
      </c>
      <c r="K1424" s="141" t="str">
        <f t="shared" si="113"/>
        <v/>
      </c>
      <c r="L1424" s="141" t="str">
        <f t="shared" si="114"/>
        <v/>
      </c>
    </row>
    <row r="1425" spans="1:12" x14ac:dyDescent="0.3">
      <c r="A1425" s="2" t="str">
        <f xml:space="preserve"> IF( 'From SvanPC++'!A1425= "", "", ('From SvanPC++'!A1425))</f>
        <v/>
      </c>
      <c r="C1425" s="6" t="s">
        <v>10</v>
      </c>
      <c r="G1425" s="38" t="str">
        <f t="shared" si="110"/>
        <v/>
      </c>
      <c r="H1425" s="141" t="str">
        <f t="shared" si="111"/>
        <v/>
      </c>
      <c r="J1425" s="141" t="str">
        <f t="shared" si="112"/>
        <v/>
      </c>
      <c r="K1425" s="141" t="str">
        <f t="shared" si="113"/>
        <v/>
      </c>
      <c r="L1425" s="141" t="str">
        <f t="shared" si="114"/>
        <v/>
      </c>
    </row>
    <row r="1426" spans="1:12" x14ac:dyDescent="0.3">
      <c r="A1426" s="2" t="str">
        <f xml:space="preserve"> IF( 'From SvanPC++'!A1426= "", "", ('From SvanPC++'!A1426))</f>
        <v/>
      </c>
      <c r="C1426" s="6" t="s">
        <v>10</v>
      </c>
      <c r="G1426" s="38" t="str">
        <f t="shared" si="110"/>
        <v/>
      </c>
      <c r="H1426" s="141" t="str">
        <f t="shared" si="111"/>
        <v/>
      </c>
      <c r="J1426" s="141" t="str">
        <f t="shared" si="112"/>
        <v/>
      </c>
      <c r="K1426" s="141" t="str">
        <f t="shared" si="113"/>
        <v/>
      </c>
      <c r="L1426" s="141" t="str">
        <f t="shared" si="114"/>
        <v/>
      </c>
    </row>
    <row r="1427" spans="1:12" x14ac:dyDescent="0.3">
      <c r="A1427" s="2" t="str">
        <f xml:space="preserve"> IF( 'From SvanPC++'!A1427= "", "", ('From SvanPC++'!A1427))</f>
        <v/>
      </c>
      <c r="C1427" s="6" t="s">
        <v>10</v>
      </c>
      <c r="G1427" s="38" t="str">
        <f t="shared" si="110"/>
        <v/>
      </c>
      <c r="H1427" s="141" t="str">
        <f t="shared" si="111"/>
        <v/>
      </c>
      <c r="J1427" s="141" t="str">
        <f t="shared" si="112"/>
        <v/>
      </c>
      <c r="K1427" s="141" t="str">
        <f t="shared" si="113"/>
        <v/>
      </c>
      <c r="L1427" s="141" t="str">
        <f t="shared" si="114"/>
        <v/>
      </c>
    </row>
    <row r="1428" spans="1:12" x14ac:dyDescent="0.3">
      <c r="A1428" s="2" t="str">
        <f xml:space="preserve"> IF( 'From SvanPC++'!A1428= "", "", ('From SvanPC++'!A1428))</f>
        <v/>
      </c>
      <c r="C1428" s="6" t="s">
        <v>10</v>
      </c>
      <c r="G1428" s="38" t="str">
        <f t="shared" si="110"/>
        <v/>
      </c>
      <c r="H1428" s="141" t="str">
        <f t="shared" si="111"/>
        <v/>
      </c>
      <c r="J1428" s="141" t="str">
        <f t="shared" si="112"/>
        <v/>
      </c>
      <c r="K1428" s="141" t="str">
        <f t="shared" si="113"/>
        <v/>
      </c>
      <c r="L1428" s="141" t="str">
        <f t="shared" si="114"/>
        <v/>
      </c>
    </row>
    <row r="1429" spans="1:12" x14ac:dyDescent="0.3">
      <c r="A1429" s="2" t="str">
        <f xml:space="preserve"> IF( 'From SvanPC++'!A1429= "", "", ('From SvanPC++'!A1429))</f>
        <v/>
      </c>
      <c r="C1429" s="6" t="s">
        <v>10</v>
      </c>
      <c r="G1429" s="38" t="str">
        <f t="shared" si="110"/>
        <v/>
      </c>
      <c r="H1429" s="141" t="str">
        <f t="shared" si="111"/>
        <v/>
      </c>
      <c r="J1429" s="141" t="str">
        <f t="shared" si="112"/>
        <v/>
      </c>
      <c r="K1429" s="141" t="str">
        <f t="shared" si="113"/>
        <v/>
      </c>
      <c r="L1429" s="141" t="str">
        <f t="shared" si="114"/>
        <v/>
      </c>
    </row>
    <row r="1430" spans="1:12" x14ac:dyDescent="0.3">
      <c r="A1430" s="2" t="str">
        <f xml:space="preserve"> IF( 'From SvanPC++'!A1430= "", "", ('From SvanPC++'!A1430))</f>
        <v/>
      </c>
      <c r="C1430" s="6" t="s">
        <v>10</v>
      </c>
      <c r="G1430" s="38" t="str">
        <f t="shared" si="110"/>
        <v/>
      </c>
      <c r="H1430" s="141" t="str">
        <f t="shared" si="111"/>
        <v/>
      </c>
      <c r="J1430" s="141" t="str">
        <f t="shared" si="112"/>
        <v/>
      </c>
      <c r="K1430" s="141" t="str">
        <f t="shared" si="113"/>
        <v/>
      </c>
      <c r="L1430" s="141" t="str">
        <f t="shared" si="114"/>
        <v/>
      </c>
    </row>
    <row r="1431" spans="1:12" x14ac:dyDescent="0.3">
      <c r="A1431" s="2" t="str">
        <f xml:space="preserve"> IF( 'From SvanPC++'!A1431= "", "", ('From SvanPC++'!A1431))</f>
        <v/>
      </c>
      <c r="C1431" s="6" t="s">
        <v>10</v>
      </c>
      <c r="G1431" s="38" t="str">
        <f t="shared" si="110"/>
        <v/>
      </c>
      <c r="H1431" s="141" t="str">
        <f t="shared" si="111"/>
        <v/>
      </c>
      <c r="J1431" s="141" t="str">
        <f t="shared" si="112"/>
        <v/>
      </c>
      <c r="K1431" s="141" t="str">
        <f t="shared" si="113"/>
        <v/>
      </c>
      <c r="L1431" s="141" t="str">
        <f t="shared" si="114"/>
        <v/>
      </c>
    </row>
    <row r="1432" spans="1:12" x14ac:dyDescent="0.3">
      <c r="A1432" s="2" t="str">
        <f xml:space="preserve"> IF( 'From SvanPC++'!A1432= "", "", ('From SvanPC++'!A1432))</f>
        <v/>
      </c>
      <c r="C1432" s="6" t="s">
        <v>10</v>
      </c>
      <c r="G1432" s="38" t="str">
        <f t="shared" si="110"/>
        <v/>
      </c>
      <c r="H1432" s="141" t="str">
        <f t="shared" si="111"/>
        <v/>
      </c>
      <c r="J1432" s="141" t="str">
        <f t="shared" si="112"/>
        <v/>
      </c>
      <c r="K1432" s="141" t="str">
        <f t="shared" si="113"/>
        <v/>
      </c>
      <c r="L1432" s="141" t="str">
        <f t="shared" si="114"/>
        <v/>
      </c>
    </row>
    <row r="1433" spans="1:12" x14ac:dyDescent="0.3">
      <c r="A1433" s="2" t="str">
        <f xml:space="preserve"> IF( 'From SvanPC++'!A1433= "", "", ('From SvanPC++'!A1433))</f>
        <v/>
      </c>
      <c r="C1433" s="6" t="s">
        <v>10</v>
      </c>
      <c r="G1433" s="38" t="str">
        <f t="shared" si="110"/>
        <v/>
      </c>
      <c r="H1433" s="141" t="str">
        <f t="shared" si="111"/>
        <v/>
      </c>
      <c r="J1433" s="141" t="str">
        <f t="shared" si="112"/>
        <v/>
      </c>
      <c r="K1433" s="141" t="str">
        <f t="shared" si="113"/>
        <v/>
      </c>
      <c r="L1433" s="141" t="str">
        <f t="shared" si="114"/>
        <v/>
      </c>
    </row>
    <row r="1434" spans="1:12" x14ac:dyDescent="0.3">
      <c r="A1434" s="2" t="str">
        <f xml:space="preserve"> IF( 'From SvanPC++'!A1434= "", "", ('From SvanPC++'!A1434))</f>
        <v/>
      </c>
      <c r="C1434" s="6" t="s">
        <v>10</v>
      </c>
      <c r="G1434" s="38" t="str">
        <f t="shared" si="110"/>
        <v/>
      </c>
      <c r="H1434" s="141" t="str">
        <f t="shared" si="111"/>
        <v/>
      </c>
      <c r="J1434" s="141" t="str">
        <f t="shared" si="112"/>
        <v/>
      </c>
      <c r="K1434" s="141" t="str">
        <f t="shared" si="113"/>
        <v/>
      </c>
      <c r="L1434" s="141" t="str">
        <f t="shared" si="114"/>
        <v/>
      </c>
    </row>
    <row r="1435" spans="1:12" x14ac:dyDescent="0.3">
      <c r="A1435" s="2" t="str">
        <f xml:space="preserve"> IF( 'From SvanPC++'!A1435= "", "", ('From SvanPC++'!A1435))</f>
        <v/>
      </c>
      <c r="C1435" s="6" t="s">
        <v>10</v>
      </c>
      <c r="G1435" s="38" t="str">
        <f t="shared" si="110"/>
        <v/>
      </c>
      <c r="H1435" s="141" t="str">
        <f t="shared" si="111"/>
        <v/>
      </c>
      <c r="J1435" s="141" t="str">
        <f t="shared" si="112"/>
        <v/>
      </c>
      <c r="K1435" s="141" t="str">
        <f t="shared" si="113"/>
        <v/>
      </c>
      <c r="L1435" s="141" t="str">
        <f t="shared" si="114"/>
        <v/>
      </c>
    </row>
    <row r="1436" spans="1:12" x14ac:dyDescent="0.3">
      <c r="A1436" s="2" t="str">
        <f xml:space="preserve"> IF( 'From SvanPC++'!A1436= "", "", ('From SvanPC++'!A1436))</f>
        <v/>
      </c>
      <c r="C1436" s="6" t="s">
        <v>10</v>
      </c>
      <c r="G1436" s="38" t="str">
        <f t="shared" si="110"/>
        <v/>
      </c>
      <c r="H1436" s="141" t="str">
        <f t="shared" si="111"/>
        <v/>
      </c>
      <c r="J1436" s="141" t="str">
        <f t="shared" si="112"/>
        <v/>
      </c>
      <c r="K1436" s="141" t="str">
        <f t="shared" si="113"/>
        <v/>
      </c>
      <c r="L1436" s="141" t="str">
        <f t="shared" si="114"/>
        <v/>
      </c>
    </row>
    <row r="1437" spans="1:12" x14ac:dyDescent="0.3">
      <c r="A1437" s="2" t="str">
        <f xml:space="preserve"> IF( 'From SvanPC++'!A1437= "", "", ('From SvanPC++'!A1437))</f>
        <v/>
      </c>
      <c r="C1437" s="6" t="s">
        <v>10</v>
      </c>
      <c r="G1437" s="38" t="str">
        <f t="shared" si="110"/>
        <v/>
      </c>
      <c r="H1437" s="141" t="str">
        <f t="shared" si="111"/>
        <v/>
      </c>
      <c r="J1437" s="141" t="str">
        <f t="shared" si="112"/>
        <v/>
      </c>
      <c r="K1437" s="141" t="str">
        <f t="shared" si="113"/>
        <v/>
      </c>
      <c r="L1437" s="141" t="str">
        <f t="shared" si="114"/>
        <v/>
      </c>
    </row>
    <row r="1438" spans="1:12" x14ac:dyDescent="0.3">
      <c r="A1438" s="2" t="str">
        <f xml:space="preserve"> IF( 'From SvanPC++'!A1438= "", "", ('From SvanPC++'!A1438))</f>
        <v/>
      </c>
      <c r="C1438" s="6" t="s">
        <v>10</v>
      </c>
      <c r="G1438" s="38" t="str">
        <f t="shared" si="110"/>
        <v/>
      </c>
      <c r="H1438" s="141" t="str">
        <f t="shared" si="111"/>
        <v/>
      </c>
      <c r="J1438" s="141" t="str">
        <f t="shared" si="112"/>
        <v/>
      </c>
      <c r="K1438" s="141" t="str">
        <f t="shared" si="113"/>
        <v/>
      </c>
      <c r="L1438" s="141" t="str">
        <f t="shared" si="114"/>
        <v/>
      </c>
    </row>
    <row r="1439" spans="1:12" x14ac:dyDescent="0.3">
      <c r="A1439" s="2" t="str">
        <f xml:space="preserve"> IF( 'From SvanPC++'!A1439= "", "", ('From SvanPC++'!A1439))</f>
        <v/>
      </c>
      <c r="C1439" s="6" t="s">
        <v>10</v>
      </c>
      <c r="G1439" s="38" t="str">
        <f t="shared" si="110"/>
        <v/>
      </c>
      <c r="H1439" s="141" t="str">
        <f t="shared" si="111"/>
        <v/>
      </c>
      <c r="J1439" s="141" t="str">
        <f t="shared" si="112"/>
        <v/>
      </c>
      <c r="K1439" s="141" t="str">
        <f t="shared" si="113"/>
        <v/>
      </c>
      <c r="L1439" s="141" t="str">
        <f t="shared" si="114"/>
        <v/>
      </c>
    </row>
    <row r="1440" spans="1:12" x14ac:dyDescent="0.3">
      <c r="A1440" s="2" t="str">
        <f xml:space="preserve"> IF( 'From SvanPC++'!A1440= "", "", ('From SvanPC++'!A1440))</f>
        <v/>
      </c>
      <c r="C1440" s="6" t="s">
        <v>10</v>
      </c>
      <c r="G1440" s="38" t="str">
        <f t="shared" si="110"/>
        <v/>
      </c>
      <c r="H1440" s="141" t="str">
        <f t="shared" si="111"/>
        <v/>
      </c>
      <c r="J1440" s="141" t="str">
        <f t="shared" si="112"/>
        <v/>
      </c>
      <c r="K1440" s="141" t="str">
        <f t="shared" si="113"/>
        <v/>
      </c>
      <c r="L1440" s="141" t="str">
        <f t="shared" si="114"/>
        <v/>
      </c>
    </row>
    <row r="1441" spans="1:12" x14ac:dyDescent="0.3">
      <c r="A1441" s="2" t="str">
        <f xml:space="preserve"> IF( 'From SvanPC++'!A1441= "", "", ('From SvanPC++'!A1441))</f>
        <v/>
      </c>
      <c r="C1441" s="6" t="s">
        <v>10</v>
      </c>
      <c r="G1441" s="38" t="str">
        <f t="shared" si="110"/>
        <v/>
      </c>
      <c r="H1441" s="141" t="str">
        <f t="shared" si="111"/>
        <v/>
      </c>
      <c r="J1441" s="141" t="str">
        <f t="shared" si="112"/>
        <v/>
      </c>
      <c r="K1441" s="141" t="str">
        <f t="shared" si="113"/>
        <v/>
      </c>
      <c r="L1441" s="141" t="str">
        <f t="shared" si="114"/>
        <v/>
      </c>
    </row>
    <row r="1442" spans="1:12" x14ac:dyDescent="0.3">
      <c r="A1442" s="2" t="str">
        <f xml:space="preserve"> IF( 'From SvanPC++'!A1442= "", "", ('From SvanPC++'!A1442))</f>
        <v/>
      </c>
      <c r="C1442" s="6" t="s">
        <v>10</v>
      </c>
      <c r="G1442" s="38" t="str">
        <f t="shared" si="110"/>
        <v/>
      </c>
      <c r="H1442" s="141" t="str">
        <f t="shared" si="111"/>
        <v/>
      </c>
      <c r="J1442" s="141" t="str">
        <f t="shared" si="112"/>
        <v/>
      </c>
      <c r="K1442" s="141" t="str">
        <f t="shared" si="113"/>
        <v/>
      </c>
      <c r="L1442" s="141" t="str">
        <f t="shared" si="114"/>
        <v/>
      </c>
    </row>
    <row r="1443" spans="1:12" x14ac:dyDescent="0.3">
      <c r="A1443" s="2" t="str">
        <f xml:space="preserve"> IF( 'From SvanPC++'!A1443= "", "", ('From SvanPC++'!A1443))</f>
        <v/>
      </c>
      <c r="C1443" s="6" t="s">
        <v>10</v>
      </c>
      <c r="G1443" s="38" t="str">
        <f t="shared" si="110"/>
        <v/>
      </c>
      <c r="H1443" s="141" t="str">
        <f t="shared" si="111"/>
        <v/>
      </c>
      <c r="J1443" s="141" t="str">
        <f t="shared" si="112"/>
        <v/>
      </c>
      <c r="K1443" s="141" t="str">
        <f t="shared" si="113"/>
        <v/>
      </c>
      <c r="L1443" s="141" t="str">
        <f t="shared" si="114"/>
        <v/>
      </c>
    </row>
    <row r="1444" spans="1:12" x14ac:dyDescent="0.3">
      <c r="A1444" s="2" t="str">
        <f xml:space="preserve"> IF( 'From SvanPC++'!A1444= "", "", ('From SvanPC++'!A1444))</f>
        <v/>
      </c>
      <c r="C1444" s="6" t="s">
        <v>10</v>
      </c>
      <c r="G1444" s="38" t="str">
        <f t="shared" si="110"/>
        <v/>
      </c>
      <c r="H1444" s="141" t="str">
        <f t="shared" si="111"/>
        <v/>
      </c>
      <c r="J1444" s="141" t="str">
        <f t="shared" si="112"/>
        <v/>
      </c>
      <c r="K1444" s="141" t="str">
        <f t="shared" si="113"/>
        <v/>
      </c>
      <c r="L1444" s="141" t="str">
        <f t="shared" si="114"/>
        <v/>
      </c>
    </row>
    <row r="1445" spans="1:12" x14ac:dyDescent="0.3">
      <c r="A1445" s="2" t="str">
        <f xml:space="preserve"> IF( 'From SvanPC++'!A1445= "", "", ('From SvanPC++'!A1445))</f>
        <v/>
      </c>
      <c r="C1445" s="6" t="s">
        <v>10</v>
      </c>
      <c r="G1445" s="38" t="str">
        <f t="shared" si="110"/>
        <v/>
      </c>
      <c r="H1445" s="141" t="str">
        <f t="shared" si="111"/>
        <v/>
      </c>
      <c r="J1445" s="141" t="str">
        <f t="shared" si="112"/>
        <v/>
      </c>
      <c r="K1445" s="141" t="str">
        <f t="shared" si="113"/>
        <v/>
      </c>
      <c r="L1445" s="141" t="str">
        <f t="shared" si="114"/>
        <v/>
      </c>
    </row>
    <row r="1446" spans="1:12" x14ac:dyDescent="0.3">
      <c r="A1446" s="2" t="str">
        <f xml:space="preserve"> IF( 'From SvanPC++'!A1446= "", "", ('From SvanPC++'!A1446))</f>
        <v/>
      </c>
      <c r="C1446" s="6" t="s">
        <v>10</v>
      </c>
      <c r="G1446" s="38" t="str">
        <f t="shared" si="110"/>
        <v/>
      </c>
      <c r="H1446" s="141" t="str">
        <f t="shared" si="111"/>
        <v/>
      </c>
      <c r="J1446" s="141" t="str">
        <f t="shared" si="112"/>
        <v/>
      </c>
      <c r="K1446" s="141" t="str">
        <f t="shared" si="113"/>
        <v/>
      </c>
      <c r="L1446" s="141" t="str">
        <f t="shared" si="114"/>
        <v/>
      </c>
    </row>
    <row r="1447" spans="1:12" x14ac:dyDescent="0.3">
      <c r="A1447" s="2" t="str">
        <f xml:space="preserve"> IF( 'From SvanPC++'!A1447= "", "", ('From SvanPC++'!A1447))</f>
        <v/>
      </c>
      <c r="C1447" s="6" t="s">
        <v>10</v>
      </c>
      <c r="G1447" s="38" t="str">
        <f t="shared" si="110"/>
        <v/>
      </c>
      <c r="H1447" s="141" t="str">
        <f t="shared" si="111"/>
        <v/>
      </c>
      <c r="J1447" s="141" t="str">
        <f t="shared" si="112"/>
        <v/>
      </c>
      <c r="K1447" s="141" t="str">
        <f t="shared" si="113"/>
        <v/>
      </c>
      <c r="L1447" s="141" t="str">
        <f t="shared" si="114"/>
        <v/>
      </c>
    </row>
    <row r="1448" spans="1:12" x14ac:dyDescent="0.3">
      <c r="A1448" s="2" t="str">
        <f xml:space="preserve"> IF( 'From SvanPC++'!A1448= "", "", ('From SvanPC++'!A1448))</f>
        <v/>
      </c>
      <c r="C1448" s="6" t="s">
        <v>10</v>
      </c>
      <c r="G1448" s="38" t="str">
        <f t="shared" si="110"/>
        <v/>
      </c>
      <c r="H1448" s="141" t="str">
        <f t="shared" si="111"/>
        <v/>
      </c>
      <c r="J1448" s="141" t="str">
        <f t="shared" si="112"/>
        <v/>
      </c>
      <c r="K1448" s="141" t="str">
        <f t="shared" si="113"/>
        <v/>
      </c>
      <c r="L1448" s="141" t="str">
        <f t="shared" si="114"/>
        <v/>
      </c>
    </row>
    <row r="1449" spans="1:12" x14ac:dyDescent="0.3">
      <c r="A1449" s="2" t="str">
        <f xml:space="preserve"> IF( 'From SvanPC++'!A1449= "", "", ('From SvanPC++'!A1449))</f>
        <v/>
      </c>
      <c r="C1449" s="6" t="s">
        <v>10</v>
      </c>
      <c r="G1449" s="38" t="str">
        <f t="shared" si="110"/>
        <v/>
      </c>
      <c r="H1449" s="141" t="str">
        <f t="shared" si="111"/>
        <v/>
      </c>
      <c r="J1449" s="141" t="str">
        <f t="shared" si="112"/>
        <v/>
      </c>
      <c r="K1449" s="141" t="str">
        <f t="shared" si="113"/>
        <v/>
      </c>
      <c r="L1449" s="141" t="str">
        <f t="shared" si="114"/>
        <v/>
      </c>
    </row>
    <row r="1450" spans="1:12" x14ac:dyDescent="0.3">
      <c r="A1450" s="2" t="str">
        <f xml:space="preserve"> IF( 'From SvanPC++'!A1450= "", "", ('From SvanPC++'!A1450))</f>
        <v/>
      </c>
      <c r="C1450" s="6" t="s">
        <v>10</v>
      </c>
      <c r="G1450" s="38" t="str">
        <f t="shared" si="110"/>
        <v/>
      </c>
      <c r="H1450" s="141" t="str">
        <f t="shared" si="111"/>
        <v/>
      </c>
      <c r="J1450" s="141" t="str">
        <f t="shared" si="112"/>
        <v/>
      </c>
      <c r="K1450" s="141" t="str">
        <f t="shared" si="113"/>
        <v/>
      </c>
      <c r="L1450" s="141" t="str">
        <f t="shared" si="114"/>
        <v/>
      </c>
    </row>
    <row r="1451" spans="1:12" x14ac:dyDescent="0.3">
      <c r="A1451" s="2" t="str">
        <f xml:space="preserve"> IF( 'From SvanPC++'!A1451= "", "", ('From SvanPC++'!A1451))</f>
        <v/>
      </c>
      <c r="C1451" s="6" t="s">
        <v>10</v>
      </c>
      <c r="G1451" s="38" t="str">
        <f t="shared" si="110"/>
        <v/>
      </c>
      <c r="H1451" s="141" t="str">
        <f t="shared" si="111"/>
        <v/>
      </c>
      <c r="J1451" s="141" t="str">
        <f t="shared" si="112"/>
        <v/>
      </c>
      <c r="K1451" s="141" t="str">
        <f t="shared" si="113"/>
        <v/>
      </c>
      <c r="L1451" s="141" t="str">
        <f t="shared" si="114"/>
        <v/>
      </c>
    </row>
    <row r="1452" spans="1:12" x14ac:dyDescent="0.3">
      <c r="A1452" s="2" t="str">
        <f xml:space="preserve"> IF( 'From SvanPC++'!A1452= "", "", ('From SvanPC++'!A1452))</f>
        <v/>
      </c>
      <c r="C1452" s="6" t="s">
        <v>10</v>
      </c>
      <c r="G1452" s="38" t="str">
        <f t="shared" si="110"/>
        <v/>
      </c>
      <c r="H1452" s="141" t="str">
        <f t="shared" si="111"/>
        <v/>
      </c>
      <c r="J1452" s="141" t="str">
        <f t="shared" si="112"/>
        <v/>
      </c>
      <c r="K1452" s="141" t="str">
        <f t="shared" si="113"/>
        <v/>
      </c>
      <c r="L1452" s="141" t="str">
        <f t="shared" si="114"/>
        <v/>
      </c>
    </row>
    <row r="1453" spans="1:12" x14ac:dyDescent="0.3">
      <c r="A1453" s="2" t="str">
        <f xml:space="preserve"> IF( 'From SvanPC++'!A1453= "", "", ('From SvanPC++'!A1453))</f>
        <v/>
      </c>
      <c r="C1453" s="6" t="s">
        <v>10</v>
      </c>
      <c r="G1453" s="38" t="str">
        <f t="shared" si="110"/>
        <v/>
      </c>
      <c r="H1453" s="141" t="str">
        <f t="shared" si="111"/>
        <v/>
      </c>
      <c r="J1453" s="141" t="str">
        <f t="shared" si="112"/>
        <v/>
      </c>
      <c r="K1453" s="141" t="str">
        <f t="shared" si="113"/>
        <v/>
      </c>
      <c r="L1453" s="141" t="str">
        <f t="shared" si="114"/>
        <v/>
      </c>
    </row>
    <row r="1454" spans="1:12" x14ac:dyDescent="0.3">
      <c r="A1454" s="2" t="str">
        <f xml:space="preserve"> IF( 'From SvanPC++'!A1454= "", "", ('From SvanPC++'!A1454))</f>
        <v/>
      </c>
      <c r="C1454" s="6" t="s">
        <v>10</v>
      </c>
      <c r="G1454" s="38" t="str">
        <f t="shared" si="110"/>
        <v/>
      </c>
      <c r="H1454" s="141" t="str">
        <f t="shared" si="111"/>
        <v/>
      </c>
      <c r="J1454" s="141" t="str">
        <f t="shared" si="112"/>
        <v/>
      </c>
      <c r="K1454" s="141" t="str">
        <f t="shared" si="113"/>
        <v/>
      </c>
      <c r="L1454" s="141" t="str">
        <f t="shared" si="114"/>
        <v/>
      </c>
    </row>
    <row r="1455" spans="1:12" x14ac:dyDescent="0.3">
      <c r="A1455" s="2" t="str">
        <f xml:space="preserve"> IF( 'From SvanPC++'!A1455= "", "", ('From SvanPC++'!A1455))</f>
        <v/>
      </c>
      <c r="C1455" s="6" t="s">
        <v>10</v>
      </c>
      <c r="G1455" s="38" t="str">
        <f t="shared" si="110"/>
        <v/>
      </c>
      <c r="H1455" s="141" t="str">
        <f t="shared" si="111"/>
        <v/>
      </c>
      <c r="J1455" s="141" t="str">
        <f t="shared" si="112"/>
        <v/>
      </c>
      <c r="K1455" s="141" t="str">
        <f t="shared" si="113"/>
        <v/>
      </c>
      <c r="L1455" s="141" t="str">
        <f t="shared" si="114"/>
        <v/>
      </c>
    </row>
    <row r="1456" spans="1:12" x14ac:dyDescent="0.3">
      <c r="A1456" s="2" t="str">
        <f xml:space="preserve"> IF( 'From SvanPC++'!A1456= "", "", ('From SvanPC++'!A1456))</f>
        <v/>
      </c>
      <c r="C1456" s="6" t="s">
        <v>10</v>
      </c>
      <c r="G1456" s="38" t="str">
        <f t="shared" si="110"/>
        <v/>
      </c>
      <c r="H1456" s="141" t="str">
        <f t="shared" si="111"/>
        <v/>
      </c>
      <c r="J1456" s="141" t="str">
        <f t="shared" si="112"/>
        <v/>
      </c>
      <c r="K1456" s="141" t="str">
        <f t="shared" si="113"/>
        <v/>
      </c>
      <c r="L1456" s="141" t="str">
        <f t="shared" si="114"/>
        <v/>
      </c>
    </row>
    <row r="1457" spans="1:12" x14ac:dyDescent="0.3">
      <c r="A1457" s="2" t="str">
        <f xml:space="preserve"> IF( 'From SvanPC++'!A1457= "", "", ('From SvanPC++'!A1457))</f>
        <v/>
      </c>
      <c r="C1457" s="6" t="s">
        <v>10</v>
      </c>
      <c r="G1457" s="38" t="str">
        <f t="shared" si="110"/>
        <v/>
      </c>
      <c r="H1457" s="141" t="str">
        <f t="shared" si="111"/>
        <v/>
      </c>
      <c r="J1457" s="141" t="str">
        <f t="shared" si="112"/>
        <v/>
      </c>
      <c r="K1457" s="141" t="str">
        <f t="shared" si="113"/>
        <v/>
      </c>
      <c r="L1457" s="141" t="str">
        <f t="shared" si="114"/>
        <v/>
      </c>
    </row>
    <row r="1458" spans="1:12" x14ac:dyDescent="0.3">
      <c r="A1458" s="2" t="str">
        <f xml:space="preserve"> IF( 'From SvanPC++'!A1458= "", "", ('From SvanPC++'!A1458))</f>
        <v/>
      </c>
      <c r="C1458" s="6" t="s">
        <v>10</v>
      </c>
      <c r="G1458" s="38" t="str">
        <f t="shared" si="110"/>
        <v/>
      </c>
      <c r="H1458" s="141" t="str">
        <f t="shared" si="111"/>
        <v/>
      </c>
      <c r="J1458" s="141" t="str">
        <f t="shared" si="112"/>
        <v/>
      </c>
      <c r="K1458" s="141" t="str">
        <f t="shared" si="113"/>
        <v/>
      </c>
      <c r="L1458" s="141" t="str">
        <f t="shared" si="114"/>
        <v/>
      </c>
    </row>
    <row r="1459" spans="1:12" x14ac:dyDescent="0.3">
      <c r="A1459" s="2" t="str">
        <f xml:space="preserve"> IF( 'From SvanPC++'!A1459= "", "", ('From SvanPC++'!A1459))</f>
        <v/>
      </c>
      <c r="C1459" s="6" t="s">
        <v>10</v>
      </c>
      <c r="G1459" s="38" t="str">
        <f t="shared" si="110"/>
        <v/>
      </c>
      <c r="H1459" s="141" t="str">
        <f t="shared" si="111"/>
        <v/>
      </c>
      <c r="J1459" s="141" t="str">
        <f t="shared" si="112"/>
        <v/>
      </c>
      <c r="K1459" s="141" t="str">
        <f t="shared" si="113"/>
        <v/>
      </c>
      <c r="L1459" s="141" t="str">
        <f t="shared" si="114"/>
        <v/>
      </c>
    </row>
    <row r="1460" spans="1:12" x14ac:dyDescent="0.3">
      <c r="A1460" s="2" t="str">
        <f xml:space="preserve"> IF( 'From SvanPC++'!A1460= "", "", ('From SvanPC++'!A1460))</f>
        <v/>
      </c>
      <c r="C1460" s="6" t="s">
        <v>10</v>
      </c>
      <c r="G1460" s="38" t="str">
        <f t="shared" si="110"/>
        <v/>
      </c>
      <c r="H1460" s="141" t="str">
        <f t="shared" si="111"/>
        <v/>
      </c>
      <c r="J1460" s="141" t="str">
        <f t="shared" si="112"/>
        <v/>
      </c>
      <c r="K1460" s="141" t="str">
        <f t="shared" si="113"/>
        <v/>
      </c>
      <c r="L1460" s="141" t="str">
        <f t="shared" si="114"/>
        <v/>
      </c>
    </row>
    <row r="1461" spans="1:12" x14ac:dyDescent="0.3">
      <c r="A1461" s="2" t="str">
        <f xml:space="preserve"> IF( 'From SvanPC++'!A1461= "", "", ('From SvanPC++'!A1461))</f>
        <v/>
      </c>
      <c r="C1461" s="6" t="s">
        <v>10</v>
      </c>
      <c r="G1461" s="38" t="str">
        <f t="shared" si="110"/>
        <v/>
      </c>
      <c r="H1461" s="141" t="str">
        <f t="shared" si="111"/>
        <v/>
      </c>
      <c r="J1461" s="141" t="str">
        <f t="shared" si="112"/>
        <v/>
      </c>
      <c r="K1461" s="141" t="str">
        <f t="shared" si="113"/>
        <v/>
      </c>
      <c r="L1461" s="141" t="str">
        <f t="shared" si="114"/>
        <v/>
      </c>
    </row>
    <row r="1462" spans="1:12" x14ac:dyDescent="0.3">
      <c r="A1462" s="2" t="str">
        <f xml:space="preserve"> IF( 'From SvanPC++'!A1462= "", "", ('From SvanPC++'!A1462))</f>
        <v/>
      </c>
      <c r="C1462" s="6" t="s">
        <v>10</v>
      </c>
      <c r="G1462" s="38" t="str">
        <f t="shared" si="110"/>
        <v/>
      </c>
      <c r="H1462" s="141" t="str">
        <f t="shared" si="111"/>
        <v/>
      </c>
      <c r="J1462" s="141" t="str">
        <f t="shared" si="112"/>
        <v/>
      </c>
      <c r="K1462" s="141" t="str">
        <f t="shared" si="113"/>
        <v/>
      </c>
      <c r="L1462" s="141" t="str">
        <f t="shared" si="114"/>
        <v/>
      </c>
    </row>
    <row r="1463" spans="1:12" x14ac:dyDescent="0.3">
      <c r="A1463" s="2" t="str">
        <f xml:space="preserve"> IF( 'From SvanPC++'!A1463= "", "", ('From SvanPC++'!A1463))</f>
        <v/>
      </c>
      <c r="C1463" s="6" t="s">
        <v>10</v>
      </c>
      <c r="G1463" s="38" t="str">
        <f t="shared" si="110"/>
        <v/>
      </c>
      <c r="H1463" s="141" t="str">
        <f t="shared" si="111"/>
        <v/>
      </c>
      <c r="J1463" s="141" t="str">
        <f t="shared" si="112"/>
        <v/>
      </c>
      <c r="K1463" s="141" t="str">
        <f t="shared" si="113"/>
        <v/>
      </c>
      <c r="L1463" s="141" t="str">
        <f t="shared" si="114"/>
        <v/>
      </c>
    </row>
    <row r="1464" spans="1:12" x14ac:dyDescent="0.3">
      <c r="A1464" s="2" t="str">
        <f xml:space="preserve"> IF( 'From SvanPC++'!A1464= "", "", ('From SvanPC++'!A1464))</f>
        <v/>
      </c>
      <c r="C1464" s="6" t="s">
        <v>10</v>
      </c>
      <c r="G1464" s="38" t="str">
        <f t="shared" si="110"/>
        <v/>
      </c>
      <c r="H1464" s="141" t="str">
        <f t="shared" si="111"/>
        <v/>
      </c>
      <c r="J1464" s="141" t="str">
        <f t="shared" si="112"/>
        <v/>
      </c>
      <c r="K1464" s="141" t="str">
        <f t="shared" si="113"/>
        <v/>
      </c>
      <c r="L1464" s="141" t="str">
        <f t="shared" si="114"/>
        <v/>
      </c>
    </row>
    <row r="1465" spans="1:12" x14ac:dyDescent="0.3">
      <c r="A1465" s="2" t="str">
        <f xml:space="preserve"> IF( 'From SvanPC++'!A1465= "", "", ('From SvanPC++'!A1465))</f>
        <v/>
      </c>
      <c r="C1465" s="6" t="s">
        <v>10</v>
      </c>
      <c r="G1465" s="38" t="str">
        <f t="shared" si="110"/>
        <v/>
      </c>
      <c r="H1465" s="141" t="str">
        <f t="shared" si="111"/>
        <v/>
      </c>
      <c r="J1465" s="141" t="str">
        <f t="shared" si="112"/>
        <v/>
      </c>
      <c r="K1465" s="141" t="str">
        <f t="shared" si="113"/>
        <v/>
      </c>
      <c r="L1465" s="141" t="str">
        <f t="shared" si="114"/>
        <v/>
      </c>
    </row>
    <row r="1466" spans="1:12" x14ac:dyDescent="0.3">
      <c r="A1466" s="2" t="str">
        <f xml:space="preserve"> IF( 'From SvanPC++'!A1466= "", "", ('From SvanPC++'!A1466))</f>
        <v/>
      </c>
      <c r="C1466" s="6" t="s">
        <v>10</v>
      </c>
      <c r="G1466" s="38" t="str">
        <f t="shared" si="110"/>
        <v/>
      </c>
      <c r="H1466" s="141" t="str">
        <f t="shared" si="111"/>
        <v/>
      </c>
      <c r="J1466" s="141" t="str">
        <f t="shared" si="112"/>
        <v/>
      </c>
      <c r="K1466" s="141" t="str">
        <f t="shared" si="113"/>
        <v/>
      </c>
      <c r="L1466" s="141" t="str">
        <f t="shared" si="114"/>
        <v/>
      </c>
    </row>
    <row r="1467" spans="1:12" x14ac:dyDescent="0.3">
      <c r="A1467" s="2" t="str">
        <f xml:space="preserve"> IF( 'From SvanPC++'!A1467= "", "", ('From SvanPC++'!A1467))</f>
        <v/>
      </c>
      <c r="C1467" s="6" t="s">
        <v>10</v>
      </c>
      <c r="G1467" s="38" t="str">
        <f t="shared" si="110"/>
        <v/>
      </c>
      <c r="H1467" s="141" t="str">
        <f t="shared" si="111"/>
        <v/>
      </c>
      <c r="J1467" s="141" t="str">
        <f t="shared" si="112"/>
        <v/>
      </c>
      <c r="K1467" s="141" t="str">
        <f t="shared" si="113"/>
        <v/>
      </c>
      <c r="L1467" s="141" t="str">
        <f t="shared" si="114"/>
        <v/>
      </c>
    </row>
    <row r="1468" spans="1:12" x14ac:dyDescent="0.3">
      <c r="A1468" s="2" t="str">
        <f xml:space="preserve"> IF( 'From SvanPC++'!A1468= "", "", ('From SvanPC++'!A1468))</f>
        <v/>
      </c>
      <c r="C1468" s="6" t="s">
        <v>10</v>
      </c>
      <c r="G1468" s="38" t="str">
        <f t="shared" si="110"/>
        <v/>
      </c>
      <c r="H1468" s="141" t="str">
        <f t="shared" si="111"/>
        <v/>
      </c>
      <c r="J1468" s="141" t="str">
        <f t="shared" si="112"/>
        <v/>
      </c>
      <c r="K1468" s="141" t="str">
        <f t="shared" si="113"/>
        <v/>
      </c>
      <c r="L1468" s="141" t="str">
        <f t="shared" si="114"/>
        <v/>
      </c>
    </row>
    <row r="1469" spans="1:12" x14ac:dyDescent="0.3">
      <c r="A1469" s="2" t="str">
        <f xml:space="preserve"> IF( 'From SvanPC++'!A1469= "", "", ('From SvanPC++'!A1469))</f>
        <v/>
      </c>
      <c r="C1469" s="6" t="s">
        <v>10</v>
      </c>
      <c r="G1469" s="38" t="str">
        <f t="shared" si="110"/>
        <v/>
      </c>
      <c r="H1469" s="141" t="str">
        <f t="shared" si="111"/>
        <v/>
      </c>
      <c r="J1469" s="141" t="str">
        <f t="shared" si="112"/>
        <v/>
      </c>
      <c r="K1469" s="141" t="str">
        <f t="shared" si="113"/>
        <v/>
      </c>
      <c r="L1469" s="141" t="str">
        <f t="shared" si="114"/>
        <v/>
      </c>
    </row>
    <row r="1470" spans="1:12" x14ac:dyDescent="0.3">
      <c r="A1470" s="2" t="str">
        <f xml:space="preserve"> IF( 'From SvanPC++'!A1470= "", "", ('From SvanPC++'!A1470))</f>
        <v/>
      </c>
      <c r="C1470" s="6" t="s">
        <v>10</v>
      </c>
      <c r="G1470" s="38" t="str">
        <f t="shared" si="110"/>
        <v/>
      </c>
      <c r="H1470" s="141" t="str">
        <f t="shared" si="111"/>
        <v/>
      </c>
      <c r="J1470" s="141" t="str">
        <f t="shared" si="112"/>
        <v/>
      </c>
      <c r="K1470" s="141" t="str">
        <f t="shared" si="113"/>
        <v/>
      </c>
      <c r="L1470" s="141" t="str">
        <f t="shared" si="114"/>
        <v/>
      </c>
    </row>
    <row r="1471" spans="1:12" x14ac:dyDescent="0.3">
      <c r="A1471" s="2" t="str">
        <f xml:space="preserve"> IF( 'From SvanPC++'!A1471= "", "", ('From SvanPC++'!A1471))</f>
        <v/>
      </c>
      <c r="C1471" s="6" t="s">
        <v>10</v>
      </c>
      <c r="G1471" s="38" t="str">
        <f t="shared" si="110"/>
        <v/>
      </c>
      <c r="H1471" s="141" t="str">
        <f t="shared" si="111"/>
        <v/>
      </c>
      <c r="J1471" s="141" t="str">
        <f t="shared" si="112"/>
        <v/>
      </c>
      <c r="K1471" s="141" t="str">
        <f t="shared" si="113"/>
        <v/>
      </c>
      <c r="L1471" s="141" t="str">
        <f t="shared" si="114"/>
        <v/>
      </c>
    </row>
    <row r="1472" spans="1:12" x14ac:dyDescent="0.3">
      <c r="A1472" s="2" t="str">
        <f xml:space="preserve"> IF( 'From SvanPC++'!A1472= "", "", ('From SvanPC++'!A1472))</f>
        <v/>
      </c>
      <c r="C1472" s="6" t="s">
        <v>10</v>
      </c>
      <c r="G1472" s="38" t="str">
        <f t="shared" si="110"/>
        <v/>
      </c>
      <c r="H1472" s="141" t="str">
        <f t="shared" si="111"/>
        <v/>
      </c>
      <c r="J1472" s="141" t="str">
        <f t="shared" si="112"/>
        <v/>
      </c>
      <c r="K1472" s="141" t="str">
        <f t="shared" si="113"/>
        <v/>
      </c>
      <c r="L1472" s="141" t="str">
        <f t="shared" si="114"/>
        <v/>
      </c>
    </row>
    <row r="1473" spans="1:12" x14ac:dyDescent="0.3">
      <c r="A1473" s="2" t="str">
        <f xml:space="preserve"> IF( 'From SvanPC++'!A1473= "", "", ('From SvanPC++'!A1473))</f>
        <v/>
      </c>
      <c r="C1473" s="6" t="s">
        <v>10</v>
      </c>
      <c r="G1473" s="38" t="str">
        <f t="shared" si="110"/>
        <v/>
      </c>
      <c r="H1473" s="141" t="str">
        <f t="shared" si="111"/>
        <v/>
      </c>
      <c r="J1473" s="141" t="str">
        <f t="shared" si="112"/>
        <v/>
      </c>
      <c r="K1473" s="141" t="str">
        <f t="shared" si="113"/>
        <v/>
      </c>
      <c r="L1473" s="141" t="str">
        <f t="shared" si="114"/>
        <v/>
      </c>
    </row>
    <row r="1474" spans="1:12" x14ac:dyDescent="0.3">
      <c r="A1474" s="2" t="str">
        <f xml:space="preserve"> IF( 'From SvanPC++'!A1474= "", "", ('From SvanPC++'!A1474))</f>
        <v/>
      </c>
      <c r="C1474" s="6" t="s">
        <v>10</v>
      </c>
      <c r="G1474" s="38" t="str">
        <f t="shared" si="110"/>
        <v/>
      </c>
      <c r="H1474" s="141" t="str">
        <f t="shared" si="111"/>
        <v/>
      </c>
      <c r="J1474" s="141" t="str">
        <f t="shared" si="112"/>
        <v/>
      </c>
      <c r="K1474" s="141" t="str">
        <f t="shared" si="113"/>
        <v/>
      </c>
      <c r="L1474" s="141" t="str">
        <f t="shared" si="114"/>
        <v/>
      </c>
    </row>
    <row r="1475" spans="1:12" x14ac:dyDescent="0.3">
      <c r="A1475" s="2" t="str">
        <f xml:space="preserve"> IF( 'From SvanPC++'!A1475= "", "", ('From SvanPC++'!A1475))</f>
        <v/>
      </c>
      <c r="C1475" s="6" t="s">
        <v>10</v>
      </c>
      <c r="G1475" s="38" t="str">
        <f t="shared" si="110"/>
        <v/>
      </c>
      <c r="H1475" s="141" t="str">
        <f t="shared" si="111"/>
        <v/>
      </c>
      <c r="J1475" s="141" t="str">
        <f t="shared" si="112"/>
        <v/>
      </c>
      <c r="K1475" s="141" t="str">
        <f t="shared" si="113"/>
        <v/>
      </c>
      <c r="L1475" s="141" t="str">
        <f t="shared" si="114"/>
        <v/>
      </c>
    </row>
    <row r="1476" spans="1:12" x14ac:dyDescent="0.3">
      <c r="A1476" s="2" t="str">
        <f xml:space="preserve"> IF( 'From SvanPC++'!A1476= "", "", ('From SvanPC++'!A1476))</f>
        <v/>
      </c>
      <c r="C1476" s="6" t="s">
        <v>10</v>
      </c>
      <c r="G1476" s="38" t="str">
        <f t="shared" si="110"/>
        <v/>
      </c>
      <c r="H1476" s="141" t="str">
        <f t="shared" si="111"/>
        <v/>
      </c>
      <c r="J1476" s="141" t="str">
        <f t="shared" si="112"/>
        <v/>
      </c>
      <c r="K1476" s="141" t="str">
        <f t="shared" si="113"/>
        <v/>
      </c>
      <c r="L1476" s="141" t="str">
        <f t="shared" si="114"/>
        <v/>
      </c>
    </row>
    <row r="1477" spans="1:12" x14ac:dyDescent="0.3">
      <c r="A1477" s="2" t="str">
        <f xml:space="preserve"> IF( 'From SvanPC++'!A1477= "", "", ('From SvanPC++'!A1477))</f>
        <v/>
      </c>
      <c r="C1477" s="6" t="s">
        <v>10</v>
      </c>
      <c r="G1477" s="38" t="str">
        <f t="shared" si="110"/>
        <v/>
      </c>
      <c r="H1477" s="141" t="str">
        <f t="shared" si="111"/>
        <v/>
      </c>
      <c r="J1477" s="141" t="str">
        <f t="shared" si="112"/>
        <v/>
      </c>
      <c r="K1477" s="141" t="str">
        <f t="shared" si="113"/>
        <v/>
      </c>
      <c r="L1477" s="141" t="str">
        <f t="shared" si="114"/>
        <v/>
      </c>
    </row>
    <row r="1478" spans="1:12" x14ac:dyDescent="0.3">
      <c r="A1478" s="2" t="str">
        <f xml:space="preserve"> IF( 'From SvanPC++'!A1478= "", "", ('From SvanPC++'!A1478))</f>
        <v/>
      </c>
      <c r="C1478" s="6" t="s">
        <v>10</v>
      </c>
      <c r="G1478" s="38" t="str">
        <f t="shared" si="110"/>
        <v/>
      </c>
      <c r="H1478" s="141" t="str">
        <f t="shared" si="111"/>
        <v/>
      </c>
      <c r="J1478" s="141" t="str">
        <f t="shared" si="112"/>
        <v/>
      </c>
      <c r="K1478" s="141" t="str">
        <f t="shared" si="113"/>
        <v/>
      </c>
      <c r="L1478" s="141" t="str">
        <f t="shared" si="114"/>
        <v/>
      </c>
    </row>
    <row r="1479" spans="1:12" x14ac:dyDescent="0.3">
      <c r="A1479" s="2" t="str">
        <f xml:space="preserve"> IF( 'From SvanPC++'!A1479= "", "", ('From SvanPC++'!A1479))</f>
        <v/>
      </c>
      <c r="C1479" s="6" t="s">
        <v>10</v>
      </c>
      <c r="G1479" s="38" t="str">
        <f t="shared" ref="G1479:G1500" si="115" xml:space="preserve"> IF( D1479= "", "", ( IF( AND( D1479 &gt;= TIMEVALUE( "07:00:01" ), D1479 &lt; TIMEVALUE( "08:00:01" ) ) = TRUE, (G1478+1), (G1478+0) )))</f>
        <v/>
      </c>
      <c r="H1479" s="141" t="str">
        <f t="shared" ref="H1479:H1500" si="116" xml:space="preserve"> IF( D1479= "", "", (
IF( AND( D1479 &gt;= TIMEVALUE( "07:00:01" ), D1479 &lt;= TIMEVALUE( "18:00:00" ), WEEKDAY( C1479,1+N("            Weekday Day Period              ")) &gt;=2, ( WEEKDAY( C1479,1) &lt;=6) ) = TRUE, "Day",
IF( AND( D1479 &gt;= TIMEVALUE( "18:00:01" ), D1479 &lt;= TIMEVALUE( "22:00:00" ), WEEKDAY( C1479,1+N("            Weekday Evening Period          ")) &gt;=2, ( WEEKDAY( C1479,1) &lt;=6) ) = TRUE, "Evening",
IF( AND( D1479 &gt;= TIMEVALUE( "22:00:01" ), D1479 &lt;= TIMEVALUE( "23:59:59" ), WEEKDAY( C1479,1+N("            Weekday Night Period            ")) &gt;=2, ( WEEKDAY( C1479,1) &lt;=6) ) = TRUE, "Night",
IF( AND( D1479 &gt;= TIMEVALUE( "00:00:00" ), D1479 &lt;= TIMEVALUE( "07:00:00" ), WEEKDAY( C1479,1+N("            Weekday Night Period            ")) &gt;=2, ( WEEKDAY( C1479,1) &lt;=6) ) = TRUE, "Night",
IF( AND( D1479 &gt;= TIMEVALUE( "07:00:01" ), D1479 &lt;= TIMEVALUE( "18:00:00" ), WEEKDAY( C1479) =(7+N("         Saturday Day Period             ")) ) = TRUE, "Day",
IF( AND( D1479 &gt;= TIMEVALUE( "18:00:01" ), D1479 &lt;= TIMEVALUE( "22:00:00" ), WEEKDAY( C1479) =(7+N("         Saturday Evening Period         ")) ) = TRUE, "Evening",
IF( AND( D1479 &gt;= TIMEVALUE( "22:00:01" ), D1479 &lt;= TIMEVALUE( "23:59:59" ), WEEKDAY( C1479) =(7+N("         Saturday Night Period           ")) ) = TRUE, "Night",
IF( AND( D1479 &gt;= TIMEVALUE( "00:00:00" ), D1479 &lt;= TIMEVALUE( "07:00:00" ), WEEKDAY( C1479) =(7+N("         Saturday Night Period           ")) ) = TRUE, "Night",
IF( AND( D1479 &gt;= TIMEVALUE( "07:00:01" ), D1479 &lt;= TIMEVALUE( "22:00:00" ), WEEKDAY( C1479) =(1+N("         Sunday Evening Period           ")) ) = TRUE, "Evening",
IF( AND( D1479 &gt;= TIMEVALUE( "20:00:01" ), D1479 &lt;= TIMEVALUE( "23:59:59" ), WEEKDAY( C1479) =(1+N("         Sunday Night Period             ")) ) = TRUE, "Night",
IF( AND( D1479 &gt;= TIMEVALUE( "00:00:00" ), D1479 &lt;= TIMEVALUE( "07:00:00" ), WEEKDAY( C1479) =(1+N("         Sunday Night Period             ")) ) = TRUE, "Night",
)))))))))))))</f>
        <v/>
      </c>
      <c r="J1479" s="141" t="str">
        <f t="shared" si="112"/>
        <v/>
      </c>
      <c r="K1479" s="141" t="str">
        <f t="shared" si="113"/>
        <v/>
      </c>
      <c r="L1479" s="141" t="str">
        <f t="shared" si="114"/>
        <v/>
      </c>
    </row>
    <row r="1480" spans="1:12" x14ac:dyDescent="0.3">
      <c r="A1480" s="2" t="str">
        <f xml:space="preserve"> IF( 'From SvanPC++'!A1480= "", "", ('From SvanPC++'!A1480))</f>
        <v/>
      </c>
      <c r="C1480" s="6" t="s">
        <v>10</v>
      </c>
      <c r="G1480" s="38" t="str">
        <f t="shared" si="115"/>
        <v/>
      </c>
      <c r="H1480" s="141" t="str">
        <f t="shared" si="116"/>
        <v/>
      </c>
      <c r="J1480" s="141" t="str">
        <f t="shared" ref="J1480:J1500" si="117" xml:space="preserve"> IF( ISERROR( IF( D1480= "", "", ( IF( G1480= (G1479+1), ( AVERAGEIFS( E1480:E1624, G1480:G1624, G1480, H1480:H1624, "Day" )), "" )))), "",( IF( D1480= "", "", ( IF( G1480= (G1479+1), ( AVERAGEIFS( E1480:E1624, G1480:G1624, G1480, H1480:H1624, "Day" )), "" )))))</f>
        <v/>
      </c>
      <c r="K1480" s="141" t="str">
        <f t="shared" ref="K1480:K1500" si="118" xml:space="preserve"> IF( ISERROR( IF( D1480= "", "", ( IF( G1480= (G1479+1), ( AVERAGEIFS( E1480:E1624, G1480:G1624, G1480, H1480:H1624, "Evening" )), "" )))), "",( IF( D1480= "", "", ( IF( G1480= (G1479+1), ( AVERAGEIFS( E1480:E1624, G1480:G1624, G1480, H1480:H1624, "Evening" )), "" )))))</f>
        <v/>
      </c>
      <c r="L1480" s="141" t="str">
        <f t="shared" ref="L1480:L1500" si="119" xml:space="preserve"> IF( ISERROR( IF( D1480= "", "", ( IF( G1480= (G1479+1), ( AVERAGEIFS( E1480:E1624, G1480:G1624, G1480, H1480:H1624, "Night" )), "" )))), "",( IF( D1480= "", "", ( IF( G1480= (G1479+1), ( AVERAGEIFS( E1480:E1624, G1480:G1624, G1480, H1480:H1624, "Night" )), "" )))))</f>
        <v/>
      </c>
    </row>
    <row r="1481" spans="1:12" x14ac:dyDescent="0.3">
      <c r="A1481" s="2" t="str">
        <f xml:space="preserve"> IF( 'From SvanPC++'!A1481= "", "", ('From SvanPC++'!A1481))</f>
        <v/>
      </c>
      <c r="C1481" s="6" t="s">
        <v>10</v>
      </c>
      <c r="G1481" s="38" t="str">
        <f t="shared" si="115"/>
        <v/>
      </c>
      <c r="H1481" s="141" t="str">
        <f t="shared" si="116"/>
        <v/>
      </c>
      <c r="J1481" s="141" t="str">
        <f t="shared" si="117"/>
        <v/>
      </c>
      <c r="K1481" s="141" t="str">
        <f t="shared" si="118"/>
        <v/>
      </c>
      <c r="L1481" s="141" t="str">
        <f t="shared" si="119"/>
        <v/>
      </c>
    </row>
    <row r="1482" spans="1:12" x14ac:dyDescent="0.3">
      <c r="A1482" s="2" t="str">
        <f xml:space="preserve"> IF( 'From SvanPC++'!A1482= "", "", ('From SvanPC++'!A1482))</f>
        <v/>
      </c>
      <c r="C1482" s="6" t="s">
        <v>10</v>
      </c>
      <c r="G1482" s="38" t="str">
        <f t="shared" si="115"/>
        <v/>
      </c>
      <c r="H1482" s="141" t="str">
        <f t="shared" si="116"/>
        <v/>
      </c>
      <c r="J1482" s="141" t="str">
        <f t="shared" si="117"/>
        <v/>
      </c>
      <c r="K1482" s="141" t="str">
        <f t="shared" si="118"/>
        <v/>
      </c>
      <c r="L1482" s="141" t="str">
        <f t="shared" si="119"/>
        <v/>
      </c>
    </row>
    <row r="1483" spans="1:12" x14ac:dyDescent="0.3">
      <c r="A1483" s="2" t="str">
        <f xml:space="preserve"> IF( 'From SvanPC++'!A1483= "", "", ('From SvanPC++'!A1483))</f>
        <v/>
      </c>
      <c r="C1483" s="6" t="s">
        <v>10</v>
      </c>
      <c r="G1483" s="38" t="str">
        <f t="shared" si="115"/>
        <v/>
      </c>
      <c r="H1483" s="141" t="str">
        <f t="shared" si="116"/>
        <v/>
      </c>
      <c r="J1483" s="141" t="str">
        <f t="shared" si="117"/>
        <v/>
      </c>
      <c r="K1483" s="141" t="str">
        <f t="shared" si="118"/>
        <v/>
      </c>
      <c r="L1483" s="141" t="str">
        <f t="shared" si="119"/>
        <v/>
      </c>
    </row>
    <row r="1484" spans="1:12" x14ac:dyDescent="0.3">
      <c r="A1484" s="2" t="str">
        <f xml:space="preserve"> IF( 'From SvanPC++'!A1484= "", "", ('From SvanPC++'!A1484))</f>
        <v/>
      </c>
      <c r="C1484" s="6" t="s">
        <v>10</v>
      </c>
      <c r="G1484" s="38" t="str">
        <f t="shared" si="115"/>
        <v/>
      </c>
      <c r="H1484" s="141" t="str">
        <f t="shared" si="116"/>
        <v/>
      </c>
      <c r="J1484" s="141" t="str">
        <f t="shared" si="117"/>
        <v/>
      </c>
      <c r="K1484" s="141" t="str">
        <f t="shared" si="118"/>
        <v/>
      </c>
      <c r="L1484" s="141" t="str">
        <f t="shared" si="119"/>
        <v/>
      </c>
    </row>
    <row r="1485" spans="1:12" x14ac:dyDescent="0.3">
      <c r="A1485" s="2" t="str">
        <f xml:space="preserve"> IF( 'From SvanPC++'!A1485= "", "", ('From SvanPC++'!A1485))</f>
        <v/>
      </c>
      <c r="C1485" s="6" t="s">
        <v>10</v>
      </c>
      <c r="G1485" s="38" t="str">
        <f t="shared" si="115"/>
        <v/>
      </c>
      <c r="H1485" s="141" t="str">
        <f t="shared" si="116"/>
        <v/>
      </c>
      <c r="J1485" s="141" t="str">
        <f t="shared" si="117"/>
        <v/>
      </c>
      <c r="K1485" s="141" t="str">
        <f t="shared" si="118"/>
        <v/>
      </c>
      <c r="L1485" s="141" t="str">
        <f t="shared" si="119"/>
        <v/>
      </c>
    </row>
    <row r="1486" spans="1:12" x14ac:dyDescent="0.3">
      <c r="A1486" s="2" t="str">
        <f xml:space="preserve"> IF( 'From SvanPC++'!A1486= "", "", ('From SvanPC++'!A1486))</f>
        <v/>
      </c>
      <c r="C1486" s="6" t="s">
        <v>10</v>
      </c>
      <c r="G1486" s="38" t="str">
        <f t="shared" si="115"/>
        <v/>
      </c>
      <c r="H1486" s="141" t="str">
        <f t="shared" si="116"/>
        <v/>
      </c>
      <c r="J1486" s="141" t="str">
        <f t="shared" si="117"/>
        <v/>
      </c>
      <c r="K1486" s="141" t="str">
        <f t="shared" si="118"/>
        <v/>
      </c>
      <c r="L1486" s="141" t="str">
        <f t="shared" si="119"/>
        <v/>
      </c>
    </row>
    <row r="1487" spans="1:12" x14ac:dyDescent="0.3">
      <c r="A1487" s="2" t="str">
        <f xml:space="preserve"> IF( 'From SvanPC++'!A1487= "", "", ('From SvanPC++'!A1487))</f>
        <v/>
      </c>
      <c r="C1487" s="6" t="s">
        <v>10</v>
      </c>
      <c r="G1487" s="38" t="str">
        <f t="shared" si="115"/>
        <v/>
      </c>
      <c r="H1487" s="141" t="str">
        <f t="shared" si="116"/>
        <v/>
      </c>
      <c r="J1487" s="141" t="str">
        <f t="shared" si="117"/>
        <v/>
      </c>
      <c r="K1487" s="141" t="str">
        <f t="shared" si="118"/>
        <v/>
      </c>
      <c r="L1487" s="141" t="str">
        <f t="shared" si="119"/>
        <v/>
      </c>
    </row>
    <row r="1488" spans="1:12" x14ac:dyDescent="0.3">
      <c r="A1488" s="2" t="str">
        <f xml:space="preserve"> IF( 'From SvanPC++'!A1488= "", "", ('From SvanPC++'!A1488))</f>
        <v/>
      </c>
      <c r="C1488" s="6" t="s">
        <v>10</v>
      </c>
      <c r="G1488" s="38" t="str">
        <f t="shared" si="115"/>
        <v/>
      </c>
      <c r="H1488" s="141" t="str">
        <f t="shared" si="116"/>
        <v/>
      </c>
      <c r="J1488" s="141" t="str">
        <f t="shared" si="117"/>
        <v/>
      </c>
      <c r="K1488" s="141" t="str">
        <f t="shared" si="118"/>
        <v/>
      </c>
      <c r="L1488" s="141" t="str">
        <f t="shared" si="119"/>
        <v/>
      </c>
    </row>
    <row r="1489" spans="1:12" x14ac:dyDescent="0.3">
      <c r="A1489" s="2" t="str">
        <f xml:space="preserve"> IF( 'From SvanPC++'!A1489= "", "", ('From SvanPC++'!A1489))</f>
        <v/>
      </c>
      <c r="C1489" s="6" t="s">
        <v>10</v>
      </c>
      <c r="G1489" s="38" t="str">
        <f t="shared" si="115"/>
        <v/>
      </c>
      <c r="H1489" s="141" t="str">
        <f t="shared" si="116"/>
        <v/>
      </c>
      <c r="J1489" s="141" t="str">
        <f t="shared" si="117"/>
        <v/>
      </c>
      <c r="K1489" s="141" t="str">
        <f t="shared" si="118"/>
        <v/>
      </c>
      <c r="L1489" s="141" t="str">
        <f t="shared" si="119"/>
        <v/>
      </c>
    </row>
    <row r="1490" spans="1:12" x14ac:dyDescent="0.3">
      <c r="A1490" s="2" t="str">
        <f xml:space="preserve"> IF( 'From SvanPC++'!A1490= "", "", ('From SvanPC++'!A1490))</f>
        <v/>
      </c>
      <c r="C1490" s="6" t="s">
        <v>10</v>
      </c>
      <c r="G1490" s="38" t="str">
        <f t="shared" si="115"/>
        <v/>
      </c>
      <c r="H1490" s="141" t="str">
        <f t="shared" si="116"/>
        <v/>
      </c>
      <c r="J1490" s="141" t="str">
        <f t="shared" si="117"/>
        <v/>
      </c>
      <c r="K1490" s="141" t="str">
        <f t="shared" si="118"/>
        <v/>
      </c>
      <c r="L1490" s="141" t="str">
        <f t="shared" si="119"/>
        <v/>
      </c>
    </row>
    <row r="1491" spans="1:12" x14ac:dyDescent="0.3">
      <c r="A1491" s="2" t="str">
        <f xml:space="preserve"> IF( 'From SvanPC++'!A1491= "", "", ('From SvanPC++'!A1491))</f>
        <v/>
      </c>
      <c r="C1491" s="6" t="s">
        <v>10</v>
      </c>
      <c r="G1491" s="38" t="str">
        <f t="shared" si="115"/>
        <v/>
      </c>
      <c r="H1491" s="141" t="str">
        <f t="shared" si="116"/>
        <v/>
      </c>
      <c r="J1491" s="141" t="str">
        <f t="shared" si="117"/>
        <v/>
      </c>
      <c r="K1491" s="141" t="str">
        <f t="shared" si="118"/>
        <v/>
      </c>
      <c r="L1491" s="141" t="str">
        <f t="shared" si="119"/>
        <v/>
      </c>
    </row>
    <row r="1492" spans="1:12" x14ac:dyDescent="0.3">
      <c r="A1492" s="2" t="str">
        <f xml:space="preserve"> IF( 'From SvanPC++'!A1492= "", "", ('From SvanPC++'!A1492))</f>
        <v/>
      </c>
      <c r="C1492" s="6" t="s">
        <v>10</v>
      </c>
      <c r="G1492" s="38" t="str">
        <f t="shared" si="115"/>
        <v/>
      </c>
      <c r="H1492" s="141" t="str">
        <f t="shared" si="116"/>
        <v/>
      </c>
      <c r="J1492" s="141" t="str">
        <f t="shared" si="117"/>
        <v/>
      </c>
      <c r="K1492" s="141" t="str">
        <f t="shared" si="118"/>
        <v/>
      </c>
      <c r="L1492" s="141" t="str">
        <f t="shared" si="119"/>
        <v/>
      </c>
    </row>
    <row r="1493" spans="1:12" x14ac:dyDescent="0.3">
      <c r="A1493" s="2" t="str">
        <f xml:space="preserve"> IF( 'From SvanPC++'!A1493= "", "", ('From SvanPC++'!A1493))</f>
        <v/>
      </c>
      <c r="C1493" s="6" t="s">
        <v>10</v>
      </c>
      <c r="G1493" s="38" t="str">
        <f t="shared" si="115"/>
        <v/>
      </c>
      <c r="H1493" s="141" t="str">
        <f t="shared" si="116"/>
        <v/>
      </c>
      <c r="J1493" s="141" t="str">
        <f t="shared" si="117"/>
        <v/>
      </c>
      <c r="K1493" s="141" t="str">
        <f t="shared" si="118"/>
        <v/>
      </c>
      <c r="L1493" s="141" t="str">
        <f t="shared" si="119"/>
        <v/>
      </c>
    </row>
    <row r="1494" spans="1:12" x14ac:dyDescent="0.3">
      <c r="A1494" s="2" t="str">
        <f xml:space="preserve"> IF( 'From SvanPC++'!A1494= "", "", ('From SvanPC++'!A1494))</f>
        <v/>
      </c>
      <c r="C1494" s="6" t="s">
        <v>10</v>
      </c>
      <c r="G1494" s="38" t="str">
        <f t="shared" si="115"/>
        <v/>
      </c>
      <c r="H1494" s="141" t="str">
        <f t="shared" si="116"/>
        <v/>
      </c>
      <c r="J1494" s="141" t="str">
        <f t="shared" si="117"/>
        <v/>
      </c>
      <c r="K1494" s="141" t="str">
        <f t="shared" si="118"/>
        <v/>
      </c>
      <c r="L1494" s="141" t="str">
        <f t="shared" si="119"/>
        <v/>
      </c>
    </row>
    <row r="1495" spans="1:12" x14ac:dyDescent="0.3">
      <c r="A1495" s="2" t="str">
        <f xml:space="preserve"> IF( 'From SvanPC++'!A1495= "", "", ('From SvanPC++'!A1495))</f>
        <v/>
      </c>
      <c r="C1495" s="6" t="s">
        <v>10</v>
      </c>
      <c r="G1495" s="38" t="str">
        <f t="shared" si="115"/>
        <v/>
      </c>
      <c r="H1495" s="141" t="str">
        <f t="shared" si="116"/>
        <v/>
      </c>
      <c r="J1495" s="141" t="str">
        <f t="shared" si="117"/>
        <v/>
      </c>
      <c r="K1495" s="141" t="str">
        <f t="shared" si="118"/>
        <v/>
      </c>
      <c r="L1495" s="141" t="str">
        <f t="shared" si="119"/>
        <v/>
      </c>
    </row>
    <row r="1496" spans="1:12" x14ac:dyDescent="0.3">
      <c r="A1496" s="2" t="str">
        <f xml:space="preserve"> IF( 'From SvanPC++'!A1496= "", "", ('From SvanPC++'!A1496))</f>
        <v/>
      </c>
      <c r="C1496" s="6" t="s">
        <v>10</v>
      </c>
      <c r="G1496" s="38" t="str">
        <f t="shared" si="115"/>
        <v/>
      </c>
      <c r="H1496" s="141" t="str">
        <f t="shared" si="116"/>
        <v/>
      </c>
      <c r="J1496" s="141" t="str">
        <f t="shared" si="117"/>
        <v/>
      </c>
      <c r="K1496" s="141" t="str">
        <f t="shared" si="118"/>
        <v/>
      </c>
      <c r="L1496" s="141" t="str">
        <f t="shared" si="119"/>
        <v/>
      </c>
    </row>
    <row r="1497" spans="1:12" x14ac:dyDescent="0.3">
      <c r="A1497" s="2" t="str">
        <f xml:space="preserve"> IF( 'From SvanPC++'!A1497= "", "", ('From SvanPC++'!A1497))</f>
        <v/>
      </c>
      <c r="C1497" s="6" t="s">
        <v>10</v>
      </c>
      <c r="G1497" s="38" t="str">
        <f t="shared" si="115"/>
        <v/>
      </c>
      <c r="H1497" s="141" t="str">
        <f t="shared" si="116"/>
        <v/>
      </c>
      <c r="J1497" s="141" t="str">
        <f t="shared" si="117"/>
        <v/>
      </c>
      <c r="K1497" s="141" t="str">
        <f t="shared" si="118"/>
        <v/>
      </c>
      <c r="L1497" s="141" t="str">
        <f t="shared" si="119"/>
        <v/>
      </c>
    </row>
    <row r="1498" spans="1:12" x14ac:dyDescent="0.3">
      <c r="A1498" s="2" t="str">
        <f xml:space="preserve"> IF( 'From SvanPC++'!A1498= "", "", ('From SvanPC++'!A1498))</f>
        <v/>
      </c>
      <c r="C1498" s="6" t="s">
        <v>10</v>
      </c>
      <c r="G1498" s="38" t="str">
        <f t="shared" si="115"/>
        <v/>
      </c>
      <c r="H1498" s="141" t="str">
        <f t="shared" si="116"/>
        <v/>
      </c>
      <c r="J1498" s="141" t="str">
        <f t="shared" si="117"/>
        <v/>
      </c>
      <c r="K1498" s="141" t="str">
        <f t="shared" si="118"/>
        <v/>
      </c>
      <c r="L1498" s="141" t="str">
        <f t="shared" si="119"/>
        <v/>
      </c>
    </row>
    <row r="1499" spans="1:12" x14ac:dyDescent="0.3">
      <c r="A1499" s="2" t="str">
        <f xml:space="preserve"> IF( 'From SvanPC++'!A1499= "", "", ('From SvanPC++'!A1499))</f>
        <v/>
      </c>
      <c r="C1499" s="6" t="s">
        <v>10</v>
      </c>
      <c r="G1499" s="38" t="str">
        <f t="shared" si="115"/>
        <v/>
      </c>
      <c r="H1499" s="141" t="str">
        <f t="shared" si="116"/>
        <v/>
      </c>
      <c r="J1499" s="141" t="str">
        <f t="shared" si="117"/>
        <v/>
      </c>
      <c r="K1499" s="141" t="str">
        <f t="shared" si="118"/>
        <v/>
      </c>
      <c r="L1499" s="141" t="str">
        <f t="shared" si="119"/>
        <v/>
      </c>
    </row>
    <row r="1500" spans="1:12" x14ac:dyDescent="0.3">
      <c r="A1500" s="2" t="str">
        <f xml:space="preserve"> IF( 'From SvanPC++'!A1500= "", "", ('From SvanPC++'!A1500))</f>
        <v/>
      </c>
      <c r="C1500" s="6" t="s">
        <v>10</v>
      </c>
      <c r="G1500" s="38" t="str">
        <f t="shared" si="115"/>
        <v/>
      </c>
      <c r="H1500" s="141" t="str">
        <f t="shared" si="116"/>
        <v/>
      </c>
      <c r="J1500" s="141" t="str">
        <f t="shared" si="117"/>
        <v/>
      </c>
      <c r="K1500" s="141" t="str">
        <f t="shared" si="118"/>
        <v/>
      </c>
      <c r="L1500" s="141" t="str">
        <f t="shared" si="119"/>
        <v/>
      </c>
    </row>
  </sheetData>
  <mergeCells count="3">
    <mergeCell ref="C4:D4"/>
    <mergeCell ref="G4:H4"/>
    <mergeCell ref="J4:L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CBCD-0311-4720-B11F-18EFBD30EAC3}">
  <sheetPr codeName="Sheet5">
    <tabColor rgb="FFFFC000"/>
  </sheetPr>
  <dimension ref="A1:T1510"/>
  <sheetViews>
    <sheetView zoomScaleNormal="100" workbookViewId="0">
      <pane ySplit="16" topLeftCell="A17" activePane="bottomLeft" state="frozen"/>
      <selection pane="bottomLeft" activeCell="A17" sqref="A17"/>
    </sheetView>
  </sheetViews>
  <sheetFormatPr defaultRowHeight="15" x14ac:dyDescent="0.3"/>
  <cols>
    <col min="1" max="1" width="9.140625" style="36"/>
    <col min="2" max="2" width="23.7109375" style="36" customWidth="1"/>
    <col min="3" max="4" width="9.140625" style="36"/>
    <col min="5" max="5" width="28.140625" style="47" customWidth="1"/>
    <col min="6" max="6" width="12.42578125" style="19" customWidth="1"/>
    <col min="7" max="7" width="9.140625" style="38"/>
    <col min="8" max="8" width="12.85546875" style="38" customWidth="1"/>
    <col min="9" max="11" width="9.140625" style="38"/>
    <col min="12" max="12" width="24" style="38" customWidth="1"/>
    <col min="13" max="13" width="14.42578125" style="38" customWidth="1"/>
    <col min="14" max="14" width="9.140625" style="38"/>
    <col min="15" max="15" width="9.140625" style="38" customWidth="1"/>
    <col min="16" max="18" width="9.140625" style="38"/>
    <col min="19" max="16384" width="9.140625" style="36"/>
  </cols>
  <sheetData>
    <row r="1" spans="1:20" ht="15" customHeight="1" x14ac:dyDescent="0.3">
      <c r="A1" s="32"/>
      <c r="B1" s="144" t="s">
        <v>13</v>
      </c>
      <c r="C1" s="145"/>
      <c r="D1" s="49"/>
      <c r="E1" s="146" t="s">
        <v>36</v>
      </c>
      <c r="F1" s="147"/>
      <c r="G1" s="62"/>
      <c r="H1" s="55" t="s">
        <v>42</v>
      </c>
      <c r="I1" s="65"/>
      <c r="J1" s="65"/>
      <c r="K1" s="65"/>
      <c r="L1" s="65"/>
      <c r="M1" s="65"/>
      <c r="N1" s="65"/>
      <c r="O1" s="65"/>
      <c r="P1" s="56"/>
      <c r="S1" s="38"/>
      <c r="T1" s="38"/>
    </row>
    <row r="2" spans="1:20" ht="15" customHeight="1" x14ac:dyDescent="0.3">
      <c r="A2" s="51" t="s">
        <v>15</v>
      </c>
      <c r="B2" s="9" t="s">
        <v>40</v>
      </c>
      <c r="C2" s="10"/>
      <c r="D2" s="29" t="s">
        <v>15</v>
      </c>
      <c r="E2" s="30" t="s">
        <v>17</v>
      </c>
      <c r="F2" s="31"/>
      <c r="G2" s="63" t="s">
        <v>15</v>
      </c>
      <c r="H2" s="57" t="s">
        <v>26</v>
      </c>
      <c r="I2" s="50"/>
      <c r="J2" s="50"/>
      <c r="K2" s="50"/>
      <c r="L2" s="50"/>
      <c r="M2" s="50"/>
      <c r="N2" s="50"/>
      <c r="O2" s="50"/>
      <c r="P2" s="66"/>
      <c r="S2" s="38"/>
      <c r="T2" s="38"/>
    </row>
    <row r="3" spans="1:20" ht="15" customHeight="1" x14ac:dyDescent="0.3">
      <c r="A3" s="51"/>
      <c r="B3" s="11" t="s">
        <v>39</v>
      </c>
      <c r="C3" s="12"/>
      <c r="D3" s="29" t="s">
        <v>16</v>
      </c>
      <c r="E3" s="30" t="s">
        <v>14</v>
      </c>
      <c r="F3" s="31"/>
      <c r="G3" s="63"/>
      <c r="H3" s="58"/>
      <c r="I3" s="60" t="s">
        <v>28</v>
      </c>
      <c r="J3" s="43"/>
      <c r="K3" s="43"/>
      <c r="L3" s="43"/>
      <c r="M3" s="43"/>
      <c r="N3" s="43"/>
      <c r="O3" s="43"/>
      <c r="P3" s="67"/>
      <c r="S3" s="38"/>
      <c r="T3" s="38"/>
    </row>
    <row r="4" spans="1:20" ht="15" customHeight="1" x14ac:dyDescent="0.3">
      <c r="A4" s="51"/>
      <c r="B4" s="21"/>
      <c r="C4" s="22"/>
      <c r="D4" s="29" t="s">
        <v>18</v>
      </c>
      <c r="E4" s="30" t="s">
        <v>19</v>
      </c>
      <c r="F4" s="31"/>
      <c r="G4" s="63"/>
      <c r="H4" s="59"/>
      <c r="I4" s="61" t="s">
        <v>29</v>
      </c>
      <c r="J4" s="54"/>
      <c r="K4" s="54"/>
      <c r="L4" s="54"/>
      <c r="M4" s="54"/>
      <c r="N4" s="54"/>
      <c r="O4" s="54"/>
      <c r="P4" s="68"/>
      <c r="S4" s="38"/>
      <c r="T4" s="38"/>
    </row>
    <row r="5" spans="1:20" ht="15" customHeight="1" x14ac:dyDescent="0.3">
      <c r="A5" s="51" t="s">
        <v>16</v>
      </c>
      <c r="B5" s="9" t="s">
        <v>38</v>
      </c>
      <c r="C5" s="10"/>
      <c r="D5" s="29" t="s">
        <v>23</v>
      </c>
      <c r="E5" s="30" t="s">
        <v>20</v>
      </c>
      <c r="F5" s="31"/>
      <c r="G5" s="63" t="s">
        <v>16</v>
      </c>
      <c r="H5" s="57" t="s">
        <v>933</v>
      </c>
      <c r="I5" s="50"/>
      <c r="J5" s="50"/>
      <c r="K5" s="50"/>
      <c r="L5" s="50"/>
      <c r="M5" s="50"/>
      <c r="N5" s="50"/>
      <c r="O5" s="50"/>
      <c r="P5" s="66"/>
      <c r="S5" s="38"/>
      <c r="T5" s="38"/>
    </row>
    <row r="6" spans="1:20" ht="15" customHeight="1" x14ac:dyDescent="0.3">
      <c r="A6" s="51"/>
      <c r="B6" s="11" t="s">
        <v>41</v>
      </c>
      <c r="C6" s="12"/>
      <c r="D6" s="29" t="s">
        <v>24</v>
      </c>
      <c r="E6" s="30" t="s">
        <v>21</v>
      </c>
      <c r="F6" s="31"/>
      <c r="G6" s="63"/>
      <c r="H6" s="58"/>
      <c r="I6" s="43" t="s">
        <v>27</v>
      </c>
      <c r="J6" s="43"/>
      <c r="K6" s="43"/>
      <c r="L6" s="43"/>
      <c r="M6" s="43"/>
      <c r="N6" s="43"/>
      <c r="O6" s="43"/>
      <c r="P6" s="67"/>
      <c r="S6" s="38"/>
      <c r="T6" s="38"/>
    </row>
    <row r="7" spans="1:20" ht="15" customHeight="1" x14ac:dyDescent="0.3">
      <c r="A7" s="51"/>
      <c r="B7" s="21"/>
      <c r="C7" s="22"/>
      <c r="D7" s="29" t="s">
        <v>25</v>
      </c>
      <c r="E7" s="30" t="s">
        <v>22</v>
      </c>
      <c r="F7" s="31"/>
      <c r="G7" s="63"/>
      <c r="H7" s="59"/>
      <c r="I7" s="61" t="s">
        <v>934</v>
      </c>
      <c r="J7" s="54"/>
      <c r="K7" s="54"/>
      <c r="L7" s="54"/>
      <c r="M7" s="54"/>
      <c r="N7" s="54"/>
      <c r="O7" s="54"/>
      <c r="P7" s="68"/>
      <c r="S7" s="38"/>
      <c r="T7" s="38"/>
    </row>
    <row r="8" spans="1:20" ht="15" customHeight="1" x14ac:dyDescent="0.3">
      <c r="A8" s="51"/>
      <c r="B8" s="11"/>
      <c r="C8" s="12"/>
      <c r="D8" s="29"/>
      <c r="E8" s="25"/>
      <c r="F8" s="26"/>
      <c r="G8" s="63" t="s">
        <v>18</v>
      </c>
      <c r="H8" s="57" t="s">
        <v>30</v>
      </c>
      <c r="I8" s="50"/>
      <c r="J8" s="50"/>
      <c r="K8" s="50"/>
      <c r="L8" s="50"/>
      <c r="M8" s="50"/>
      <c r="N8" s="50"/>
      <c r="O8" s="50"/>
      <c r="P8" s="66"/>
      <c r="S8" s="38"/>
      <c r="T8" s="38"/>
    </row>
    <row r="9" spans="1:20" ht="15" customHeight="1" x14ac:dyDescent="0.3">
      <c r="A9" s="51"/>
      <c r="B9" s="11"/>
      <c r="C9" s="12"/>
      <c r="D9" s="29"/>
      <c r="E9" s="25" t="s">
        <v>149</v>
      </c>
      <c r="F9" s="26"/>
      <c r="G9" s="63"/>
      <c r="H9" s="58"/>
      <c r="I9" s="43" t="s">
        <v>31</v>
      </c>
      <c r="J9" s="43"/>
      <c r="K9" s="43"/>
      <c r="L9" s="43"/>
      <c r="M9" s="43"/>
      <c r="N9" s="43"/>
      <c r="O9" s="43"/>
      <c r="P9" s="67"/>
      <c r="S9" s="38"/>
      <c r="T9" s="38"/>
    </row>
    <row r="10" spans="1:20" ht="15" customHeight="1" x14ac:dyDescent="0.3">
      <c r="A10" s="51"/>
      <c r="B10" s="11"/>
      <c r="C10" s="12"/>
      <c r="D10" s="29"/>
      <c r="E10" s="25" t="s">
        <v>150</v>
      </c>
      <c r="F10" s="26"/>
      <c r="G10" s="63"/>
      <c r="H10" s="58" t="s">
        <v>33</v>
      </c>
      <c r="I10" s="43"/>
      <c r="J10" s="43"/>
      <c r="K10" s="43"/>
      <c r="L10" s="43"/>
      <c r="M10" s="43"/>
      <c r="N10" s="43"/>
      <c r="O10" s="43"/>
      <c r="P10" s="67"/>
      <c r="S10" s="38"/>
      <c r="T10" s="38"/>
    </row>
    <row r="11" spans="1:20" ht="15" customHeight="1" x14ac:dyDescent="0.3">
      <c r="A11" s="51"/>
      <c r="B11" s="11"/>
      <c r="C11" s="12"/>
      <c r="D11" s="29"/>
      <c r="E11" s="25"/>
      <c r="F11" s="26"/>
      <c r="G11" s="63"/>
      <c r="H11" s="59"/>
      <c r="I11" s="54" t="s">
        <v>32</v>
      </c>
      <c r="J11" s="54"/>
      <c r="K11" s="54"/>
      <c r="L11" s="54"/>
      <c r="M11" s="54"/>
      <c r="N11" s="54"/>
      <c r="O11" s="54"/>
      <c r="P11" s="68"/>
      <c r="S11" s="38"/>
      <c r="T11" s="38"/>
    </row>
    <row r="12" spans="1:20" ht="15" customHeight="1" x14ac:dyDescent="0.3">
      <c r="A12" s="51"/>
      <c r="B12" s="11"/>
      <c r="C12" s="12"/>
      <c r="D12" s="29"/>
      <c r="E12" s="25"/>
      <c r="F12" s="26"/>
      <c r="G12" s="63"/>
      <c r="H12" s="55" t="s">
        <v>34</v>
      </c>
      <c r="I12" s="65"/>
      <c r="J12" s="65"/>
      <c r="K12" s="65"/>
      <c r="L12" s="65"/>
      <c r="M12" s="65"/>
      <c r="N12" s="65"/>
      <c r="O12" s="65"/>
      <c r="P12" s="56"/>
      <c r="S12" s="38"/>
      <c r="T12" s="38"/>
    </row>
    <row r="13" spans="1:20" ht="15" customHeight="1" x14ac:dyDescent="0.3">
      <c r="A13" s="51"/>
      <c r="B13" s="148" t="s">
        <v>0</v>
      </c>
      <c r="C13" s="149"/>
      <c r="D13" s="29"/>
      <c r="E13" s="150"/>
      <c r="F13" s="151"/>
      <c r="G13" s="63"/>
      <c r="H13" s="58" t="s">
        <v>35</v>
      </c>
      <c r="I13" s="43"/>
      <c r="J13" s="43"/>
      <c r="K13" s="43"/>
      <c r="L13" s="43"/>
      <c r="M13" s="43"/>
      <c r="N13" s="43"/>
      <c r="O13" s="43"/>
      <c r="P13" s="67"/>
      <c r="S13" s="38"/>
      <c r="T13" s="38"/>
    </row>
    <row r="14" spans="1:20" ht="15" customHeight="1" x14ac:dyDescent="0.3">
      <c r="A14" s="52"/>
      <c r="B14" s="13" t="s">
        <v>1</v>
      </c>
      <c r="C14" s="14" t="s">
        <v>2</v>
      </c>
      <c r="D14" s="53"/>
      <c r="E14" s="27" t="s">
        <v>1</v>
      </c>
      <c r="F14" s="28" t="s">
        <v>9</v>
      </c>
      <c r="G14" s="64"/>
      <c r="H14" s="59" t="s">
        <v>37</v>
      </c>
      <c r="I14" s="54"/>
      <c r="J14" s="54"/>
      <c r="K14" s="54"/>
      <c r="L14" s="54"/>
      <c r="M14" s="54"/>
      <c r="N14" s="54"/>
      <c r="O14" s="54"/>
      <c r="P14" s="68"/>
      <c r="S14" s="38"/>
      <c r="T14" s="38"/>
    </row>
    <row r="15" spans="1:20" s="70" customFormat="1" ht="15.75" x14ac:dyDescent="0.3">
      <c r="A15" s="70" t="str">
        <f xml:space="preserve"> IF( 'From SvanPC++'!A6= "", "", ('From SvanPC++'!A6))</f>
        <v/>
      </c>
      <c r="B15" s="69" t="s">
        <v>140</v>
      </c>
      <c r="C15" s="71"/>
      <c r="E15" s="72" t="s">
        <v>141</v>
      </c>
      <c r="F15" s="73"/>
      <c r="G15" s="74"/>
      <c r="H15" s="73" t="s">
        <v>143</v>
      </c>
      <c r="J15" s="74"/>
      <c r="K15" s="74"/>
      <c r="L15" s="75" t="s">
        <v>145</v>
      </c>
      <c r="M15" s="76"/>
      <c r="N15" s="77"/>
      <c r="O15" s="74"/>
      <c r="P15" s="74"/>
      <c r="Q15" s="74"/>
      <c r="R15" s="74"/>
      <c r="S15" s="74"/>
      <c r="T15" s="74"/>
    </row>
    <row r="16" spans="1:20" s="70" customFormat="1" ht="15.75" x14ac:dyDescent="0.3">
      <c r="B16" s="69"/>
      <c r="C16" s="71"/>
      <c r="E16" s="72" t="s">
        <v>142</v>
      </c>
      <c r="F16" s="73"/>
      <c r="G16" s="74"/>
      <c r="H16" s="73" t="s">
        <v>144</v>
      </c>
      <c r="J16" s="74"/>
      <c r="K16" s="74"/>
      <c r="L16" s="91" t="s">
        <v>146</v>
      </c>
      <c r="M16" s="92" t="s">
        <v>147</v>
      </c>
      <c r="N16" s="93" t="s">
        <v>148</v>
      </c>
      <c r="O16" s="74"/>
      <c r="P16" s="74"/>
      <c r="Q16" s="74"/>
      <c r="R16" s="74"/>
      <c r="S16" s="74"/>
      <c r="T16" s="74"/>
    </row>
    <row r="17" spans="1:20" ht="15.75" x14ac:dyDescent="0.3">
      <c r="A17" s="36" t="str">
        <f xml:space="preserve"> IF( 'From SvanPC++'!A7= "", "", ('From SvanPC++'!A7))</f>
        <v/>
      </c>
      <c r="B17" s="35" t="s">
        <v>43</v>
      </c>
      <c r="C17" s="34">
        <v>49</v>
      </c>
      <c r="E17" s="20">
        <v>43909</v>
      </c>
      <c r="F17" s="19">
        <v>0.58351273148148153</v>
      </c>
      <c r="H17" s="19">
        <f>(MROUND(F17,"1:00"))</f>
        <v>0.58333333333333326</v>
      </c>
      <c r="I17" s="36"/>
      <c r="L17" s="86">
        <v>43909</v>
      </c>
      <c r="M17" s="82">
        <v>0.58333333333333326</v>
      </c>
      <c r="N17" s="87">
        <v>49</v>
      </c>
    </row>
    <row r="18" spans="1:20" s="38" customFormat="1" ht="15.75" x14ac:dyDescent="0.3">
      <c r="A18" s="36" t="str">
        <f xml:space="preserve"> IF( 'From SvanPC++'!A8= "", "", ('From SvanPC++'!A8))</f>
        <v/>
      </c>
      <c r="B18" s="35" t="s">
        <v>44</v>
      </c>
      <c r="C18" s="34">
        <v>41.4</v>
      </c>
      <c r="D18" s="36"/>
      <c r="E18" s="20">
        <v>43909</v>
      </c>
      <c r="F18" s="19">
        <v>0.62517939814814816</v>
      </c>
      <c r="H18" s="19">
        <f t="shared" ref="H18:H81" si="0">(MROUND(F18,"1:00"))</f>
        <v>0.625</v>
      </c>
      <c r="I18" s="36"/>
      <c r="L18" s="86">
        <v>43909</v>
      </c>
      <c r="M18" s="82">
        <v>0.625</v>
      </c>
      <c r="N18" s="87">
        <v>41.4</v>
      </c>
      <c r="S18" s="36"/>
      <c r="T18" s="36"/>
    </row>
    <row r="19" spans="1:20" s="38" customFormat="1" ht="15.75" x14ac:dyDescent="0.3">
      <c r="A19" s="36" t="str">
        <f xml:space="preserve"> IF( 'From SvanPC++'!A9= "", "", ('From SvanPC++'!A9))</f>
        <v/>
      </c>
      <c r="B19" s="35" t="s">
        <v>45</v>
      </c>
      <c r="C19" s="34">
        <v>42</v>
      </c>
      <c r="D19" s="36"/>
      <c r="E19" s="20">
        <v>43909</v>
      </c>
      <c r="F19" s="19">
        <v>0.66684606481481479</v>
      </c>
      <c r="H19" s="19">
        <f t="shared" si="0"/>
        <v>0.66666666666666663</v>
      </c>
      <c r="I19" s="36"/>
      <c r="L19" s="86">
        <v>43909</v>
      </c>
      <c r="M19" s="82">
        <v>0.66666666666666663</v>
      </c>
      <c r="N19" s="87">
        <v>42</v>
      </c>
      <c r="S19" s="36"/>
      <c r="T19" s="36"/>
    </row>
    <row r="20" spans="1:20" s="38" customFormat="1" ht="15.75" x14ac:dyDescent="0.3">
      <c r="A20" s="36" t="str">
        <f xml:space="preserve"> IF( 'From SvanPC++'!A10= "", "", ('From SvanPC++'!A10))</f>
        <v/>
      </c>
      <c r="B20" s="35" t="s">
        <v>46</v>
      </c>
      <c r="C20" s="34">
        <v>41.8</v>
      </c>
      <c r="D20" s="36"/>
      <c r="E20" s="20">
        <v>43909</v>
      </c>
      <c r="F20" s="19">
        <v>0.70851273148148142</v>
      </c>
      <c r="H20" s="19">
        <f t="shared" si="0"/>
        <v>0.70833333333333326</v>
      </c>
      <c r="I20" s="36"/>
      <c r="L20" s="86">
        <v>43909</v>
      </c>
      <c r="M20" s="82">
        <v>0.70833333333333326</v>
      </c>
      <c r="N20" s="87">
        <v>41.8</v>
      </c>
      <c r="O20" s="39"/>
      <c r="P20" s="39"/>
      <c r="Q20" s="39"/>
      <c r="S20" s="36"/>
      <c r="T20" s="36"/>
    </row>
    <row r="21" spans="1:20" s="38" customFormat="1" ht="15.75" x14ac:dyDescent="0.3">
      <c r="A21" s="36" t="str">
        <f xml:space="preserve"> IF( 'From SvanPC++'!A11= "", "", ('From SvanPC++'!A11))</f>
        <v/>
      </c>
      <c r="B21" s="35" t="s">
        <v>47</v>
      </c>
      <c r="C21" s="34">
        <v>42.9</v>
      </c>
      <c r="D21" s="36"/>
      <c r="E21" s="20">
        <v>43909</v>
      </c>
      <c r="F21" s="19">
        <v>0.75017939814814805</v>
      </c>
      <c r="H21" s="19">
        <f t="shared" si="0"/>
        <v>0.75</v>
      </c>
      <c r="I21" s="36"/>
      <c r="L21" s="86">
        <v>43909</v>
      </c>
      <c r="M21" s="82">
        <v>0.75</v>
      </c>
      <c r="N21" s="87">
        <v>42.9</v>
      </c>
      <c r="S21" s="36"/>
      <c r="T21" s="36"/>
    </row>
    <row r="22" spans="1:20" s="38" customFormat="1" ht="15.75" x14ac:dyDescent="0.3">
      <c r="A22" s="36" t="str">
        <f xml:space="preserve"> IF( 'From SvanPC++'!A12= "", "", ('From SvanPC++'!A12))</f>
        <v/>
      </c>
      <c r="B22" s="35" t="s">
        <v>48</v>
      </c>
      <c r="C22" s="34">
        <v>42.3</v>
      </c>
      <c r="D22" s="36"/>
      <c r="E22" s="20">
        <v>43909</v>
      </c>
      <c r="F22" s="19">
        <v>0.79184606481481479</v>
      </c>
      <c r="H22" s="19">
        <f t="shared" si="0"/>
        <v>0.79166666666666663</v>
      </c>
      <c r="I22" s="36"/>
      <c r="L22" s="86">
        <v>43909</v>
      </c>
      <c r="M22" s="82">
        <v>0.79166666666666663</v>
      </c>
      <c r="N22" s="87">
        <v>42.3</v>
      </c>
      <c r="S22" s="36"/>
      <c r="T22" s="36"/>
    </row>
    <row r="23" spans="1:20" s="38" customFormat="1" ht="15.75" x14ac:dyDescent="0.3">
      <c r="A23" s="36" t="str">
        <f xml:space="preserve"> IF( 'From SvanPC++'!A13= "", "", ('From SvanPC++'!A13))</f>
        <v/>
      </c>
      <c r="B23" s="35" t="s">
        <v>49</v>
      </c>
      <c r="C23" s="34">
        <v>43.9</v>
      </c>
      <c r="D23" s="36"/>
      <c r="E23" s="20">
        <v>43909</v>
      </c>
      <c r="F23" s="19">
        <v>0.83351273148148142</v>
      </c>
      <c r="H23" s="19">
        <f t="shared" si="0"/>
        <v>0.83333333333333326</v>
      </c>
      <c r="I23" s="36"/>
      <c r="L23" s="86">
        <v>43909</v>
      </c>
      <c r="M23" s="82">
        <v>0.83333333333333326</v>
      </c>
      <c r="N23" s="87">
        <v>43.9</v>
      </c>
      <c r="S23" s="36"/>
      <c r="T23" s="36"/>
    </row>
    <row r="24" spans="1:20" s="38" customFormat="1" ht="15.75" x14ac:dyDescent="0.3">
      <c r="A24" s="36" t="str">
        <f xml:space="preserve"> IF( 'From SvanPC++'!A14= "", "", ('From SvanPC++'!A14))</f>
        <v/>
      </c>
      <c r="B24" s="35" t="s">
        <v>50</v>
      </c>
      <c r="C24" s="34">
        <v>42.6</v>
      </c>
      <c r="D24" s="36"/>
      <c r="E24" s="20">
        <v>43909</v>
      </c>
      <c r="F24" s="19">
        <v>0.87517939814814805</v>
      </c>
      <c r="H24" s="19">
        <f t="shared" si="0"/>
        <v>0.875</v>
      </c>
      <c r="I24" s="36"/>
      <c r="L24" s="86">
        <v>43909</v>
      </c>
      <c r="M24" s="82">
        <v>0.875</v>
      </c>
      <c r="N24" s="87">
        <v>42.6</v>
      </c>
      <c r="S24" s="36"/>
      <c r="T24" s="36"/>
    </row>
    <row r="25" spans="1:20" s="38" customFormat="1" ht="15.75" x14ac:dyDescent="0.3">
      <c r="A25" s="36" t="str">
        <f xml:space="preserve"> IF( 'From SvanPC++'!A15= "", "", ('From SvanPC++'!A15))</f>
        <v/>
      </c>
      <c r="B25" s="35" t="s">
        <v>51</v>
      </c>
      <c r="C25" s="34">
        <v>45.1</v>
      </c>
      <c r="D25" s="36"/>
      <c r="E25" s="20">
        <v>43909</v>
      </c>
      <c r="F25" s="19">
        <v>0.91684606481481479</v>
      </c>
      <c r="H25" s="19">
        <f t="shared" si="0"/>
        <v>0.91666666666666663</v>
      </c>
      <c r="I25" s="36"/>
      <c r="L25" s="86">
        <v>43909</v>
      </c>
      <c r="M25" s="82">
        <v>0.91666666666666663</v>
      </c>
      <c r="N25" s="87">
        <v>45.1</v>
      </c>
      <c r="S25" s="36"/>
      <c r="T25" s="36"/>
    </row>
    <row r="26" spans="1:20" s="38" customFormat="1" ht="15.75" x14ac:dyDescent="0.3">
      <c r="A26" s="36" t="str">
        <f xml:space="preserve"> IF( 'From SvanPC++'!A16= "", "", ('From SvanPC++'!A16))</f>
        <v/>
      </c>
      <c r="B26" s="35" t="s">
        <v>52</v>
      </c>
      <c r="C26" s="34">
        <v>43.1</v>
      </c>
      <c r="D26" s="36"/>
      <c r="E26" s="20">
        <v>43909</v>
      </c>
      <c r="F26" s="19">
        <v>0.95851273148148142</v>
      </c>
      <c r="H26" s="19">
        <f t="shared" si="0"/>
        <v>0.95833333333333326</v>
      </c>
      <c r="I26" s="36"/>
      <c r="L26" s="86">
        <v>43909</v>
      </c>
      <c r="M26" s="82">
        <v>0.95833333333333326</v>
      </c>
      <c r="N26" s="87">
        <v>43.1</v>
      </c>
      <c r="S26" s="36"/>
      <c r="T26" s="36"/>
    </row>
    <row r="27" spans="1:20" s="38" customFormat="1" ht="15.75" x14ac:dyDescent="0.3">
      <c r="A27" s="36" t="str">
        <f xml:space="preserve"> IF( 'From SvanPC++'!A17= "", "", ('From SvanPC++'!A17))</f>
        <v/>
      </c>
      <c r="B27" s="35" t="s">
        <v>53</v>
      </c>
      <c r="C27" s="34">
        <v>44.3</v>
      </c>
      <c r="D27" s="36"/>
      <c r="E27" s="20">
        <v>43910</v>
      </c>
      <c r="F27" s="19">
        <v>1.7939814814814817E-4</v>
      </c>
      <c r="H27" s="19">
        <f t="shared" si="0"/>
        <v>0</v>
      </c>
      <c r="I27" s="36"/>
      <c r="L27" s="86">
        <v>43910</v>
      </c>
      <c r="M27" s="82">
        <v>0</v>
      </c>
      <c r="N27" s="87">
        <v>44.3</v>
      </c>
      <c r="S27" s="36"/>
      <c r="T27" s="36"/>
    </row>
    <row r="28" spans="1:20" s="38" customFormat="1" ht="15.75" x14ac:dyDescent="0.3">
      <c r="A28" s="36" t="str">
        <f xml:space="preserve"> IF( 'From SvanPC++'!A18= "", "", ('From SvanPC++'!A18))</f>
        <v/>
      </c>
      <c r="B28" s="35" t="s">
        <v>54</v>
      </c>
      <c r="C28" s="34">
        <v>42.8</v>
      </c>
      <c r="D28" s="36"/>
      <c r="E28" s="20">
        <v>43910</v>
      </c>
      <c r="F28" s="19">
        <v>4.1846064814814815E-2</v>
      </c>
      <c r="H28" s="19">
        <f t="shared" si="0"/>
        <v>4.1666666666666664E-2</v>
      </c>
      <c r="I28" s="36"/>
      <c r="L28" s="86">
        <v>43910</v>
      </c>
      <c r="M28" s="82">
        <v>4.1666666666666664E-2</v>
      </c>
      <c r="N28" s="87">
        <v>42.8</v>
      </c>
      <c r="S28" s="36"/>
      <c r="T28" s="36"/>
    </row>
    <row r="29" spans="1:20" s="38" customFormat="1" ht="15.75" x14ac:dyDescent="0.3">
      <c r="A29" s="36" t="str">
        <f xml:space="preserve"> IF( 'From SvanPC++'!A19= "", "", ('From SvanPC++'!A19))</f>
        <v/>
      </c>
      <c r="B29" s="35" t="s">
        <v>55</v>
      </c>
      <c r="C29" s="34">
        <v>42.9</v>
      </c>
      <c r="D29" s="36"/>
      <c r="E29" s="20">
        <v>43910</v>
      </c>
      <c r="F29" s="19">
        <v>8.3512731481481473E-2</v>
      </c>
      <c r="H29" s="19">
        <f t="shared" si="0"/>
        <v>8.3333333333333329E-2</v>
      </c>
      <c r="I29" s="36"/>
      <c r="L29" s="86">
        <v>43910</v>
      </c>
      <c r="M29" s="82">
        <v>8.3333333333333329E-2</v>
      </c>
      <c r="N29" s="87">
        <v>42.9</v>
      </c>
      <c r="S29" s="36"/>
      <c r="T29" s="36"/>
    </row>
    <row r="30" spans="1:20" s="38" customFormat="1" ht="15.75" x14ac:dyDescent="0.3">
      <c r="A30" s="36" t="str">
        <f xml:space="preserve"> IF( 'From SvanPC++'!A20= "", "", ('From SvanPC++'!A20))</f>
        <v/>
      </c>
      <c r="B30" s="35" t="s">
        <v>56</v>
      </c>
      <c r="C30" s="34">
        <v>40.700000000000003</v>
      </c>
      <c r="D30" s="36"/>
      <c r="E30" s="20">
        <v>43910</v>
      </c>
      <c r="F30" s="19">
        <v>0.12517939814814813</v>
      </c>
      <c r="H30" s="19">
        <f t="shared" si="0"/>
        <v>0.125</v>
      </c>
      <c r="I30" s="36"/>
      <c r="L30" s="86">
        <v>43910</v>
      </c>
      <c r="M30" s="82">
        <v>0.125</v>
      </c>
      <c r="N30" s="87">
        <v>40.700000000000003</v>
      </c>
      <c r="S30" s="36"/>
      <c r="T30" s="36"/>
    </row>
    <row r="31" spans="1:20" s="38" customFormat="1" ht="15.75" x14ac:dyDescent="0.3">
      <c r="A31" s="36" t="str">
        <f xml:space="preserve"> IF( 'From SvanPC++'!A21= "", "", ('From SvanPC++'!A21))</f>
        <v/>
      </c>
      <c r="B31" s="35" t="s">
        <v>57</v>
      </c>
      <c r="C31" s="34">
        <v>35.6</v>
      </c>
      <c r="D31" s="36"/>
      <c r="E31" s="20">
        <v>43910</v>
      </c>
      <c r="F31" s="19">
        <v>0.16684606481481482</v>
      </c>
      <c r="H31" s="19">
        <f t="shared" si="0"/>
        <v>0.16666666666666666</v>
      </c>
      <c r="I31" s="36"/>
      <c r="L31" s="86">
        <v>43910</v>
      </c>
      <c r="M31" s="82">
        <v>0.16666666666666666</v>
      </c>
      <c r="N31" s="87">
        <v>35.6</v>
      </c>
      <c r="S31" s="36"/>
      <c r="T31" s="36"/>
    </row>
    <row r="32" spans="1:20" s="38" customFormat="1" ht="15.75" x14ac:dyDescent="0.3">
      <c r="A32" s="36" t="str">
        <f xml:space="preserve"> IF( 'From SvanPC++'!A22= "", "", ('From SvanPC++'!A22))</f>
        <v/>
      </c>
      <c r="B32" s="35" t="s">
        <v>58</v>
      </c>
      <c r="C32" s="34">
        <v>36.200000000000003</v>
      </c>
      <c r="D32" s="36"/>
      <c r="E32" s="20">
        <v>43910</v>
      </c>
      <c r="F32" s="19">
        <v>0.2085127314814815</v>
      </c>
      <c r="H32" s="19">
        <f t="shared" si="0"/>
        <v>0.20833333333333331</v>
      </c>
      <c r="I32" s="36"/>
      <c r="L32" s="86">
        <v>43910</v>
      </c>
      <c r="M32" s="82">
        <v>0.20833333333333331</v>
      </c>
      <c r="N32" s="87">
        <v>36.200000000000003</v>
      </c>
      <c r="S32" s="36"/>
      <c r="T32" s="36"/>
    </row>
    <row r="33" spans="1:20" s="38" customFormat="1" ht="15.75" x14ac:dyDescent="0.3">
      <c r="A33" s="36" t="str">
        <f xml:space="preserve"> IF( 'From SvanPC++'!A23= "", "", ('From SvanPC++'!A23))</f>
        <v/>
      </c>
      <c r="B33" s="35" t="s">
        <v>59</v>
      </c>
      <c r="C33" s="34">
        <v>38.299999999999997</v>
      </c>
      <c r="D33" s="36"/>
      <c r="E33" s="20">
        <v>43910</v>
      </c>
      <c r="F33" s="19">
        <v>0.25017939814814816</v>
      </c>
      <c r="H33" s="19">
        <f t="shared" si="0"/>
        <v>0.25</v>
      </c>
      <c r="I33" s="36"/>
      <c r="L33" s="86">
        <v>43910</v>
      </c>
      <c r="M33" s="82">
        <v>0.25</v>
      </c>
      <c r="N33" s="87">
        <v>38.299999999999997</v>
      </c>
      <c r="S33" s="36"/>
      <c r="T33" s="36"/>
    </row>
    <row r="34" spans="1:20" s="38" customFormat="1" ht="15.75" x14ac:dyDescent="0.3">
      <c r="A34" s="36" t="str">
        <f xml:space="preserve"> IF( 'From SvanPC++'!A24= "", "", ('From SvanPC++'!A24))</f>
        <v/>
      </c>
      <c r="B34" s="35" t="s">
        <v>60</v>
      </c>
      <c r="C34" s="34">
        <v>38.700000000000003</v>
      </c>
      <c r="D34" s="36"/>
      <c r="E34" s="20">
        <v>43910</v>
      </c>
      <c r="F34" s="19">
        <v>0.29184606481481484</v>
      </c>
      <c r="H34" s="19">
        <f t="shared" si="0"/>
        <v>0.29166666666666663</v>
      </c>
      <c r="I34" s="36"/>
      <c r="L34" s="86">
        <v>43910</v>
      </c>
      <c r="M34" s="82">
        <v>0.29166666666666663</v>
      </c>
      <c r="N34" s="87">
        <v>38.700000000000003</v>
      </c>
      <c r="S34" s="36"/>
      <c r="T34" s="36"/>
    </row>
    <row r="35" spans="1:20" s="38" customFormat="1" ht="15.75" x14ac:dyDescent="0.3">
      <c r="A35" s="36" t="str">
        <f xml:space="preserve"> IF( 'From SvanPC++'!A25= "", "", ('From SvanPC++'!A25))</f>
        <v/>
      </c>
      <c r="B35" s="35" t="s">
        <v>61</v>
      </c>
      <c r="C35" s="34">
        <v>42.8</v>
      </c>
      <c r="D35" s="36"/>
      <c r="E35" s="20">
        <v>43910</v>
      </c>
      <c r="F35" s="19">
        <v>0.33351273148148147</v>
      </c>
      <c r="H35" s="19">
        <f t="shared" si="0"/>
        <v>0.33333333333333331</v>
      </c>
      <c r="I35" s="36"/>
      <c r="L35" s="86">
        <v>43910</v>
      </c>
      <c r="M35" s="82">
        <v>0.33333333333333331</v>
      </c>
      <c r="N35" s="87">
        <v>42.8</v>
      </c>
      <c r="S35" s="36"/>
      <c r="T35" s="36"/>
    </row>
    <row r="36" spans="1:20" s="38" customFormat="1" ht="15.75" x14ac:dyDescent="0.3">
      <c r="A36" s="36" t="str">
        <f xml:space="preserve"> IF( 'From SvanPC++'!A26= "", "", ('From SvanPC++'!A26))</f>
        <v/>
      </c>
      <c r="B36" s="35" t="s">
        <v>62</v>
      </c>
      <c r="C36" s="34">
        <v>44.1</v>
      </c>
      <c r="D36" s="36"/>
      <c r="E36" s="20">
        <v>43910</v>
      </c>
      <c r="F36" s="19">
        <v>0.37517939814814816</v>
      </c>
      <c r="H36" s="19">
        <f t="shared" si="0"/>
        <v>0.375</v>
      </c>
      <c r="I36" s="36"/>
      <c r="L36" s="86">
        <v>43910</v>
      </c>
      <c r="M36" s="82">
        <v>0.375</v>
      </c>
      <c r="N36" s="87">
        <v>44.1</v>
      </c>
      <c r="S36" s="36"/>
      <c r="T36" s="36"/>
    </row>
    <row r="37" spans="1:20" s="38" customFormat="1" ht="15.75" x14ac:dyDescent="0.3">
      <c r="A37" s="36" t="str">
        <f xml:space="preserve"> IF( 'From SvanPC++'!A27= "", "", ('From SvanPC++'!A27))</f>
        <v/>
      </c>
      <c r="B37" s="35" t="s">
        <v>63</v>
      </c>
      <c r="C37" s="34">
        <v>56</v>
      </c>
      <c r="D37" s="36"/>
      <c r="E37" s="20">
        <v>43910</v>
      </c>
      <c r="F37" s="19">
        <v>0.41684606481481484</v>
      </c>
      <c r="H37" s="19">
        <f t="shared" si="0"/>
        <v>0.41666666666666663</v>
      </c>
      <c r="I37" s="36"/>
      <c r="L37" s="86">
        <v>43910</v>
      </c>
      <c r="M37" s="82">
        <v>0.41666666666666663</v>
      </c>
      <c r="N37" s="87">
        <v>56</v>
      </c>
      <c r="S37" s="36"/>
      <c r="T37" s="36"/>
    </row>
    <row r="38" spans="1:20" s="38" customFormat="1" ht="15.75" x14ac:dyDescent="0.3">
      <c r="A38" s="36" t="str">
        <f xml:space="preserve"> IF( 'From SvanPC++'!A28= "", "", ('From SvanPC++'!A28))</f>
        <v/>
      </c>
      <c r="B38" s="35" t="s">
        <v>64</v>
      </c>
      <c r="C38" s="34">
        <v>43.1</v>
      </c>
      <c r="D38" s="36"/>
      <c r="E38" s="20">
        <v>43910</v>
      </c>
      <c r="F38" s="19">
        <v>0.45851273148148147</v>
      </c>
      <c r="H38" s="19">
        <f t="shared" si="0"/>
        <v>0.45833333333333331</v>
      </c>
      <c r="I38" s="36"/>
      <c r="L38" s="86">
        <v>43910</v>
      </c>
      <c r="M38" s="82">
        <v>0.45833333333333331</v>
      </c>
      <c r="N38" s="87">
        <v>43.1</v>
      </c>
      <c r="S38" s="36"/>
      <c r="T38" s="36"/>
    </row>
    <row r="39" spans="1:20" s="38" customFormat="1" ht="15.75" x14ac:dyDescent="0.3">
      <c r="A39" s="36" t="str">
        <f xml:space="preserve"> IF( 'From SvanPC++'!A29= "", "", ('From SvanPC++'!A29))</f>
        <v/>
      </c>
      <c r="B39" s="35" t="s">
        <v>65</v>
      </c>
      <c r="C39" s="34">
        <v>40.4</v>
      </c>
      <c r="D39" s="36"/>
      <c r="E39" s="20">
        <v>43910</v>
      </c>
      <c r="F39" s="19">
        <v>0.50017939814814816</v>
      </c>
      <c r="H39" s="19">
        <f t="shared" si="0"/>
        <v>0.5</v>
      </c>
      <c r="I39" s="36"/>
      <c r="L39" s="86">
        <v>43910</v>
      </c>
      <c r="M39" s="82">
        <v>0.5</v>
      </c>
      <c r="N39" s="87">
        <v>40.4</v>
      </c>
      <c r="S39" s="36"/>
      <c r="T39" s="36"/>
    </row>
    <row r="40" spans="1:20" s="38" customFormat="1" ht="15.75" x14ac:dyDescent="0.3">
      <c r="A40" s="36" t="str">
        <f xml:space="preserve"> IF( 'From SvanPC++'!A30= "", "", ('From SvanPC++'!A30))</f>
        <v/>
      </c>
      <c r="B40" s="35" t="s">
        <v>66</v>
      </c>
      <c r="C40" s="34">
        <v>58.6</v>
      </c>
      <c r="D40" s="36"/>
      <c r="E40" s="20">
        <v>43910</v>
      </c>
      <c r="F40" s="19">
        <v>0.54184606481481479</v>
      </c>
      <c r="H40" s="19">
        <f t="shared" si="0"/>
        <v>0.54166666666666663</v>
      </c>
      <c r="I40" s="36"/>
      <c r="L40" s="86">
        <v>43910</v>
      </c>
      <c r="M40" s="82">
        <v>0.54166666666666663</v>
      </c>
      <c r="N40" s="87">
        <v>58.6</v>
      </c>
      <c r="S40" s="36"/>
      <c r="T40" s="36"/>
    </row>
    <row r="41" spans="1:20" s="38" customFormat="1" ht="15.75" x14ac:dyDescent="0.3">
      <c r="A41" s="36" t="str">
        <f xml:space="preserve"> IF( 'From SvanPC++'!A31= "", "", ('From SvanPC++'!A31))</f>
        <v/>
      </c>
      <c r="B41" s="35" t="s">
        <v>67</v>
      </c>
      <c r="C41" s="34">
        <v>47.7</v>
      </c>
      <c r="D41" s="36"/>
      <c r="E41" s="20">
        <v>43910</v>
      </c>
      <c r="F41" s="19">
        <v>0.58351273148148153</v>
      </c>
      <c r="H41" s="19">
        <f t="shared" si="0"/>
        <v>0.58333333333333326</v>
      </c>
      <c r="I41" s="36"/>
      <c r="L41" s="86">
        <v>43910</v>
      </c>
      <c r="M41" s="82">
        <v>0.58333333333333326</v>
      </c>
      <c r="N41" s="87">
        <v>47.7</v>
      </c>
      <c r="S41" s="36"/>
      <c r="T41" s="36"/>
    </row>
    <row r="42" spans="1:20" s="38" customFormat="1" ht="15.75" x14ac:dyDescent="0.3">
      <c r="A42" s="36" t="str">
        <f xml:space="preserve"> IF( 'From SvanPC++'!A32= "", "", ('From SvanPC++'!A32))</f>
        <v/>
      </c>
      <c r="B42" s="35" t="s">
        <v>68</v>
      </c>
      <c r="C42" s="34">
        <v>44.9</v>
      </c>
      <c r="D42" s="36"/>
      <c r="E42" s="20">
        <v>43910</v>
      </c>
      <c r="F42" s="19">
        <v>0.62517939814814816</v>
      </c>
      <c r="H42" s="19">
        <f t="shared" si="0"/>
        <v>0.625</v>
      </c>
      <c r="I42" s="36"/>
      <c r="L42" s="86">
        <v>43910</v>
      </c>
      <c r="M42" s="82">
        <v>0.625</v>
      </c>
      <c r="N42" s="87">
        <v>44.9</v>
      </c>
      <c r="S42" s="36"/>
      <c r="T42" s="36"/>
    </row>
    <row r="43" spans="1:20" s="38" customFormat="1" ht="15.75" x14ac:dyDescent="0.3">
      <c r="A43" s="36" t="str">
        <f xml:space="preserve"> IF( 'From SvanPC++'!A33= "", "", ('From SvanPC++'!A33))</f>
        <v/>
      </c>
      <c r="B43" s="35" t="s">
        <v>69</v>
      </c>
      <c r="C43" s="34">
        <v>41.5</v>
      </c>
      <c r="D43" s="36"/>
      <c r="E43" s="20">
        <v>43910</v>
      </c>
      <c r="F43" s="19">
        <v>0.66684606481481479</v>
      </c>
      <c r="H43" s="19">
        <f t="shared" si="0"/>
        <v>0.66666666666666663</v>
      </c>
      <c r="I43" s="36"/>
      <c r="L43" s="86">
        <v>43910</v>
      </c>
      <c r="M43" s="82">
        <v>0.66666666666666663</v>
      </c>
      <c r="N43" s="87">
        <v>41.5</v>
      </c>
      <c r="S43" s="36"/>
      <c r="T43" s="36"/>
    </row>
    <row r="44" spans="1:20" s="38" customFormat="1" ht="15.75" x14ac:dyDescent="0.3">
      <c r="A44" s="36" t="str">
        <f xml:space="preserve"> IF( 'From SvanPC++'!A34= "", "", ('From SvanPC++'!A34))</f>
        <v/>
      </c>
      <c r="B44" s="35" t="s">
        <v>70</v>
      </c>
      <c r="C44" s="34">
        <v>40</v>
      </c>
      <c r="D44" s="36"/>
      <c r="E44" s="20">
        <v>43910</v>
      </c>
      <c r="F44" s="19">
        <v>0.70851273148148142</v>
      </c>
      <c r="H44" s="19">
        <f t="shared" si="0"/>
        <v>0.70833333333333326</v>
      </c>
      <c r="I44" s="36"/>
      <c r="L44" s="86">
        <v>43910</v>
      </c>
      <c r="M44" s="82">
        <v>0.70833333333333326</v>
      </c>
      <c r="N44" s="87">
        <v>40</v>
      </c>
      <c r="S44" s="36"/>
      <c r="T44" s="36"/>
    </row>
    <row r="45" spans="1:20" s="38" customFormat="1" ht="15.75" x14ac:dyDescent="0.3">
      <c r="A45" s="36" t="str">
        <f xml:space="preserve"> IF( 'From SvanPC++'!A35= "", "", ('From SvanPC++'!A35))</f>
        <v/>
      </c>
      <c r="B45" s="35" t="s">
        <v>71</v>
      </c>
      <c r="C45" s="34">
        <v>39.700000000000003</v>
      </c>
      <c r="D45" s="36"/>
      <c r="E45" s="20">
        <v>43910</v>
      </c>
      <c r="F45" s="19">
        <v>0.75017939814814805</v>
      </c>
      <c r="H45" s="19">
        <f t="shared" si="0"/>
        <v>0.75</v>
      </c>
      <c r="I45" s="36"/>
      <c r="L45" s="86">
        <v>43910</v>
      </c>
      <c r="M45" s="82">
        <v>0.75</v>
      </c>
      <c r="N45" s="87">
        <v>39.700000000000003</v>
      </c>
      <c r="S45" s="36"/>
      <c r="T45" s="36"/>
    </row>
    <row r="46" spans="1:20" s="38" customFormat="1" ht="15.75" x14ac:dyDescent="0.3">
      <c r="A46" s="36" t="str">
        <f xml:space="preserve"> IF( 'From SvanPC++'!A36= "", "", ('From SvanPC++'!A36))</f>
        <v/>
      </c>
      <c r="B46" s="35" t="s">
        <v>72</v>
      </c>
      <c r="C46" s="34">
        <v>37.700000000000003</v>
      </c>
      <c r="D46" s="36"/>
      <c r="E46" s="20">
        <v>43910</v>
      </c>
      <c r="F46" s="19">
        <v>0.79184606481481479</v>
      </c>
      <c r="H46" s="19">
        <f t="shared" si="0"/>
        <v>0.79166666666666663</v>
      </c>
      <c r="I46" s="36"/>
      <c r="L46" s="86">
        <v>43910</v>
      </c>
      <c r="M46" s="82">
        <v>0.79166666666666663</v>
      </c>
      <c r="N46" s="87">
        <v>37.700000000000003</v>
      </c>
      <c r="S46" s="36"/>
      <c r="T46" s="36"/>
    </row>
    <row r="47" spans="1:20" s="38" customFormat="1" ht="15.75" x14ac:dyDescent="0.3">
      <c r="A47" s="36" t="str">
        <f xml:space="preserve"> IF( 'From SvanPC++'!A37= "", "", ('From SvanPC++'!A37))</f>
        <v/>
      </c>
      <c r="B47" s="35" t="s">
        <v>73</v>
      </c>
      <c r="C47" s="34">
        <v>35.299999999999997</v>
      </c>
      <c r="D47" s="36"/>
      <c r="E47" s="20">
        <v>43910</v>
      </c>
      <c r="F47" s="19">
        <v>0.83351273148148142</v>
      </c>
      <c r="H47" s="19">
        <f t="shared" si="0"/>
        <v>0.83333333333333326</v>
      </c>
      <c r="I47" s="36"/>
      <c r="L47" s="86">
        <v>43910</v>
      </c>
      <c r="M47" s="82">
        <v>0.83333333333333326</v>
      </c>
      <c r="N47" s="87">
        <v>35.299999999999997</v>
      </c>
      <c r="S47" s="36"/>
      <c r="T47" s="36"/>
    </row>
    <row r="48" spans="1:20" s="38" customFormat="1" ht="15.75" x14ac:dyDescent="0.3">
      <c r="A48" s="36" t="str">
        <f xml:space="preserve"> IF( 'From SvanPC++'!A38= "", "", ('From SvanPC++'!A38))</f>
        <v/>
      </c>
      <c r="B48" s="35" t="s">
        <v>74</v>
      </c>
      <c r="C48" s="34">
        <v>33.700000000000003</v>
      </c>
      <c r="D48" s="36"/>
      <c r="E48" s="20">
        <v>43910</v>
      </c>
      <c r="F48" s="19">
        <v>0.87517939814814805</v>
      </c>
      <c r="H48" s="19">
        <f t="shared" si="0"/>
        <v>0.875</v>
      </c>
      <c r="I48" s="36"/>
      <c r="L48" s="86">
        <v>43910</v>
      </c>
      <c r="M48" s="82">
        <v>0.875</v>
      </c>
      <c r="N48" s="87">
        <v>33.700000000000003</v>
      </c>
      <c r="S48" s="36"/>
      <c r="T48" s="36"/>
    </row>
    <row r="49" spans="1:20" s="38" customFormat="1" ht="15.75" x14ac:dyDescent="0.3">
      <c r="A49" s="36" t="str">
        <f xml:space="preserve"> IF( 'From SvanPC++'!A39= "", "", ('From SvanPC++'!A39))</f>
        <v/>
      </c>
      <c r="B49" s="35" t="s">
        <v>75</v>
      </c>
      <c r="C49" s="34">
        <v>34.4</v>
      </c>
      <c r="D49" s="36"/>
      <c r="E49" s="20">
        <v>43910</v>
      </c>
      <c r="F49" s="19">
        <v>0.91684606481481479</v>
      </c>
      <c r="H49" s="19">
        <f t="shared" si="0"/>
        <v>0.91666666666666663</v>
      </c>
      <c r="I49" s="36"/>
      <c r="L49" s="86">
        <v>43910</v>
      </c>
      <c r="M49" s="82">
        <v>0.91666666666666663</v>
      </c>
      <c r="N49" s="87">
        <v>34.4</v>
      </c>
      <c r="S49" s="36"/>
      <c r="T49" s="36"/>
    </row>
    <row r="50" spans="1:20" s="38" customFormat="1" ht="15.75" x14ac:dyDescent="0.3">
      <c r="A50" s="36" t="str">
        <f xml:space="preserve"> IF( 'From SvanPC++'!A40= "", "", ('From SvanPC++'!A40))</f>
        <v/>
      </c>
      <c r="B50" s="35" t="s">
        <v>76</v>
      </c>
      <c r="C50" s="34">
        <v>37</v>
      </c>
      <c r="D50" s="36"/>
      <c r="E50" s="20">
        <v>43910</v>
      </c>
      <c r="F50" s="19">
        <v>0.95851273148148142</v>
      </c>
      <c r="H50" s="19">
        <f t="shared" si="0"/>
        <v>0.95833333333333326</v>
      </c>
      <c r="I50" s="36"/>
      <c r="L50" s="86">
        <v>43910</v>
      </c>
      <c r="M50" s="82">
        <v>0.95833333333333326</v>
      </c>
      <c r="N50" s="87">
        <v>37</v>
      </c>
      <c r="S50" s="36"/>
      <c r="T50" s="36"/>
    </row>
    <row r="51" spans="1:20" s="38" customFormat="1" ht="15.75" x14ac:dyDescent="0.3">
      <c r="A51" s="36" t="str">
        <f xml:space="preserve"> IF( 'From SvanPC++'!A41= "", "", ('From SvanPC++'!A41))</f>
        <v/>
      </c>
      <c r="B51" s="35" t="s">
        <v>77</v>
      </c>
      <c r="C51" s="34">
        <v>34</v>
      </c>
      <c r="D51" s="36"/>
      <c r="E51" s="20">
        <v>43911</v>
      </c>
      <c r="F51" s="19">
        <v>1.7939814814814817E-4</v>
      </c>
      <c r="H51" s="19">
        <f t="shared" si="0"/>
        <v>0</v>
      </c>
      <c r="I51" s="36"/>
      <c r="L51" s="86">
        <v>43911</v>
      </c>
      <c r="M51" s="82">
        <v>0</v>
      </c>
      <c r="N51" s="87">
        <v>34</v>
      </c>
      <c r="S51" s="36"/>
      <c r="T51" s="36"/>
    </row>
    <row r="52" spans="1:20" s="38" customFormat="1" ht="15.75" x14ac:dyDescent="0.3">
      <c r="A52" s="36" t="str">
        <f xml:space="preserve"> IF( 'From SvanPC++'!A42= "", "", ('From SvanPC++'!A42))</f>
        <v/>
      </c>
      <c r="B52" s="35" t="s">
        <v>78</v>
      </c>
      <c r="C52" s="34">
        <v>32.299999999999997</v>
      </c>
      <c r="D52" s="36"/>
      <c r="E52" s="20">
        <v>43911</v>
      </c>
      <c r="F52" s="19">
        <v>4.1846064814814815E-2</v>
      </c>
      <c r="H52" s="19">
        <f t="shared" si="0"/>
        <v>4.1666666666666664E-2</v>
      </c>
      <c r="I52" s="36"/>
      <c r="L52" s="86">
        <v>43911</v>
      </c>
      <c r="M52" s="82">
        <v>4.1666666666666664E-2</v>
      </c>
      <c r="N52" s="87">
        <v>32.299999999999997</v>
      </c>
      <c r="S52" s="36"/>
      <c r="T52" s="36"/>
    </row>
    <row r="53" spans="1:20" s="38" customFormat="1" ht="15.75" x14ac:dyDescent="0.3">
      <c r="A53" s="36" t="str">
        <f xml:space="preserve"> IF( 'From SvanPC++'!A43= "", "", ('From SvanPC++'!A43))</f>
        <v/>
      </c>
      <c r="B53" s="35" t="s">
        <v>79</v>
      </c>
      <c r="C53" s="34">
        <v>32.4</v>
      </c>
      <c r="D53" s="36"/>
      <c r="E53" s="20">
        <v>43911</v>
      </c>
      <c r="F53" s="19">
        <v>8.3512731481481473E-2</v>
      </c>
      <c r="H53" s="19">
        <f t="shared" si="0"/>
        <v>8.3333333333333329E-2</v>
      </c>
      <c r="I53" s="36"/>
      <c r="L53" s="86">
        <v>43911</v>
      </c>
      <c r="M53" s="82">
        <v>8.3333333333333329E-2</v>
      </c>
      <c r="N53" s="87">
        <v>32.4</v>
      </c>
      <c r="S53" s="36"/>
      <c r="T53" s="36"/>
    </row>
    <row r="54" spans="1:20" s="38" customFormat="1" ht="15.75" x14ac:dyDescent="0.3">
      <c r="A54" s="36" t="str">
        <f xml:space="preserve"> IF( 'From SvanPC++'!A44= "", "", ('From SvanPC++'!A44))</f>
        <v/>
      </c>
      <c r="B54" s="35" t="s">
        <v>80</v>
      </c>
      <c r="C54" s="34">
        <v>30.2</v>
      </c>
      <c r="D54" s="36"/>
      <c r="E54" s="20">
        <v>43911</v>
      </c>
      <c r="F54" s="19">
        <v>0.12517939814814813</v>
      </c>
      <c r="H54" s="19">
        <f t="shared" si="0"/>
        <v>0.125</v>
      </c>
      <c r="I54" s="36"/>
      <c r="L54" s="86">
        <v>43911</v>
      </c>
      <c r="M54" s="82">
        <v>0.125</v>
      </c>
      <c r="N54" s="87">
        <v>30.2</v>
      </c>
      <c r="S54" s="36"/>
      <c r="T54" s="36"/>
    </row>
    <row r="55" spans="1:20" s="38" customFormat="1" ht="15.75" x14ac:dyDescent="0.3">
      <c r="A55" s="36" t="str">
        <f xml:space="preserve"> IF( 'From SvanPC++'!A45= "", "", ('From SvanPC++'!A45))</f>
        <v/>
      </c>
      <c r="B55" s="35" t="s">
        <v>81</v>
      </c>
      <c r="C55" s="34">
        <v>29.8</v>
      </c>
      <c r="D55" s="36"/>
      <c r="E55" s="20">
        <v>43911</v>
      </c>
      <c r="F55" s="19">
        <v>0.16684606481481482</v>
      </c>
      <c r="H55" s="19">
        <f t="shared" si="0"/>
        <v>0.16666666666666666</v>
      </c>
      <c r="I55" s="36"/>
      <c r="L55" s="86">
        <v>43911</v>
      </c>
      <c r="M55" s="82">
        <v>0.16666666666666666</v>
      </c>
      <c r="N55" s="87">
        <v>29.8</v>
      </c>
      <c r="S55" s="36"/>
      <c r="T55" s="36"/>
    </row>
    <row r="56" spans="1:20" s="38" customFormat="1" ht="15.75" x14ac:dyDescent="0.3">
      <c r="A56" s="36" t="str">
        <f xml:space="preserve"> IF( 'From SvanPC++'!A46= "", "", ('From SvanPC++'!A46))</f>
        <v/>
      </c>
      <c r="B56" s="35" t="s">
        <v>82</v>
      </c>
      <c r="C56" s="34">
        <v>30.7</v>
      </c>
      <c r="D56" s="36"/>
      <c r="E56" s="20">
        <v>43911</v>
      </c>
      <c r="F56" s="19">
        <v>0.2085127314814815</v>
      </c>
      <c r="H56" s="19">
        <f t="shared" si="0"/>
        <v>0.20833333333333331</v>
      </c>
      <c r="I56" s="36"/>
      <c r="L56" s="86">
        <v>43911</v>
      </c>
      <c r="M56" s="82">
        <v>0.20833333333333331</v>
      </c>
      <c r="N56" s="87">
        <v>30.7</v>
      </c>
      <c r="S56" s="36"/>
      <c r="T56" s="36"/>
    </row>
    <row r="57" spans="1:20" s="38" customFormat="1" ht="15.75" x14ac:dyDescent="0.3">
      <c r="A57" s="36" t="str">
        <f xml:space="preserve"> IF( 'From SvanPC++'!A47= "", "", ('From SvanPC++'!A47))</f>
        <v/>
      </c>
      <c r="B57" s="35" t="s">
        <v>83</v>
      </c>
      <c r="C57" s="34">
        <v>33.200000000000003</v>
      </c>
      <c r="D57" s="36"/>
      <c r="E57" s="20">
        <v>43911</v>
      </c>
      <c r="F57" s="19">
        <v>0.25017939814814816</v>
      </c>
      <c r="H57" s="19">
        <f t="shared" si="0"/>
        <v>0.25</v>
      </c>
      <c r="I57" s="36"/>
      <c r="L57" s="86">
        <v>43911</v>
      </c>
      <c r="M57" s="82">
        <v>0.25</v>
      </c>
      <c r="N57" s="87">
        <v>33.200000000000003</v>
      </c>
      <c r="S57" s="36"/>
      <c r="T57" s="36"/>
    </row>
    <row r="58" spans="1:20" s="38" customFormat="1" ht="15.75" x14ac:dyDescent="0.3">
      <c r="A58" s="36" t="str">
        <f xml:space="preserve"> IF( 'From SvanPC++'!A48= "", "", ('From SvanPC++'!A48))</f>
        <v/>
      </c>
      <c r="B58" s="35" t="s">
        <v>84</v>
      </c>
      <c r="C58" s="34">
        <v>35.200000000000003</v>
      </c>
      <c r="D58" s="36"/>
      <c r="E58" s="20">
        <v>43911</v>
      </c>
      <c r="F58" s="19">
        <v>0.29184606481481484</v>
      </c>
      <c r="H58" s="19">
        <f t="shared" si="0"/>
        <v>0.29166666666666663</v>
      </c>
      <c r="I58" s="36"/>
      <c r="L58" s="86">
        <v>43911</v>
      </c>
      <c r="M58" s="82">
        <v>0.29166666666666663</v>
      </c>
      <c r="N58" s="87">
        <v>35.200000000000003</v>
      </c>
      <c r="S58" s="36"/>
      <c r="T58" s="36"/>
    </row>
    <row r="59" spans="1:20" s="38" customFormat="1" ht="15.75" x14ac:dyDescent="0.3">
      <c r="A59" s="36" t="str">
        <f xml:space="preserve"> IF( 'From SvanPC++'!A49= "", "", ('From SvanPC++'!A49))</f>
        <v/>
      </c>
      <c r="B59" s="35" t="s">
        <v>85</v>
      </c>
      <c r="C59" s="34">
        <v>38.799999999999997</v>
      </c>
      <c r="D59" s="36"/>
      <c r="E59" s="20">
        <v>43911</v>
      </c>
      <c r="F59" s="19">
        <v>0.33351273148148147</v>
      </c>
      <c r="H59" s="19">
        <f t="shared" si="0"/>
        <v>0.33333333333333331</v>
      </c>
      <c r="I59" s="36"/>
      <c r="L59" s="86">
        <v>43911</v>
      </c>
      <c r="M59" s="82">
        <v>0.33333333333333331</v>
      </c>
      <c r="N59" s="87">
        <v>38.799999999999997</v>
      </c>
      <c r="S59" s="36"/>
      <c r="T59" s="36"/>
    </row>
    <row r="60" spans="1:20" s="38" customFormat="1" ht="15.75" x14ac:dyDescent="0.3">
      <c r="A60" s="36" t="str">
        <f xml:space="preserve"> IF( 'From SvanPC++'!A50= "", "", ('From SvanPC++'!A50))</f>
        <v/>
      </c>
      <c r="B60" s="35" t="s">
        <v>86</v>
      </c>
      <c r="C60" s="34">
        <v>41</v>
      </c>
      <c r="D60" s="36"/>
      <c r="E60" s="20">
        <v>43911</v>
      </c>
      <c r="F60" s="19">
        <v>0.37517939814814816</v>
      </c>
      <c r="H60" s="19">
        <f t="shared" si="0"/>
        <v>0.375</v>
      </c>
      <c r="I60" s="36"/>
      <c r="L60" s="86">
        <v>43911</v>
      </c>
      <c r="M60" s="82">
        <v>0.375</v>
      </c>
      <c r="N60" s="87">
        <v>41</v>
      </c>
      <c r="S60" s="36"/>
      <c r="T60" s="36"/>
    </row>
    <row r="61" spans="1:20" s="38" customFormat="1" ht="15.75" x14ac:dyDescent="0.3">
      <c r="A61" s="36" t="str">
        <f xml:space="preserve"> IF( 'From SvanPC++'!A51= "", "", ('From SvanPC++'!A51))</f>
        <v/>
      </c>
      <c r="B61" s="35" t="s">
        <v>87</v>
      </c>
      <c r="C61" s="34">
        <v>42.1</v>
      </c>
      <c r="D61" s="36"/>
      <c r="E61" s="20">
        <v>43911</v>
      </c>
      <c r="F61" s="19">
        <v>0.41684606481481484</v>
      </c>
      <c r="H61" s="19">
        <f t="shared" si="0"/>
        <v>0.41666666666666663</v>
      </c>
      <c r="I61" s="36"/>
      <c r="L61" s="86">
        <v>43911</v>
      </c>
      <c r="M61" s="82">
        <v>0.41666666666666663</v>
      </c>
      <c r="N61" s="87">
        <v>42.1</v>
      </c>
      <c r="S61" s="36"/>
      <c r="T61" s="36"/>
    </row>
    <row r="62" spans="1:20" s="38" customFormat="1" ht="15.75" x14ac:dyDescent="0.3">
      <c r="A62" s="36" t="str">
        <f xml:space="preserve"> IF( 'From SvanPC++'!A52= "", "", ('From SvanPC++'!A52))</f>
        <v/>
      </c>
      <c r="B62" s="35" t="s">
        <v>88</v>
      </c>
      <c r="C62" s="34">
        <v>41.1</v>
      </c>
      <c r="D62" s="36"/>
      <c r="E62" s="20">
        <v>43911</v>
      </c>
      <c r="F62" s="19">
        <v>0.45851273148148147</v>
      </c>
      <c r="H62" s="19">
        <f t="shared" si="0"/>
        <v>0.45833333333333331</v>
      </c>
      <c r="I62" s="36"/>
      <c r="L62" s="86">
        <v>43911</v>
      </c>
      <c r="M62" s="82">
        <v>0.45833333333333331</v>
      </c>
      <c r="N62" s="87">
        <v>41.1</v>
      </c>
      <c r="S62" s="36"/>
      <c r="T62" s="36"/>
    </row>
    <row r="63" spans="1:20" s="38" customFormat="1" ht="15.75" x14ac:dyDescent="0.3">
      <c r="A63" s="36" t="str">
        <f xml:space="preserve"> IF( 'From SvanPC++'!A53= "", "", ('From SvanPC++'!A53))</f>
        <v/>
      </c>
      <c r="B63" s="35" t="s">
        <v>89</v>
      </c>
      <c r="C63" s="34">
        <v>41.2</v>
      </c>
      <c r="D63" s="36"/>
      <c r="E63" s="20">
        <v>43911</v>
      </c>
      <c r="F63" s="19">
        <v>0.50017939814814816</v>
      </c>
      <c r="H63" s="19">
        <f t="shared" si="0"/>
        <v>0.5</v>
      </c>
      <c r="I63" s="36"/>
      <c r="L63" s="86">
        <v>43911</v>
      </c>
      <c r="M63" s="82">
        <v>0.5</v>
      </c>
      <c r="N63" s="87">
        <v>41.2</v>
      </c>
      <c r="S63" s="36"/>
      <c r="T63" s="36"/>
    </row>
    <row r="64" spans="1:20" s="38" customFormat="1" ht="15.75" x14ac:dyDescent="0.3">
      <c r="A64" s="36" t="str">
        <f xml:space="preserve"> IF( 'From SvanPC++'!A54= "", "", ('From SvanPC++'!A54))</f>
        <v/>
      </c>
      <c r="B64" s="35" t="s">
        <v>90</v>
      </c>
      <c r="C64" s="34">
        <v>39.5</v>
      </c>
      <c r="D64" s="36"/>
      <c r="E64" s="20">
        <v>43911</v>
      </c>
      <c r="F64" s="19">
        <v>0.54184606481481479</v>
      </c>
      <c r="H64" s="19">
        <f t="shared" si="0"/>
        <v>0.54166666666666663</v>
      </c>
      <c r="I64" s="36"/>
      <c r="L64" s="86">
        <v>43911</v>
      </c>
      <c r="M64" s="82">
        <v>0.54166666666666663</v>
      </c>
      <c r="N64" s="87">
        <v>39.5</v>
      </c>
      <c r="S64" s="36"/>
      <c r="T64" s="36"/>
    </row>
    <row r="65" spans="1:20" s="38" customFormat="1" ht="15.75" x14ac:dyDescent="0.3">
      <c r="A65" s="36" t="str">
        <f xml:space="preserve"> IF( 'From SvanPC++'!A55= "", "", ('From SvanPC++'!A55))</f>
        <v/>
      </c>
      <c r="B65" s="35" t="s">
        <v>91</v>
      </c>
      <c r="C65" s="34">
        <v>36.200000000000003</v>
      </c>
      <c r="D65" s="36"/>
      <c r="E65" s="20">
        <v>43911</v>
      </c>
      <c r="F65" s="19">
        <v>0.58351273148148153</v>
      </c>
      <c r="H65" s="19">
        <f t="shared" si="0"/>
        <v>0.58333333333333326</v>
      </c>
      <c r="I65" s="36"/>
      <c r="L65" s="86">
        <v>43911</v>
      </c>
      <c r="M65" s="82">
        <v>0.58333333333333326</v>
      </c>
      <c r="N65" s="87">
        <v>36.200000000000003</v>
      </c>
      <c r="S65" s="36"/>
      <c r="T65" s="36"/>
    </row>
    <row r="66" spans="1:20" s="38" customFormat="1" ht="15.75" x14ac:dyDescent="0.3">
      <c r="A66" s="36" t="str">
        <f xml:space="preserve"> IF( 'From SvanPC++'!A56= "", "", ('From SvanPC++'!A56))</f>
        <v/>
      </c>
      <c r="B66" s="35" t="s">
        <v>92</v>
      </c>
      <c r="C66" s="34">
        <v>34.1</v>
      </c>
      <c r="D66" s="36"/>
      <c r="E66" s="20">
        <v>43911</v>
      </c>
      <c r="F66" s="19">
        <v>0.62517939814814816</v>
      </c>
      <c r="H66" s="19">
        <f t="shared" si="0"/>
        <v>0.625</v>
      </c>
      <c r="I66" s="36"/>
      <c r="L66" s="86">
        <v>43911</v>
      </c>
      <c r="M66" s="82">
        <v>0.625</v>
      </c>
      <c r="N66" s="87">
        <v>34.1</v>
      </c>
      <c r="S66" s="36"/>
      <c r="T66" s="36"/>
    </row>
    <row r="67" spans="1:20" s="38" customFormat="1" ht="15.75" x14ac:dyDescent="0.3">
      <c r="A67" s="36" t="str">
        <f xml:space="preserve"> IF( 'From SvanPC++'!A57= "", "", ('From SvanPC++'!A57))</f>
        <v/>
      </c>
      <c r="B67" s="35" t="s">
        <v>93</v>
      </c>
      <c r="C67" s="34">
        <v>35</v>
      </c>
      <c r="D67" s="36"/>
      <c r="E67" s="20">
        <v>43911</v>
      </c>
      <c r="F67" s="19">
        <v>0.66684606481481479</v>
      </c>
      <c r="H67" s="19">
        <f t="shared" si="0"/>
        <v>0.66666666666666663</v>
      </c>
      <c r="I67" s="36"/>
      <c r="L67" s="86">
        <v>43911</v>
      </c>
      <c r="M67" s="82">
        <v>0.66666666666666663</v>
      </c>
      <c r="N67" s="87">
        <v>35</v>
      </c>
      <c r="S67" s="36"/>
      <c r="T67" s="36"/>
    </row>
    <row r="68" spans="1:20" s="38" customFormat="1" ht="15.75" x14ac:dyDescent="0.3">
      <c r="A68" s="36" t="str">
        <f xml:space="preserve"> IF( 'From SvanPC++'!A58= "", "", ('From SvanPC++'!A58))</f>
        <v/>
      </c>
      <c r="B68" s="35" t="s">
        <v>94</v>
      </c>
      <c r="C68" s="34">
        <v>33.6</v>
      </c>
      <c r="D68" s="36"/>
      <c r="E68" s="20">
        <v>43911</v>
      </c>
      <c r="F68" s="19">
        <v>0.70851273148148142</v>
      </c>
      <c r="H68" s="19">
        <f t="shared" si="0"/>
        <v>0.70833333333333326</v>
      </c>
      <c r="I68" s="36"/>
      <c r="L68" s="86">
        <v>43911</v>
      </c>
      <c r="M68" s="82">
        <v>0.70833333333333326</v>
      </c>
      <c r="N68" s="87">
        <v>33.6</v>
      </c>
      <c r="S68" s="36"/>
      <c r="T68" s="36"/>
    </row>
    <row r="69" spans="1:20" s="38" customFormat="1" ht="15.75" x14ac:dyDescent="0.3">
      <c r="A69" s="36" t="str">
        <f xml:space="preserve"> IF( 'From SvanPC++'!A59= "", "", ('From SvanPC++'!A59))</f>
        <v/>
      </c>
      <c r="B69" s="35" t="s">
        <v>95</v>
      </c>
      <c r="C69" s="34">
        <v>33.6</v>
      </c>
      <c r="D69" s="36"/>
      <c r="E69" s="20">
        <v>43911</v>
      </c>
      <c r="F69" s="19">
        <v>0.75017939814814805</v>
      </c>
      <c r="H69" s="19">
        <f t="shared" si="0"/>
        <v>0.75</v>
      </c>
      <c r="I69" s="36"/>
      <c r="L69" s="86">
        <v>43911</v>
      </c>
      <c r="M69" s="82">
        <v>0.75</v>
      </c>
      <c r="N69" s="87">
        <v>33.6</v>
      </c>
      <c r="S69" s="36"/>
      <c r="T69" s="36"/>
    </row>
    <row r="70" spans="1:20" s="38" customFormat="1" ht="15.75" x14ac:dyDescent="0.3">
      <c r="A70" s="36" t="str">
        <f xml:space="preserve"> IF( 'From SvanPC++'!A60= "", "", ('From SvanPC++'!A60))</f>
        <v/>
      </c>
      <c r="B70" s="35" t="s">
        <v>96</v>
      </c>
      <c r="C70" s="34">
        <v>35.700000000000003</v>
      </c>
      <c r="D70" s="36"/>
      <c r="E70" s="20">
        <v>43911</v>
      </c>
      <c r="F70" s="19">
        <v>0.79184606481481479</v>
      </c>
      <c r="H70" s="19">
        <f t="shared" si="0"/>
        <v>0.79166666666666663</v>
      </c>
      <c r="I70" s="36"/>
      <c r="L70" s="86">
        <v>43911</v>
      </c>
      <c r="M70" s="82">
        <v>0.79166666666666663</v>
      </c>
      <c r="N70" s="87">
        <v>35.700000000000003</v>
      </c>
      <c r="S70" s="36"/>
      <c r="T70" s="36"/>
    </row>
    <row r="71" spans="1:20" s="38" customFormat="1" ht="15.75" x14ac:dyDescent="0.3">
      <c r="A71" s="36" t="str">
        <f xml:space="preserve"> IF( 'From SvanPC++'!A61= "", "", ('From SvanPC++'!A61))</f>
        <v/>
      </c>
      <c r="B71" s="35" t="s">
        <v>97</v>
      </c>
      <c r="C71" s="34">
        <v>36.1</v>
      </c>
      <c r="D71" s="36"/>
      <c r="E71" s="20">
        <v>43911</v>
      </c>
      <c r="F71" s="19">
        <v>0.83351273148148142</v>
      </c>
      <c r="H71" s="19">
        <f t="shared" si="0"/>
        <v>0.83333333333333326</v>
      </c>
      <c r="I71" s="36"/>
      <c r="L71" s="86">
        <v>43911</v>
      </c>
      <c r="M71" s="82">
        <v>0.83333333333333326</v>
      </c>
      <c r="N71" s="87">
        <v>36.1</v>
      </c>
      <c r="S71" s="36"/>
      <c r="T71" s="36"/>
    </row>
    <row r="72" spans="1:20" s="38" customFormat="1" ht="15.75" x14ac:dyDescent="0.3">
      <c r="A72" s="36" t="str">
        <f xml:space="preserve"> IF( 'From SvanPC++'!A62= "", "", ('From SvanPC++'!A62))</f>
        <v/>
      </c>
      <c r="B72" s="35" t="s">
        <v>98</v>
      </c>
      <c r="C72" s="34">
        <v>34.700000000000003</v>
      </c>
      <c r="D72" s="36"/>
      <c r="E72" s="20">
        <v>43911</v>
      </c>
      <c r="F72" s="19">
        <v>0.87517939814814805</v>
      </c>
      <c r="H72" s="19">
        <f t="shared" si="0"/>
        <v>0.875</v>
      </c>
      <c r="I72" s="36"/>
      <c r="L72" s="86">
        <v>43911</v>
      </c>
      <c r="M72" s="82">
        <v>0.875</v>
      </c>
      <c r="N72" s="87">
        <v>34.700000000000003</v>
      </c>
      <c r="S72" s="36"/>
      <c r="T72" s="36"/>
    </row>
    <row r="73" spans="1:20" s="38" customFormat="1" ht="15.75" x14ac:dyDescent="0.3">
      <c r="A73" s="36" t="str">
        <f xml:space="preserve"> IF( 'From SvanPC++'!A63= "", "", ('From SvanPC++'!A63))</f>
        <v/>
      </c>
      <c r="B73" s="35" t="s">
        <v>99</v>
      </c>
      <c r="C73" s="34">
        <v>37.4</v>
      </c>
      <c r="D73" s="36"/>
      <c r="E73" s="20">
        <v>43911</v>
      </c>
      <c r="F73" s="19">
        <v>0.91684606481481479</v>
      </c>
      <c r="H73" s="19">
        <f t="shared" si="0"/>
        <v>0.91666666666666663</v>
      </c>
      <c r="I73" s="36"/>
      <c r="L73" s="86">
        <v>43911</v>
      </c>
      <c r="M73" s="82">
        <v>0.91666666666666663</v>
      </c>
      <c r="N73" s="87">
        <v>37.4</v>
      </c>
      <c r="S73" s="36"/>
      <c r="T73" s="36"/>
    </row>
    <row r="74" spans="1:20" s="38" customFormat="1" ht="15.75" x14ac:dyDescent="0.3">
      <c r="A74" s="36" t="str">
        <f xml:space="preserve"> IF( 'From SvanPC++'!A64= "", "", ('From SvanPC++'!A64))</f>
        <v/>
      </c>
      <c r="B74" s="35" t="s">
        <v>100</v>
      </c>
      <c r="C74" s="34">
        <v>37.6</v>
      </c>
      <c r="D74" s="36"/>
      <c r="E74" s="20">
        <v>43911</v>
      </c>
      <c r="F74" s="19">
        <v>0.95851273148148142</v>
      </c>
      <c r="H74" s="19">
        <f t="shared" si="0"/>
        <v>0.95833333333333326</v>
      </c>
      <c r="I74" s="36"/>
      <c r="L74" s="86">
        <v>43911</v>
      </c>
      <c r="M74" s="82">
        <v>0.95833333333333326</v>
      </c>
      <c r="N74" s="87">
        <v>37.6</v>
      </c>
      <c r="S74" s="36"/>
      <c r="T74" s="36"/>
    </row>
    <row r="75" spans="1:20" s="38" customFormat="1" ht="15.75" x14ac:dyDescent="0.3">
      <c r="A75" s="36" t="str">
        <f xml:space="preserve"> IF( 'From SvanPC++'!A65= "", "", ('From SvanPC++'!A65))</f>
        <v/>
      </c>
      <c r="B75" s="35" t="s">
        <v>101</v>
      </c>
      <c r="C75" s="34">
        <v>37.6</v>
      </c>
      <c r="D75" s="36"/>
      <c r="E75" s="20">
        <v>43912</v>
      </c>
      <c r="F75" s="19">
        <v>1.7939814814814817E-4</v>
      </c>
      <c r="H75" s="19">
        <f t="shared" si="0"/>
        <v>0</v>
      </c>
      <c r="I75" s="36"/>
      <c r="L75" s="86">
        <v>43912</v>
      </c>
      <c r="M75" s="82">
        <v>0</v>
      </c>
      <c r="N75" s="87">
        <v>37.6</v>
      </c>
      <c r="S75" s="36"/>
      <c r="T75" s="36"/>
    </row>
    <row r="76" spans="1:20" s="38" customFormat="1" ht="15.75" x14ac:dyDescent="0.3">
      <c r="A76" s="36" t="str">
        <f xml:space="preserve"> IF( 'From SvanPC++'!A66= "", "", ('From SvanPC++'!A66))</f>
        <v/>
      </c>
      <c r="B76" s="35" t="s">
        <v>102</v>
      </c>
      <c r="C76" s="34">
        <v>37.4</v>
      </c>
      <c r="D76" s="36"/>
      <c r="E76" s="20">
        <v>43912</v>
      </c>
      <c r="F76" s="19">
        <v>4.1846064814814815E-2</v>
      </c>
      <c r="H76" s="19">
        <f t="shared" si="0"/>
        <v>4.1666666666666664E-2</v>
      </c>
      <c r="I76" s="36"/>
      <c r="L76" s="86">
        <v>43912</v>
      </c>
      <c r="M76" s="82">
        <v>4.1666666666666664E-2</v>
      </c>
      <c r="N76" s="87">
        <v>37.4</v>
      </c>
      <c r="S76" s="36"/>
      <c r="T76" s="36"/>
    </row>
    <row r="77" spans="1:20" s="38" customFormat="1" ht="15.75" x14ac:dyDescent="0.3">
      <c r="A77" s="36" t="str">
        <f xml:space="preserve"> IF( 'From SvanPC++'!A67= "", "", ('From SvanPC++'!A67))</f>
        <v/>
      </c>
      <c r="B77" s="35" t="s">
        <v>103</v>
      </c>
      <c r="C77" s="34">
        <v>34.799999999999997</v>
      </c>
      <c r="D77" s="36"/>
      <c r="E77" s="20">
        <v>43912</v>
      </c>
      <c r="F77" s="19">
        <v>8.3512731481481473E-2</v>
      </c>
      <c r="H77" s="19">
        <f t="shared" si="0"/>
        <v>8.3333333333333329E-2</v>
      </c>
      <c r="I77" s="36"/>
      <c r="L77" s="86">
        <v>43912</v>
      </c>
      <c r="M77" s="82">
        <v>8.3333333333333329E-2</v>
      </c>
      <c r="N77" s="87">
        <v>34.799999999999997</v>
      </c>
      <c r="S77" s="36"/>
      <c r="T77" s="36"/>
    </row>
    <row r="78" spans="1:20" s="38" customFormat="1" ht="15.75" x14ac:dyDescent="0.3">
      <c r="A78" s="36" t="str">
        <f xml:space="preserve"> IF( 'From SvanPC++'!A68= "", "", ('From SvanPC++'!A68))</f>
        <v/>
      </c>
      <c r="B78" s="35" t="s">
        <v>104</v>
      </c>
      <c r="C78" s="34">
        <v>33.299999999999997</v>
      </c>
      <c r="D78" s="36"/>
      <c r="E78" s="20">
        <v>43912</v>
      </c>
      <c r="F78" s="19">
        <v>0.12517939814814813</v>
      </c>
      <c r="H78" s="19">
        <f t="shared" si="0"/>
        <v>0.125</v>
      </c>
      <c r="I78" s="36"/>
      <c r="L78" s="86">
        <v>43912</v>
      </c>
      <c r="M78" s="82">
        <v>0.125</v>
      </c>
      <c r="N78" s="87">
        <v>33.299999999999997</v>
      </c>
      <c r="S78" s="36"/>
      <c r="T78" s="36"/>
    </row>
    <row r="79" spans="1:20" s="38" customFormat="1" ht="15.75" x14ac:dyDescent="0.3">
      <c r="A79" s="36" t="str">
        <f xml:space="preserve"> IF( 'From SvanPC++'!A69= "", "", ('From SvanPC++'!A69))</f>
        <v/>
      </c>
      <c r="B79" s="35" t="s">
        <v>105</v>
      </c>
      <c r="C79" s="34">
        <v>32.5</v>
      </c>
      <c r="D79" s="36"/>
      <c r="E79" s="20">
        <v>43912</v>
      </c>
      <c r="F79" s="19">
        <v>0.16684606481481482</v>
      </c>
      <c r="H79" s="19">
        <f t="shared" si="0"/>
        <v>0.16666666666666666</v>
      </c>
      <c r="I79" s="36"/>
      <c r="L79" s="86">
        <v>43912</v>
      </c>
      <c r="M79" s="82">
        <v>0.16666666666666666</v>
      </c>
      <c r="N79" s="87">
        <v>32.5</v>
      </c>
      <c r="S79" s="36"/>
      <c r="T79" s="36"/>
    </row>
    <row r="80" spans="1:20" s="38" customFormat="1" ht="15.75" x14ac:dyDescent="0.3">
      <c r="A80" s="36" t="str">
        <f xml:space="preserve"> IF( 'From SvanPC++'!A70= "", "", ('From SvanPC++'!A70))</f>
        <v/>
      </c>
      <c r="B80" s="35" t="s">
        <v>106</v>
      </c>
      <c r="C80" s="34">
        <v>32.200000000000003</v>
      </c>
      <c r="D80" s="36"/>
      <c r="E80" s="20">
        <v>43912</v>
      </c>
      <c r="F80" s="19">
        <v>0.2085127314814815</v>
      </c>
      <c r="H80" s="19">
        <f t="shared" si="0"/>
        <v>0.20833333333333331</v>
      </c>
      <c r="I80" s="36"/>
      <c r="L80" s="86">
        <v>43912</v>
      </c>
      <c r="M80" s="82">
        <v>0.20833333333333331</v>
      </c>
      <c r="N80" s="87">
        <v>32.200000000000003</v>
      </c>
      <c r="S80" s="36"/>
      <c r="T80" s="36"/>
    </row>
    <row r="81" spans="1:20" s="38" customFormat="1" ht="15.75" x14ac:dyDescent="0.3">
      <c r="A81" s="36" t="str">
        <f xml:space="preserve"> IF( 'From SvanPC++'!A71= "", "", ('From SvanPC++'!A71))</f>
        <v/>
      </c>
      <c r="B81" s="35" t="s">
        <v>107</v>
      </c>
      <c r="C81" s="34">
        <v>31.6</v>
      </c>
      <c r="D81" s="36"/>
      <c r="E81" s="20">
        <v>43912</v>
      </c>
      <c r="F81" s="19">
        <v>0.25017939814814816</v>
      </c>
      <c r="H81" s="19">
        <f t="shared" si="0"/>
        <v>0.25</v>
      </c>
      <c r="I81" s="36"/>
      <c r="L81" s="86">
        <v>43912</v>
      </c>
      <c r="M81" s="82">
        <v>0.25</v>
      </c>
      <c r="N81" s="87">
        <v>31.6</v>
      </c>
      <c r="S81" s="36"/>
      <c r="T81" s="36"/>
    </row>
    <row r="82" spans="1:20" s="38" customFormat="1" ht="15.75" x14ac:dyDescent="0.3">
      <c r="A82" s="36" t="str">
        <f xml:space="preserve"> IF( 'From SvanPC++'!A72= "", "", ('From SvanPC++'!A72))</f>
        <v/>
      </c>
      <c r="B82" s="35" t="s">
        <v>108</v>
      </c>
      <c r="C82" s="34">
        <v>33.700000000000003</v>
      </c>
      <c r="D82" s="36"/>
      <c r="E82" s="20">
        <v>43912</v>
      </c>
      <c r="F82" s="19">
        <v>0.29184606481481484</v>
      </c>
      <c r="H82" s="19">
        <f t="shared" ref="H82:H113" si="1">(MROUND(F82,"1:00"))</f>
        <v>0.29166666666666663</v>
      </c>
      <c r="I82" s="36"/>
      <c r="L82" s="86">
        <v>43912</v>
      </c>
      <c r="M82" s="82">
        <v>0.29166666666666663</v>
      </c>
      <c r="N82" s="87">
        <v>33.700000000000003</v>
      </c>
      <c r="S82" s="36"/>
      <c r="T82" s="36"/>
    </row>
    <row r="83" spans="1:20" s="38" customFormat="1" ht="15.75" x14ac:dyDescent="0.3">
      <c r="A83" s="36" t="str">
        <f xml:space="preserve"> IF( 'From SvanPC++'!A73= "", "", ('From SvanPC++'!A73))</f>
        <v/>
      </c>
      <c r="B83" s="35" t="s">
        <v>109</v>
      </c>
      <c r="C83" s="34">
        <v>37</v>
      </c>
      <c r="D83" s="36"/>
      <c r="E83" s="20">
        <v>43912</v>
      </c>
      <c r="F83" s="19">
        <v>0.33351273148148147</v>
      </c>
      <c r="H83" s="19">
        <f t="shared" si="1"/>
        <v>0.33333333333333331</v>
      </c>
      <c r="I83" s="36"/>
      <c r="L83" s="86">
        <v>43912</v>
      </c>
      <c r="M83" s="82">
        <v>0.33333333333333331</v>
      </c>
      <c r="N83" s="87">
        <v>37</v>
      </c>
      <c r="S83" s="36"/>
      <c r="T83" s="36"/>
    </row>
    <row r="84" spans="1:20" s="38" customFormat="1" ht="15.75" x14ac:dyDescent="0.3">
      <c r="A84" s="36" t="str">
        <f xml:space="preserve"> IF( 'From SvanPC++'!A74= "", "", ('From SvanPC++'!A74))</f>
        <v/>
      </c>
      <c r="B84" s="35" t="s">
        <v>110</v>
      </c>
      <c r="C84" s="34">
        <v>33.299999999999997</v>
      </c>
      <c r="D84" s="36"/>
      <c r="E84" s="20">
        <v>43912</v>
      </c>
      <c r="F84" s="19">
        <v>0.37517939814814816</v>
      </c>
      <c r="H84" s="19">
        <f t="shared" si="1"/>
        <v>0.375</v>
      </c>
      <c r="I84" s="36"/>
      <c r="L84" s="86">
        <v>43912</v>
      </c>
      <c r="M84" s="82">
        <v>0.375</v>
      </c>
      <c r="N84" s="87">
        <v>33.299999999999997</v>
      </c>
      <c r="S84" s="36"/>
      <c r="T84" s="36"/>
    </row>
    <row r="85" spans="1:20" s="38" customFormat="1" ht="15.75" x14ac:dyDescent="0.3">
      <c r="A85" s="36" t="str">
        <f xml:space="preserve"> IF( 'From SvanPC++'!A75= "", "", ('From SvanPC++'!A75))</f>
        <v/>
      </c>
      <c r="B85" s="35" t="s">
        <v>111</v>
      </c>
      <c r="C85" s="34">
        <v>33.6</v>
      </c>
      <c r="D85" s="36"/>
      <c r="E85" s="20">
        <v>43912</v>
      </c>
      <c r="F85" s="19">
        <v>0.41684606481481484</v>
      </c>
      <c r="H85" s="19">
        <f t="shared" si="1"/>
        <v>0.41666666666666663</v>
      </c>
      <c r="I85" s="36"/>
      <c r="L85" s="86">
        <v>43912</v>
      </c>
      <c r="M85" s="82">
        <v>0.41666666666666663</v>
      </c>
      <c r="N85" s="87">
        <v>33.6</v>
      </c>
      <c r="S85" s="36"/>
      <c r="T85" s="36"/>
    </row>
    <row r="86" spans="1:20" s="38" customFormat="1" ht="15.75" x14ac:dyDescent="0.3">
      <c r="A86" s="36" t="str">
        <f xml:space="preserve"> IF( 'From SvanPC++'!A76= "", "", ('From SvanPC++'!A76))</f>
        <v/>
      </c>
      <c r="B86" s="35" t="s">
        <v>112</v>
      </c>
      <c r="C86" s="34">
        <v>35.299999999999997</v>
      </c>
      <c r="D86" s="36"/>
      <c r="E86" s="20">
        <v>43912</v>
      </c>
      <c r="F86" s="19">
        <v>0.45851273148148147</v>
      </c>
      <c r="H86" s="19">
        <f t="shared" si="1"/>
        <v>0.45833333333333331</v>
      </c>
      <c r="I86" s="36"/>
      <c r="L86" s="86">
        <v>43912</v>
      </c>
      <c r="M86" s="82">
        <v>0.45833333333333331</v>
      </c>
      <c r="N86" s="87">
        <v>35.299999999999997</v>
      </c>
      <c r="S86" s="36"/>
      <c r="T86" s="36"/>
    </row>
    <row r="87" spans="1:20" s="38" customFormat="1" ht="15.75" x14ac:dyDescent="0.3">
      <c r="A87" s="36" t="str">
        <f xml:space="preserve"> IF( 'From SvanPC++'!A77= "", "", ('From SvanPC++'!A77))</f>
        <v/>
      </c>
      <c r="B87" s="35" t="s">
        <v>113</v>
      </c>
      <c r="C87" s="34">
        <v>35.4</v>
      </c>
      <c r="D87" s="36"/>
      <c r="E87" s="20">
        <v>43912</v>
      </c>
      <c r="F87" s="19">
        <v>0.50017939814814816</v>
      </c>
      <c r="H87" s="19">
        <f t="shared" si="1"/>
        <v>0.5</v>
      </c>
      <c r="I87" s="36"/>
      <c r="L87" s="86">
        <v>43912</v>
      </c>
      <c r="M87" s="82">
        <v>0.5</v>
      </c>
      <c r="N87" s="87">
        <v>35.4</v>
      </c>
      <c r="S87" s="36"/>
      <c r="T87" s="36"/>
    </row>
    <row r="88" spans="1:20" s="38" customFormat="1" ht="15.75" x14ac:dyDescent="0.3">
      <c r="A88" s="36" t="str">
        <f xml:space="preserve"> IF( 'From SvanPC++'!A78= "", "", ('From SvanPC++'!A78))</f>
        <v/>
      </c>
      <c r="B88" s="35" t="s">
        <v>114</v>
      </c>
      <c r="C88" s="34">
        <v>35.5</v>
      </c>
      <c r="D88" s="36"/>
      <c r="E88" s="20">
        <v>43912</v>
      </c>
      <c r="F88" s="19">
        <v>0.54184606481481479</v>
      </c>
      <c r="H88" s="19">
        <f t="shared" si="1"/>
        <v>0.54166666666666663</v>
      </c>
      <c r="I88" s="36"/>
      <c r="L88" s="86">
        <v>43912</v>
      </c>
      <c r="M88" s="82">
        <v>0.54166666666666663</v>
      </c>
      <c r="N88" s="87">
        <v>35.5</v>
      </c>
      <c r="S88" s="36"/>
      <c r="T88" s="36"/>
    </row>
    <row r="89" spans="1:20" s="38" customFormat="1" ht="15.75" x14ac:dyDescent="0.3">
      <c r="A89" s="36" t="str">
        <f xml:space="preserve"> IF( 'From SvanPC++'!A79= "", "", ('From SvanPC++'!A79))</f>
        <v/>
      </c>
      <c r="B89" s="35" t="s">
        <v>115</v>
      </c>
      <c r="C89" s="34">
        <v>36</v>
      </c>
      <c r="D89" s="36"/>
      <c r="E89" s="20">
        <v>43912</v>
      </c>
      <c r="F89" s="19">
        <v>0.58351273148148153</v>
      </c>
      <c r="H89" s="19">
        <f t="shared" si="1"/>
        <v>0.58333333333333326</v>
      </c>
      <c r="I89" s="36"/>
      <c r="L89" s="86">
        <v>43912</v>
      </c>
      <c r="M89" s="82">
        <v>0.58333333333333326</v>
      </c>
      <c r="N89" s="87">
        <v>36</v>
      </c>
      <c r="S89" s="36"/>
      <c r="T89" s="36"/>
    </row>
    <row r="90" spans="1:20" s="38" customFormat="1" ht="15.75" x14ac:dyDescent="0.3">
      <c r="A90" s="36" t="str">
        <f xml:space="preserve"> IF( 'From SvanPC++'!A80= "", "", ('From SvanPC++'!A80))</f>
        <v/>
      </c>
      <c r="B90" s="35" t="s">
        <v>116</v>
      </c>
      <c r="C90" s="34">
        <v>37.6</v>
      </c>
      <c r="D90" s="36"/>
      <c r="E90" s="20">
        <v>43912</v>
      </c>
      <c r="F90" s="19">
        <v>0.62517939814814816</v>
      </c>
      <c r="H90" s="19">
        <f t="shared" si="1"/>
        <v>0.625</v>
      </c>
      <c r="I90" s="36"/>
      <c r="L90" s="86">
        <v>43912</v>
      </c>
      <c r="M90" s="82">
        <v>0.625</v>
      </c>
      <c r="N90" s="87">
        <v>37.6</v>
      </c>
      <c r="S90" s="36"/>
      <c r="T90" s="36"/>
    </row>
    <row r="91" spans="1:20" s="38" customFormat="1" ht="15.75" x14ac:dyDescent="0.3">
      <c r="A91" s="36" t="str">
        <f xml:space="preserve"> IF( 'From SvanPC++'!A81= "", "", ('From SvanPC++'!A81))</f>
        <v/>
      </c>
      <c r="B91" s="35" t="s">
        <v>117</v>
      </c>
      <c r="C91" s="34">
        <v>37.200000000000003</v>
      </c>
      <c r="D91" s="36"/>
      <c r="E91" s="20">
        <v>43912</v>
      </c>
      <c r="F91" s="19">
        <v>0.66684606481481479</v>
      </c>
      <c r="H91" s="19">
        <f t="shared" si="1"/>
        <v>0.66666666666666663</v>
      </c>
      <c r="I91" s="36"/>
      <c r="L91" s="86">
        <v>43912</v>
      </c>
      <c r="M91" s="82">
        <v>0.66666666666666663</v>
      </c>
      <c r="N91" s="87">
        <v>37.200000000000003</v>
      </c>
      <c r="S91" s="36"/>
      <c r="T91" s="36"/>
    </row>
    <row r="92" spans="1:20" s="38" customFormat="1" ht="15.75" x14ac:dyDescent="0.3">
      <c r="A92" s="36" t="str">
        <f xml:space="preserve"> IF( 'From SvanPC++'!A82= "", "", ('From SvanPC++'!A82))</f>
        <v/>
      </c>
      <c r="B92" s="35" t="s">
        <v>118</v>
      </c>
      <c r="C92" s="34">
        <v>38.700000000000003</v>
      </c>
      <c r="D92" s="36"/>
      <c r="E92" s="20">
        <v>43912</v>
      </c>
      <c r="F92" s="19">
        <v>0.70851273148148142</v>
      </c>
      <c r="H92" s="19">
        <f t="shared" si="1"/>
        <v>0.70833333333333326</v>
      </c>
      <c r="I92" s="36"/>
      <c r="L92" s="86">
        <v>43912</v>
      </c>
      <c r="M92" s="82">
        <v>0.70833333333333326</v>
      </c>
      <c r="N92" s="87">
        <v>38.700000000000003</v>
      </c>
      <c r="S92" s="36"/>
      <c r="T92" s="36"/>
    </row>
    <row r="93" spans="1:20" s="38" customFormat="1" ht="15.75" x14ac:dyDescent="0.3">
      <c r="A93" s="36" t="str">
        <f xml:space="preserve"> IF( 'From SvanPC++'!A83= "", "", ('From SvanPC++'!A83))</f>
        <v/>
      </c>
      <c r="B93" s="35" t="s">
        <v>119</v>
      </c>
      <c r="C93" s="34">
        <v>38.1</v>
      </c>
      <c r="D93" s="36"/>
      <c r="E93" s="20">
        <v>43912</v>
      </c>
      <c r="F93" s="19">
        <v>0.75017939814814805</v>
      </c>
      <c r="H93" s="19">
        <f t="shared" si="1"/>
        <v>0.75</v>
      </c>
      <c r="I93" s="36"/>
      <c r="L93" s="86">
        <v>43912</v>
      </c>
      <c r="M93" s="82">
        <v>0.75</v>
      </c>
      <c r="N93" s="87">
        <v>38.1</v>
      </c>
      <c r="S93" s="36"/>
      <c r="T93" s="36"/>
    </row>
    <row r="94" spans="1:20" s="38" customFormat="1" ht="15.75" x14ac:dyDescent="0.3">
      <c r="A94" s="36" t="str">
        <f xml:space="preserve"> IF( 'From SvanPC++'!A84= "", "", ('From SvanPC++'!A84))</f>
        <v/>
      </c>
      <c r="B94" s="35" t="s">
        <v>120</v>
      </c>
      <c r="C94" s="34">
        <v>37.700000000000003</v>
      </c>
      <c r="D94" s="36"/>
      <c r="E94" s="20">
        <v>43912</v>
      </c>
      <c r="F94" s="19">
        <v>0.79184606481481479</v>
      </c>
      <c r="H94" s="19">
        <f t="shared" si="1"/>
        <v>0.79166666666666663</v>
      </c>
      <c r="I94" s="36"/>
      <c r="L94" s="86">
        <v>43912</v>
      </c>
      <c r="M94" s="82">
        <v>0.79166666666666663</v>
      </c>
      <c r="N94" s="87">
        <v>37.700000000000003</v>
      </c>
      <c r="S94" s="36"/>
      <c r="T94" s="36"/>
    </row>
    <row r="95" spans="1:20" s="38" customFormat="1" ht="15.75" x14ac:dyDescent="0.3">
      <c r="A95" s="36" t="str">
        <f xml:space="preserve"> IF( 'From SvanPC++'!A85= "", "", ('From SvanPC++'!A85))</f>
        <v/>
      </c>
      <c r="B95" s="35" t="s">
        <v>121</v>
      </c>
      <c r="C95" s="34">
        <v>38.4</v>
      </c>
      <c r="D95" s="36"/>
      <c r="E95" s="20">
        <v>43912</v>
      </c>
      <c r="F95" s="19">
        <v>0.83351273148148142</v>
      </c>
      <c r="H95" s="19">
        <f t="shared" si="1"/>
        <v>0.83333333333333326</v>
      </c>
      <c r="I95" s="36"/>
      <c r="L95" s="86">
        <v>43912</v>
      </c>
      <c r="M95" s="82">
        <v>0.83333333333333326</v>
      </c>
      <c r="N95" s="87">
        <v>38.4</v>
      </c>
      <c r="S95" s="36"/>
      <c r="T95" s="36"/>
    </row>
    <row r="96" spans="1:20" s="38" customFormat="1" ht="15.75" x14ac:dyDescent="0.3">
      <c r="A96" s="36" t="str">
        <f xml:space="preserve"> IF( 'From SvanPC++'!A86= "", "", ('From SvanPC++'!A86))</f>
        <v/>
      </c>
      <c r="B96" s="35" t="s">
        <v>122</v>
      </c>
      <c r="C96" s="34">
        <v>33.5</v>
      </c>
      <c r="D96" s="36"/>
      <c r="E96" s="20">
        <v>43912</v>
      </c>
      <c r="F96" s="19">
        <v>0.87517939814814805</v>
      </c>
      <c r="H96" s="19">
        <f t="shared" si="1"/>
        <v>0.875</v>
      </c>
      <c r="I96" s="36"/>
      <c r="L96" s="86">
        <v>43912</v>
      </c>
      <c r="M96" s="82">
        <v>0.875</v>
      </c>
      <c r="N96" s="87">
        <v>33.5</v>
      </c>
      <c r="S96" s="36"/>
      <c r="T96" s="36"/>
    </row>
    <row r="97" spans="1:20" s="38" customFormat="1" ht="15.75" x14ac:dyDescent="0.3">
      <c r="A97" s="36" t="str">
        <f xml:space="preserve"> IF( 'From SvanPC++'!A87= "", "", ('From SvanPC++'!A87))</f>
        <v/>
      </c>
      <c r="B97" s="35" t="s">
        <v>123</v>
      </c>
      <c r="C97" s="34">
        <v>32.4</v>
      </c>
      <c r="D97" s="36"/>
      <c r="E97" s="20">
        <v>43912</v>
      </c>
      <c r="F97" s="19">
        <v>0.91684606481481479</v>
      </c>
      <c r="H97" s="19">
        <f t="shared" si="1"/>
        <v>0.91666666666666663</v>
      </c>
      <c r="I97" s="36"/>
      <c r="L97" s="86">
        <v>43912</v>
      </c>
      <c r="M97" s="82">
        <v>0.91666666666666663</v>
      </c>
      <c r="N97" s="87">
        <v>32.4</v>
      </c>
      <c r="S97" s="36"/>
      <c r="T97" s="36"/>
    </row>
    <row r="98" spans="1:20" s="38" customFormat="1" ht="15.75" x14ac:dyDescent="0.3">
      <c r="A98" s="36" t="str">
        <f xml:space="preserve"> IF( 'From SvanPC++'!A88= "", "", ('From SvanPC++'!A88))</f>
        <v/>
      </c>
      <c r="B98" s="35" t="s">
        <v>124</v>
      </c>
      <c r="C98" s="34">
        <v>32.799999999999997</v>
      </c>
      <c r="D98" s="36"/>
      <c r="E98" s="20">
        <v>43912</v>
      </c>
      <c r="F98" s="19">
        <v>0.95851273148148142</v>
      </c>
      <c r="H98" s="19">
        <f t="shared" si="1"/>
        <v>0.95833333333333326</v>
      </c>
      <c r="I98" s="36"/>
      <c r="L98" s="86">
        <v>43912</v>
      </c>
      <c r="M98" s="82">
        <v>0.95833333333333326</v>
      </c>
      <c r="N98" s="87">
        <v>32.799999999999997</v>
      </c>
      <c r="S98" s="36"/>
      <c r="T98" s="36"/>
    </row>
    <row r="99" spans="1:20" s="38" customFormat="1" ht="15.75" x14ac:dyDescent="0.3">
      <c r="A99" s="36" t="str">
        <f xml:space="preserve"> IF( 'From SvanPC++'!A89= "", "", ('From SvanPC++'!A89))</f>
        <v/>
      </c>
      <c r="B99" s="35" t="s">
        <v>125</v>
      </c>
      <c r="C99" s="34">
        <v>36</v>
      </c>
      <c r="D99" s="36"/>
      <c r="E99" s="20">
        <v>43913</v>
      </c>
      <c r="F99" s="19">
        <v>1.7939814814814817E-4</v>
      </c>
      <c r="H99" s="19">
        <f t="shared" si="1"/>
        <v>0</v>
      </c>
      <c r="I99" s="36"/>
      <c r="L99" s="86">
        <v>43913</v>
      </c>
      <c r="M99" s="82">
        <v>0</v>
      </c>
      <c r="N99" s="87">
        <v>36</v>
      </c>
      <c r="S99" s="36"/>
      <c r="T99" s="36"/>
    </row>
    <row r="100" spans="1:20" s="38" customFormat="1" ht="15.75" x14ac:dyDescent="0.3">
      <c r="A100" s="36" t="str">
        <f xml:space="preserve"> IF( 'From SvanPC++'!A90= "", "", ('From SvanPC++'!A90))</f>
        <v/>
      </c>
      <c r="B100" s="35" t="s">
        <v>126</v>
      </c>
      <c r="C100" s="34">
        <v>36.1</v>
      </c>
      <c r="D100" s="36"/>
      <c r="E100" s="20">
        <v>43913</v>
      </c>
      <c r="F100" s="19">
        <v>4.1846064814814815E-2</v>
      </c>
      <c r="H100" s="19">
        <f t="shared" si="1"/>
        <v>4.1666666666666664E-2</v>
      </c>
      <c r="I100" s="36"/>
      <c r="L100" s="86">
        <v>43913</v>
      </c>
      <c r="M100" s="82">
        <v>4.1666666666666664E-2</v>
      </c>
      <c r="N100" s="87">
        <v>36.1</v>
      </c>
      <c r="S100" s="36"/>
      <c r="T100" s="36"/>
    </row>
    <row r="101" spans="1:20" s="38" customFormat="1" ht="15.75" x14ac:dyDescent="0.3">
      <c r="A101" s="36" t="str">
        <f xml:space="preserve"> IF( 'From SvanPC++'!A91= "", "", ('From SvanPC++'!A91))</f>
        <v/>
      </c>
      <c r="B101" s="35" t="s">
        <v>127</v>
      </c>
      <c r="C101" s="34">
        <v>34.1</v>
      </c>
      <c r="D101" s="36"/>
      <c r="E101" s="20">
        <v>43913</v>
      </c>
      <c r="F101" s="19">
        <v>8.3512731481481473E-2</v>
      </c>
      <c r="H101" s="19">
        <f t="shared" si="1"/>
        <v>8.3333333333333329E-2</v>
      </c>
      <c r="I101" s="36"/>
      <c r="L101" s="86">
        <v>43913</v>
      </c>
      <c r="M101" s="82">
        <v>8.3333333333333329E-2</v>
      </c>
      <c r="N101" s="87">
        <v>34.1</v>
      </c>
      <c r="S101" s="36"/>
      <c r="T101" s="36"/>
    </row>
    <row r="102" spans="1:20" s="38" customFormat="1" ht="15.75" x14ac:dyDescent="0.3">
      <c r="A102" s="36" t="str">
        <f xml:space="preserve"> IF( 'From SvanPC++'!A92= "", "", ('From SvanPC++'!A92))</f>
        <v/>
      </c>
      <c r="B102" s="35" t="s">
        <v>128</v>
      </c>
      <c r="C102" s="34">
        <v>35.5</v>
      </c>
      <c r="D102" s="36"/>
      <c r="E102" s="20">
        <v>43913</v>
      </c>
      <c r="F102" s="19">
        <v>0.12517939814814813</v>
      </c>
      <c r="H102" s="19">
        <f t="shared" si="1"/>
        <v>0.125</v>
      </c>
      <c r="I102" s="36"/>
      <c r="L102" s="86">
        <v>43913</v>
      </c>
      <c r="M102" s="82">
        <v>0.125</v>
      </c>
      <c r="N102" s="87">
        <v>35.5</v>
      </c>
      <c r="S102" s="36"/>
      <c r="T102" s="36"/>
    </row>
    <row r="103" spans="1:20" s="38" customFormat="1" ht="15.75" x14ac:dyDescent="0.3">
      <c r="A103" s="36" t="str">
        <f xml:space="preserve"> IF( 'From SvanPC++'!A93= "", "", ('From SvanPC++'!A93))</f>
        <v/>
      </c>
      <c r="B103" s="35" t="s">
        <v>129</v>
      </c>
      <c r="C103" s="34">
        <v>36.299999999999997</v>
      </c>
      <c r="D103" s="36"/>
      <c r="E103" s="20">
        <v>43913</v>
      </c>
      <c r="F103" s="19">
        <v>0.16684606481481482</v>
      </c>
      <c r="H103" s="19">
        <f t="shared" si="1"/>
        <v>0.16666666666666666</v>
      </c>
      <c r="I103" s="36"/>
      <c r="L103" s="86">
        <v>43913</v>
      </c>
      <c r="M103" s="82">
        <v>0.16666666666666666</v>
      </c>
      <c r="N103" s="87">
        <v>36.299999999999997</v>
      </c>
      <c r="S103" s="36"/>
      <c r="T103" s="36"/>
    </row>
    <row r="104" spans="1:20" s="38" customFormat="1" ht="15.75" x14ac:dyDescent="0.3">
      <c r="A104" s="36" t="str">
        <f xml:space="preserve"> IF( 'From SvanPC++'!A94= "", "", ('From SvanPC++'!A94))</f>
        <v/>
      </c>
      <c r="B104" s="35" t="s">
        <v>130</v>
      </c>
      <c r="C104" s="34">
        <v>38.4</v>
      </c>
      <c r="D104" s="36"/>
      <c r="E104" s="20">
        <v>43913</v>
      </c>
      <c r="F104" s="19">
        <v>0.2085127314814815</v>
      </c>
      <c r="H104" s="19">
        <f t="shared" si="1"/>
        <v>0.20833333333333331</v>
      </c>
      <c r="I104" s="36"/>
      <c r="L104" s="86">
        <v>43913</v>
      </c>
      <c r="M104" s="82">
        <v>0.20833333333333331</v>
      </c>
      <c r="N104" s="87">
        <v>38.4</v>
      </c>
      <c r="S104" s="36"/>
      <c r="T104" s="36"/>
    </row>
    <row r="105" spans="1:20" s="38" customFormat="1" ht="15.75" x14ac:dyDescent="0.3">
      <c r="A105" s="36" t="str">
        <f xml:space="preserve"> IF( 'From SvanPC++'!A95= "", "", ('From SvanPC++'!A95))</f>
        <v/>
      </c>
      <c r="B105" s="35" t="s">
        <v>131</v>
      </c>
      <c r="C105" s="34">
        <v>39.4</v>
      </c>
      <c r="D105" s="36"/>
      <c r="E105" s="20">
        <v>43913</v>
      </c>
      <c r="F105" s="19">
        <v>0.25017939814814816</v>
      </c>
      <c r="H105" s="19">
        <f t="shared" si="1"/>
        <v>0.25</v>
      </c>
      <c r="I105" s="36"/>
      <c r="L105" s="86">
        <v>43913</v>
      </c>
      <c r="M105" s="82">
        <v>0.25</v>
      </c>
      <c r="N105" s="87">
        <v>39.4</v>
      </c>
      <c r="S105" s="36"/>
      <c r="T105" s="36"/>
    </row>
    <row r="106" spans="1:20" s="38" customFormat="1" ht="15.75" x14ac:dyDescent="0.3">
      <c r="A106" s="36" t="str">
        <f xml:space="preserve"> IF( 'From SvanPC++'!A96= "", "", ('From SvanPC++'!A96))</f>
        <v/>
      </c>
      <c r="B106" s="35" t="s">
        <v>132</v>
      </c>
      <c r="C106" s="34">
        <v>43.3</v>
      </c>
      <c r="D106" s="36"/>
      <c r="E106" s="20">
        <v>43913</v>
      </c>
      <c r="F106" s="19">
        <v>0.29184606481481484</v>
      </c>
      <c r="H106" s="19">
        <f t="shared" si="1"/>
        <v>0.29166666666666663</v>
      </c>
      <c r="I106" s="36"/>
      <c r="L106" s="86">
        <v>43913</v>
      </c>
      <c r="M106" s="82">
        <v>0.29166666666666663</v>
      </c>
      <c r="N106" s="87">
        <v>43.3</v>
      </c>
      <c r="S106" s="36"/>
      <c r="T106" s="36"/>
    </row>
    <row r="107" spans="1:20" s="38" customFormat="1" ht="15.75" x14ac:dyDescent="0.3">
      <c r="A107" s="36" t="str">
        <f xml:space="preserve"> IF( 'From SvanPC++'!A97= "", "", ('From SvanPC++'!A97))</f>
        <v/>
      </c>
      <c r="B107" s="35" t="s">
        <v>133</v>
      </c>
      <c r="C107" s="34">
        <v>46.5</v>
      </c>
      <c r="D107" s="36"/>
      <c r="E107" s="20">
        <v>43913</v>
      </c>
      <c r="F107" s="19">
        <v>0.33351273148148147</v>
      </c>
      <c r="H107" s="19">
        <f t="shared" si="1"/>
        <v>0.33333333333333331</v>
      </c>
      <c r="I107" s="36"/>
      <c r="L107" s="86">
        <v>43913</v>
      </c>
      <c r="M107" s="82">
        <v>0.33333333333333331</v>
      </c>
      <c r="N107" s="87">
        <v>46.5</v>
      </c>
      <c r="S107" s="36"/>
      <c r="T107" s="36"/>
    </row>
    <row r="108" spans="1:20" s="38" customFormat="1" ht="15.75" x14ac:dyDescent="0.3">
      <c r="A108" s="36" t="str">
        <f xml:space="preserve"> IF( 'From SvanPC++'!A98= "", "", ('From SvanPC++'!A98))</f>
        <v/>
      </c>
      <c r="B108" s="35" t="s">
        <v>134</v>
      </c>
      <c r="C108" s="34">
        <v>49.2</v>
      </c>
      <c r="D108" s="36"/>
      <c r="E108" s="20">
        <v>43913</v>
      </c>
      <c r="F108" s="19">
        <v>0.37517939814814816</v>
      </c>
      <c r="H108" s="19">
        <f t="shared" si="1"/>
        <v>0.375</v>
      </c>
      <c r="I108" s="36"/>
      <c r="L108" s="86">
        <v>43913</v>
      </c>
      <c r="M108" s="82">
        <v>0.375</v>
      </c>
      <c r="N108" s="87">
        <v>49.2</v>
      </c>
      <c r="S108" s="36"/>
      <c r="T108" s="36"/>
    </row>
    <row r="109" spans="1:20" s="38" customFormat="1" ht="15.75" x14ac:dyDescent="0.3">
      <c r="A109" s="36" t="str">
        <f xml:space="preserve"> IF( 'From SvanPC++'!A99= "", "", ('From SvanPC++'!A99))</f>
        <v/>
      </c>
      <c r="B109" s="35" t="s">
        <v>135</v>
      </c>
      <c r="C109" s="34">
        <v>47.1</v>
      </c>
      <c r="D109" s="36"/>
      <c r="E109" s="20">
        <v>43913</v>
      </c>
      <c r="F109" s="19">
        <v>0.41684606481481484</v>
      </c>
      <c r="H109" s="19">
        <f t="shared" si="1"/>
        <v>0.41666666666666663</v>
      </c>
      <c r="I109" s="36"/>
      <c r="L109" s="86">
        <v>43913</v>
      </c>
      <c r="M109" s="82">
        <v>0.41666666666666663</v>
      </c>
      <c r="N109" s="87">
        <v>47.1</v>
      </c>
      <c r="S109" s="36"/>
      <c r="T109" s="36"/>
    </row>
    <row r="110" spans="1:20" s="38" customFormat="1" ht="15.75" x14ac:dyDescent="0.3">
      <c r="A110" s="36" t="str">
        <f xml:space="preserve"> IF( 'From SvanPC++'!A100= "", "", ('From SvanPC++'!A100))</f>
        <v/>
      </c>
      <c r="B110" s="35" t="s">
        <v>136</v>
      </c>
      <c r="C110" s="34">
        <v>48.6</v>
      </c>
      <c r="D110" s="36"/>
      <c r="E110" s="20">
        <v>43913</v>
      </c>
      <c r="F110" s="19">
        <v>0.45851273148148147</v>
      </c>
      <c r="H110" s="19">
        <f t="shared" si="1"/>
        <v>0.45833333333333331</v>
      </c>
      <c r="I110" s="36"/>
      <c r="L110" s="86">
        <v>43913</v>
      </c>
      <c r="M110" s="82">
        <v>0.45833333333333331</v>
      </c>
      <c r="N110" s="87">
        <v>48.6</v>
      </c>
      <c r="S110" s="36"/>
      <c r="T110" s="36"/>
    </row>
    <row r="111" spans="1:20" s="38" customFormat="1" ht="15.75" x14ac:dyDescent="0.3">
      <c r="A111" s="36" t="str">
        <f xml:space="preserve"> IF( 'From SvanPC++'!A101= "", "", ('From SvanPC++'!A101))</f>
        <v/>
      </c>
      <c r="B111" s="35" t="s">
        <v>137</v>
      </c>
      <c r="C111" s="34">
        <v>45.8</v>
      </c>
      <c r="D111" s="36"/>
      <c r="E111" s="20">
        <v>43913</v>
      </c>
      <c r="F111" s="19">
        <v>0.50017939814814816</v>
      </c>
      <c r="H111" s="19">
        <f t="shared" si="1"/>
        <v>0.5</v>
      </c>
      <c r="I111" s="36"/>
      <c r="L111" s="86">
        <v>43913</v>
      </c>
      <c r="M111" s="82">
        <v>0.5</v>
      </c>
      <c r="N111" s="87">
        <v>45.8</v>
      </c>
      <c r="S111" s="36"/>
      <c r="T111" s="36"/>
    </row>
    <row r="112" spans="1:20" s="38" customFormat="1" ht="15.75" x14ac:dyDescent="0.3">
      <c r="A112" s="36" t="str">
        <f xml:space="preserve"> IF( 'From SvanPC++'!A102= "", "", ('From SvanPC++'!A102))</f>
        <v/>
      </c>
      <c r="B112" s="35" t="s">
        <v>138</v>
      </c>
      <c r="C112" s="34">
        <v>43.9</v>
      </c>
      <c r="D112" s="36"/>
      <c r="E112" s="20">
        <v>43913</v>
      </c>
      <c r="F112" s="19">
        <v>0.54184606481481479</v>
      </c>
      <c r="H112" s="19">
        <f t="shared" si="1"/>
        <v>0.54166666666666663</v>
      </c>
      <c r="I112" s="36"/>
      <c r="L112" s="86">
        <v>43913</v>
      </c>
      <c r="M112" s="82">
        <v>0.54166666666666663</v>
      </c>
      <c r="N112" s="87">
        <v>43.9</v>
      </c>
      <c r="S112" s="36"/>
      <c r="T112" s="36"/>
    </row>
    <row r="113" spans="1:20" s="38" customFormat="1" ht="16.5" thickBot="1" x14ac:dyDescent="0.35">
      <c r="A113" s="36" t="str">
        <f xml:space="preserve"> IF( 'From SvanPC++'!A103= "", "", ('From SvanPC++'!A103))</f>
        <v/>
      </c>
      <c r="B113" s="35" t="s">
        <v>139</v>
      </c>
      <c r="C113" s="34">
        <v>43.5</v>
      </c>
      <c r="D113" s="36"/>
      <c r="E113" s="20">
        <v>43913</v>
      </c>
      <c r="F113" s="19">
        <v>0.58351273148148153</v>
      </c>
      <c r="H113" s="19">
        <f t="shared" si="1"/>
        <v>0.58333333333333326</v>
      </c>
      <c r="I113" s="36"/>
      <c r="L113" s="88">
        <v>43913</v>
      </c>
      <c r="M113" s="89">
        <v>0.58333333333333326</v>
      </c>
      <c r="N113" s="90">
        <v>43.5</v>
      </c>
      <c r="S113" s="36"/>
      <c r="T113" s="36"/>
    </row>
    <row r="114" spans="1:20" s="38" customFormat="1" ht="15.75" x14ac:dyDescent="0.3">
      <c r="A114" s="36" t="str">
        <f xml:space="preserve"> IF( 'From SvanPC++'!A104= "", "", ('From SvanPC++'!A104))</f>
        <v/>
      </c>
      <c r="B114" s="35"/>
      <c r="C114" s="34"/>
      <c r="D114" s="36"/>
      <c r="E114" s="20"/>
      <c r="F114" s="19"/>
      <c r="I114" s="36"/>
      <c r="S114" s="36"/>
      <c r="T114" s="36"/>
    </row>
    <row r="115" spans="1:20" s="38" customFormat="1" ht="15.75" x14ac:dyDescent="0.3">
      <c r="A115" s="36" t="str">
        <f xml:space="preserve"> IF( 'From SvanPC++'!A105= "", "", ('From SvanPC++'!A105))</f>
        <v/>
      </c>
      <c r="B115" s="35"/>
      <c r="C115" s="34"/>
      <c r="D115" s="36"/>
      <c r="E115" s="20"/>
      <c r="F115" s="19"/>
      <c r="I115" s="36"/>
      <c r="S115" s="36"/>
      <c r="T115" s="36"/>
    </row>
    <row r="116" spans="1:20" s="38" customFormat="1" ht="15.75" x14ac:dyDescent="0.3">
      <c r="A116" s="36" t="str">
        <f xml:space="preserve"> IF( 'From SvanPC++'!A106= "", "", ('From SvanPC++'!A106))</f>
        <v/>
      </c>
      <c r="B116" s="35"/>
      <c r="C116" s="34"/>
      <c r="D116" s="36"/>
      <c r="E116" s="20"/>
      <c r="F116" s="19"/>
      <c r="I116" s="36"/>
      <c r="S116" s="36"/>
      <c r="T116" s="36"/>
    </row>
    <row r="117" spans="1:20" s="38" customFormat="1" ht="15.75" x14ac:dyDescent="0.3">
      <c r="A117" s="36" t="str">
        <f xml:space="preserve"> IF( 'From SvanPC++'!A107= "", "", ('From SvanPC++'!A107))</f>
        <v/>
      </c>
      <c r="B117" s="35"/>
      <c r="C117" s="34"/>
      <c r="D117" s="36"/>
      <c r="E117" s="20"/>
      <c r="F117" s="19"/>
      <c r="I117" s="36"/>
      <c r="S117" s="36"/>
      <c r="T117" s="36"/>
    </row>
    <row r="118" spans="1:20" s="38" customFormat="1" ht="15.75" x14ac:dyDescent="0.3">
      <c r="A118" s="36" t="str">
        <f xml:space="preserve"> IF( 'From SvanPC++'!A108= "", "", ('From SvanPC++'!A108))</f>
        <v/>
      </c>
      <c r="B118" s="35"/>
      <c r="C118" s="34"/>
      <c r="D118" s="36"/>
      <c r="E118" s="20"/>
      <c r="F118" s="19"/>
      <c r="I118" s="36"/>
      <c r="S118" s="36"/>
      <c r="T118" s="36"/>
    </row>
    <row r="119" spans="1:20" s="38" customFormat="1" ht="15.75" x14ac:dyDescent="0.3">
      <c r="A119" s="36" t="str">
        <f xml:space="preserve"> IF( 'From SvanPC++'!A109= "", "", ('From SvanPC++'!A109))</f>
        <v/>
      </c>
      <c r="B119" s="35"/>
      <c r="C119" s="34"/>
      <c r="D119" s="36"/>
      <c r="E119" s="20"/>
      <c r="F119" s="19"/>
      <c r="I119" s="36"/>
      <c r="S119" s="36"/>
      <c r="T119" s="36"/>
    </row>
    <row r="120" spans="1:20" s="38" customFormat="1" ht="15.75" x14ac:dyDescent="0.3">
      <c r="A120" s="36" t="str">
        <f xml:space="preserve"> IF( 'From SvanPC++'!A110= "", "", ('From SvanPC++'!A110))</f>
        <v/>
      </c>
      <c r="B120" s="35"/>
      <c r="C120" s="34"/>
      <c r="D120" s="36"/>
      <c r="E120" s="20"/>
      <c r="F120" s="19"/>
      <c r="I120" s="36"/>
      <c r="S120" s="36"/>
      <c r="T120" s="36"/>
    </row>
    <row r="121" spans="1:20" s="38" customFormat="1" ht="15.75" x14ac:dyDescent="0.3">
      <c r="A121" s="36" t="str">
        <f xml:space="preserve"> IF( 'From SvanPC++'!A111= "", "", ('From SvanPC++'!A111))</f>
        <v/>
      </c>
      <c r="B121" s="35"/>
      <c r="C121" s="34"/>
      <c r="D121" s="36"/>
      <c r="E121" s="20"/>
      <c r="F121" s="19"/>
      <c r="I121" s="36"/>
      <c r="S121" s="36"/>
      <c r="T121" s="36"/>
    </row>
    <row r="122" spans="1:20" s="38" customFormat="1" ht="15.75" x14ac:dyDescent="0.3">
      <c r="A122" s="36" t="str">
        <f xml:space="preserve"> IF( 'From SvanPC++'!A112= "", "", ('From SvanPC++'!A112))</f>
        <v/>
      </c>
      <c r="B122" s="35"/>
      <c r="C122" s="34"/>
      <c r="D122" s="36"/>
      <c r="E122" s="20"/>
      <c r="F122" s="19"/>
      <c r="I122" s="36"/>
      <c r="S122" s="36"/>
      <c r="T122" s="36"/>
    </row>
    <row r="123" spans="1:20" s="38" customFormat="1" ht="15.75" x14ac:dyDescent="0.3">
      <c r="A123" s="36" t="str">
        <f xml:space="preserve"> IF( 'From SvanPC++'!A113= "", "", ('From SvanPC++'!A113))</f>
        <v/>
      </c>
      <c r="B123" s="35"/>
      <c r="C123" s="34"/>
      <c r="D123" s="36"/>
      <c r="E123" s="20"/>
      <c r="F123" s="19"/>
      <c r="I123" s="36"/>
      <c r="S123" s="36"/>
      <c r="T123" s="36"/>
    </row>
    <row r="124" spans="1:20" s="38" customFormat="1" ht="15.75" x14ac:dyDescent="0.3">
      <c r="A124" s="36" t="str">
        <f xml:space="preserve"> IF( 'From SvanPC++'!A114= "", "", ('From SvanPC++'!A114))</f>
        <v/>
      </c>
      <c r="B124" s="35"/>
      <c r="C124" s="34"/>
      <c r="D124" s="36"/>
      <c r="E124" s="20"/>
      <c r="F124" s="19"/>
      <c r="I124" s="36"/>
      <c r="S124" s="36"/>
      <c r="T124" s="36"/>
    </row>
    <row r="125" spans="1:20" s="38" customFormat="1" ht="15.75" x14ac:dyDescent="0.3">
      <c r="A125" s="36" t="str">
        <f xml:space="preserve"> IF( 'From SvanPC++'!A115= "", "", ('From SvanPC++'!A115))</f>
        <v/>
      </c>
      <c r="B125" s="35"/>
      <c r="C125" s="34"/>
      <c r="D125" s="36"/>
      <c r="E125" s="20"/>
      <c r="F125" s="19"/>
      <c r="I125" s="36"/>
      <c r="S125" s="36"/>
      <c r="T125" s="36"/>
    </row>
    <row r="126" spans="1:20" s="38" customFormat="1" ht="15.75" x14ac:dyDescent="0.3">
      <c r="A126" s="36" t="str">
        <f xml:space="preserve"> IF( 'From SvanPC++'!A116= "", "", ('From SvanPC++'!A116))</f>
        <v/>
      </c>
      <c r="B126" s="35"/>
      <c r="C126" s="34"/>
      <c r="D126" s="36"/>
      <c r="E126" s="20"/>
      <c r="F126" s="19"/>
      <c r="I126" s="36"/>
      <c r="S126" s="36"/>
      <c r="T126" s="36"/>
    </row>
    <row r="127" spans="1:20" s="38" customFormat="1" ht="15.75" x14ac:dyDescent="0.3">
      <c r="A127" s="36" t="str">
        <f xml:space="preserve"> IF( 'From SvanPC++'!A117= "", "", ('From SvanPC++'!A117))</f>
        <v/>
      </c>
      <c r="B127" s="35"/>
      <c r="C127" s="34"/>
      <c r="D127" s="36"/>
      <c r="E127" s="20"/>
      <c r="F127" s="19"/>
      <c r="I127" s="36"/>
      <c r="S127" s="36"/>
      <c r="T127" s="36"/>
    </row>
    <row r="128" spans="1:20" s="38" customFormat="1" ht="15.75" x14ac:dyDescent="0.3">
      <c r="A128" s="36" t="str">
        <f xml:space="preserve"> IF( 'From SvanPC++'!A118= "", "", ('From SvanPC++'!A118))</f>
        <v/>
      </c>
      <c r="B128" s="35"/>
      <c r="C128" s="34"/>
      <c r="D128" s="36"/>
      <c r="E128" s="20"/>
      <c r="F128" s="19"/>
      <c r="I128" s="36"/>
      <c r="S128" s="36"/>
      <c r="T128" s="36"/>
    </row>
    <row r="129" spans="1:20" s="38" customFormat="1" ht="15.75" x14ac:dyDescent="0.3">
      <c r="A129" s="36" t="str">
        <f xml:space="preserve"> IF( 'From SvanPC++'!A119= "", "", ('From SvanPC++'!A119))</f>
        <v/>
      </c>
      <c r="B129" s="35"/>
      <c r="C129" s="34"/>
      <c r="D129" s="36"/>
      <c r="E129" s="20"/>
      <c r="F129" s="19"/>
      <c r="I129" s="36"/>
      <c r="S129" s="36"/>
      <c r="T129" s="36"/>
    </row>
    <row r="130" spans="1:20" s="38" customFormat="1" ht="15.75" x14ac:dyDescent="0.3">
      <c r="A130" s="36" t="str">
        <f xml:space="preserve"> IF( 'From SvanPC++'!A120= "", "", ('From SvanPC++'!A120))</f>
        <v/>
      </c>
      <c r="B130" s="35"/>
      <c r="C130" s="34"/>
      <c r="D130" s="36"/>
      <c r="E130" s="20"/>
      <c r="F130" s="19"/>
      <c r="I130" s="36"/>
      <c r="S130" s="36"/>
      <c r="T130" s="36"/>
    </row>
    <row r="131" spans="1:20" s="38" customFormat="1" ht="15.75" x14ac:dyDescent="0.3">
      <c r="A131" s="36" t="str">
        <f xml:space="preserve"> IF( 'From SvanPC++'!A121= "", "", ('From SvanPC++'!A121))</f>
        <v/>
      </c>
      <c r="B131" s="35"/>
      <c r="C131" s="34"/>
      <c r="D131" s="36"/>
      <c r="E131" s="20"/>
      <c r="F131" s="19"/>
      <c r="I131" s="36"/>
      <c r="S131" s="36"/>
      <c r="T131" s="36"/>
    </row>
    <row r="132" spans="1:20" s="38" customFormat="1" ht="15.75" x14ac:dyDescent="0.3">
      <c r="A132" s="36" t="str">
        <f xml:space="preserve"> IF( 'From SvanPC++'!A122= "", "", ('From SvanPC++'!A122))</f>
        <v/>
      </c>
      <c r="B132" s="35"/>
      <c r="C132" s="34"/>
      <c r="D132" s="36"/>
      <c r="E132" s="20"/>
      <c r="F132" s="19"/>
      <c r="I132" s="36"/>
      <c r="S132" s="36"/>
      <c r="T132" s="36"/>
    </row>
    <row r="133" spans="1:20" s="38" customFormat="1" ht="15.75" x14ac:dyDescent="0.3">
      <c r="A133" s="36" t="str">
        <f xml:space="preserve"> IF( 'From SvanPC++'!A123= "", "", ('From SvanPC++'!A123))</f>
        <v/>
      </c>
      <c r="B133" s="35"/>
      <c r="C133" s="34"/>
      <c r="D133" s="36"/>
      <c r="E133" s="20"/>
      <c r="F133" s="19"/>
      <c r="I133" s="36"/>
      <c r="S133" s="36"/>
      <c r="T133" s="36"/>
    </row>
    <row r="134" spans="1:20" s="38" customFormat="1" ht="15.75" x14ac:dyDescent="0.3">
      <c r="A134" s="36" t="str">
        <f xml:space="preserve"> IF( 'From SvanPC++'!A124= "", "", ('From SvanPC++'!A124))</f>
        <v/>
      </c>
      <c r="B134" s="35"/>
      <c r="C134" s="34"/>
      <c r="D134" s="36"/>
      <c r="E134" s="20"/>
      <c r="F134" s="19"/>
      <c r="I134" s="36"/>
      <c r="S134" s="36"/>
      <c r="T134" s="36"/>
    </row>
    <row r="135" spans="1:20" s="38" customFormat="1" ht="15.75" x14ac:dyDescent="0.3">
      <c r="A135" s="36" t="str">
        <f xml:space="preserve"> IF( 'From SvanPC++'!A125= "", "", ('From SvanPC++'!A125))</f>
        <v/>
      </c>
      <c r="B135" s="35"/>
      <c r="C135" s="34"/>
      <c r="D135" s="36"/>
      <c r="E135" s="20"/>
      <c r="F135" s="19"/>
      <c r="I135" s="36"/>
      <c r="S135" s="36"/>
      <c r="T135" s="36"/>
    </row>
    <row r="136" spans="1:20" s="38" customFormat="1" ht="15.75" x14ac:dyDescent="0.3">
      <c r="A136" s="36" t="str">
        <f xml:space="preserve"> IF( 'From SvanPC++'!A126= "", "", ('From SvanPC++'!A126))</f>
        <v/>
      </c>
      <c r="B136" s="35"/>
      <c r="C136" s="34"/>
      <c r="D136" s="36"/>
      <c r="E136" s="20"/>
      <c r="F136" s="19"/>
      <c r="I136" s="36"/>
      <c r="S136" s="36"/>
      <c r="T136" s="36"/>
    </row>
    <row r="137" spans="1:20" s="38" customFormat="1" ht="15.75" x14ac:dyDescent="0.3">
      <c r="A137" s="36" t="str">
        <f xml:space="preserve"> IF( 'From SvanPC++'!A127= "", "", ('From SvanPC++'!A127))</f>
        <v/>
      </c>
      <c r="B137" s="35"/>
      <c r="C137" s="34"/>
      <c r="D137" s="36"/>
      <c r="E137" s="20"/>
      <c r="F137" s="19"/>
      <c r="I137" s="36"/>
      <c r="S137" s="36"/>
      <c r="T137" s="36"/>
    </row>
    <row r="138" spans="1:20" s="38" customFormat="1" ht="15.75" x14ac:dyDescent="0.3">
      <c r="A138" s="36" t="str">
        <f xml:space="preserve"> IF( 'From SvanPC++'!A128= "", "", ('From SvanPC++'!A128))</f>
        <v/>
      </c>
      <c r="B138" s="35"/>
      <c r="C138" s="34"/>
      <c r="D138" s="36"/>
      <c r="E138" s="20"/>
      <c r="F138" s="19"/>
      <c r="I138" s="36"/>
      <c r="S138" s="36"/>
      <c r="T138" s="36"/>
    </row>
    <row r="139" spans="1:20" s="38" customFormat="1" ht="15.75" x14ac:dyDescent="0.3">
      <c r="A139" s="36" t="str">
        <f xml:space="preserve"> IF( 'From SvanPC++'!A129= "", "", ('From SvanPC++'!A129))</f>
        <v/>
      </c>
      <c r="B139" s="35"/>
      <c r="C139" s="34"/>
      <c r="D139" s="36"/>
      <c r="E139" s="20"/>
      <c r="F139" s="19"/>
      <c r="I139" s="36"/>
      <c r="S139" s="36"/>
      <c r="T139" s="36"/>
    </row>
    <row r="140" spans="1:20" s="38" customFormat="1" ht="15.75" x14ac:dyDescent="0.3">
      <c r="A140" s="36" t="str">
        <f xml:space="preserve"> IF( 'From SvanPC++'!A130= "", "", ('From SvanPC++'!A130))</f>
        <v/>
      </c>
      <c r="B140" s="35"/>
      <c r="C140" s="34"/>
      <c r="D140" s="36"/>
      <c r="E140" s="20"/>
      <c r="F140" s="19"/>
      <c r="I140" s="36"/>
      <c r="S140" s="36"/>
      <c r="T140" s="36"/>
    </row>
    <row r="141" spans="1:20" s="38" customFormat="1" ht="15.75" x14ac:dyDescent="0.3">
      <c r="A141" s="36" t="str">
        <f xml:space="preserve"> IF( 'From SvanPC++'!A131= "", "", ('From SvanPC++'!A131))</f>
        <v/>
      </c>
      <c r="B141" s="35"/>
      <c r="C141" s="34"/>
      <c r="D141" s="36"/>
      <c r="E141" s="20"/>
      <c r="F141" s="19"/>
      <c r="I141" s="36"/>
      <c r="S141" s="36"/>
      <c r="T141" s="36"/>
    </row>
    <row r="142" spans="1:20" s="38" customFormat="1" ht="15.75" x14ac:dyDescent="0.3">
      <c r="A142" s="36" t="str">
        <f xml:space="preserve"> IF( 'From SvanPC++'!A132= "", "", ('From SvanPC++'!A132))</f>
        <v/>
      </c>
      <c r="B142" s="35"/>
      <c r="C142" s="34"/>
      <c r="D142" s="36"/>
      <c r="E142" s="20"/>
      <c r="F142" s="19"/>
      <c r="I142" s="36"/>
      <c r="S142" s="36"/>
      <c r="T142" s="36"/>
    </row>
    <row r="143" spans="1:20" s="38" customFormat="1" ht="15.75" x14ac:dyDescent="0.3">
      <c r="A143" s="36" t="str">
        <f xml:space="preserve"> IF( 'From SvanPC++'!A133= "", "", ('From SvanPC++'!A133))</f>
        <v/>
      </c>
      <c r="B143" s="35"/>
      <c r="C143" s="34"/>
      <c r="D143" s="36"/>
      <c r="E143" s="20"/>
      <c r="F143" s="19"/>
      <c r="I143" s="36"/>
      <c r="S143" s="36"/>
      <c r="T143" s="36"/>
    </row>
    <row r="144" spans="1:20" s="38" customFormat="1" ht="15.75" x14ac:dyDescent="0.3">
      <c r="A144" s="36" t="str">
        <f xml:space="preserve"> IF( 'From SvanPC++'!A134= "", "", ('From SvanPC++'!A134))</f>
        <v/>
      </c>
      <c r="B144" s="35"/>
      <c r="C144" s="34"/>
      <c r="D144" s="36"/>
      <c r="E144" s="20"/>
      <c r="F144" s="19"/>
      <c r="I144" s="36"/>
      <c r="S144" s="36"/>
      <c r="T144" s="36"/>
    </row>
    <row r="145" spans="1:20" s="38" customFormat="1" ht="15.75" x14ac:dyDescent="0.3">
      <c r="A145" s="36" t="str">
        <f xml:space="preserve"> IF( 'From SvanPC++'!A135= "", "", ('From SvanPC++'!A135))</f>
        <v/>
      </c>
      <c r="B145" s="35"/>
      <c r="C145" s="34"/>
      <c r="D145" s="36"/>
      <c r="E145" s="20"/>
      <c r="F145" s="19"/>
      <c r="I145" s="36"/>
      <c r="S145" s="36"/>
      <c r="T145" s="36"/>
    </row>
    <row r="146" spans="1:20" s="38" customFormat="1" ht="15.75" x14ac:dyDescent="0.3">
      <c r="A146" s="36" t="str">
        <f xml:space="preserve"> IF( 'From SvanPC++'!A136= "", "", ('From SvanPC++'!A136))</f>
        <v/>
      </c>
      <c r="B146" s="35"/>
      <c r="C146" s="34"/>
      <c r="D146" s="36"/>
      <c r="E146" s="20"/>
      <c r="F146" s="19"/>
      <c r="I146" s="36"/>
      <c r="S146" s="36"/>
      <c r="T146" s="36"/>
    </row>
    <row r="147" spans="1:20" s="38" customFormat="1" ht="15.75" x14ac:dyDescent="0.3">
      <c r="A147" s="36" t="str">
        <f xml:space="preserve"> IF( 'From SvanPC++'!A137= "", "", ('From SvanPC++'!A137))</f>
        <v/>
      </c>
      <c r="B147" s="35"/>
      <c r="C147" s="34"/>
      <c r="D147" s="36"/>
      <c r="E147" s="20"/>
      <c r="F147" s="19"/>
      <c r="I147" s="36"/>
      <c r="S147" s="36"/>
      <c r="T147" s="36"/>
    </row>
    <row r="148" spans="1:20" s="38" customFormat="1" ht="15.75" x14ac:dyDescent="0.3">
      <c r="A148" s="36" t="str">
        <f xml:space="preserve"> IF( 'From SvanPC++'!A138= "", "", ('From SvanPC++'!A138))</f>
        <v/>
      </c>
      <c r="B148" s="35"/>
      <c r="C148" s="34"/>
      <c r="D148" s="36"/>
      <c r="E148" s="20"/>
      <c r="F148" s="19"/>
      <c r="I148" s="36"/>
      <c r="S148" s="36"/>
      <c r="T148" s="36"/>
    </row>
    <row r="149" spans="1:20" s="38" customFormat="1" ht="15.75" x14ac:dyDescent="0.3">
      <c r="A149" s="36" t="str">
        <f xml:space="preserve"> IF( 'From SvanPC++'!A139= "", "", ('From SvanPC++'!A139))</f>
        <v/>
      </c>
      <c r="B149" s="35"/>
      <c r="C149" s="34"/>
      <c r="D149" s="36"/>
      <c r="E149" s="20"/>
      <c r="F149" s="19"/>
      <c r="I149" s="36"/>
      <c r="S149" s="36"/>
      <c r="T149" s="36"/>
    </row>
    <row r="150" spans="1:20" s="38" customFormat="1" ht="15.75" x14ac:dyDescent="0.3">
      <c r="A150" s="36" t="str">
        <f xml:space="preserve"> IF( 'From SvanPC++'!A140= "", "", ('From SvanPC++'!A140))</f>
        <v/>
      </c>
      <c r="B150" s="35"/>
      <c r="C150" s="34"/>
      <c r="D150" s="36"/>
      <c r="E150" s="20"/>
      <c r="F150" s="19"/>
      <c r="I150" s="36"/>
      <c r="S150" s="36"/>
      <c r="T150" s="36"/>
    </row>
    <row r="151" spans="1:20" s="38" customFormat="1" ht="15.75" x14ac:dyDescent="0.3">
      <c r="A151" s="36" t="str">
        <f xml:space="preserve"> IF( 'From SvanPC++'!A141= "", "", ('From SvanPC++'!A141))</f>
        <v/>
      </c>
      <c r="B151" s="35"/>
      <c r="C151" s="34"/>
      <c r="D151" s="36"/>
      <c r="E151" s="20"/>
      <c r="F151" s="19"/>
      <c r="I151" s="36"/>
      <c r="S151" s="36"/>
      <c r="T151" s="36"/>
    </row>
    <row r="152" spans="1:20" s="38" customFormat="1" ht="15.75" x14ac:dyDescent="0.3">
      <c r="A152" s="36" t="str">
        <f xml:space="preserve"> IF( 'From SvanPC++'!A142= "", "", ('From SvanPC++'!A142))</f>
        <v/>
      </c>
      <c r="B152" s="35"/>
      <c r="C152" s="34"/>
      <c r="D152" s="36"/>
      <c r="E152" s="20"/>
      <c r="F152" s="19"/>
      <c r="I152" s="36"/>
      <c r="S152" s="36"/>
      <c r="T152" s="36"/>
    </row>
    <row r="153" spans="1:20" s="38" customFormat="1" ht="15.75" x14ac:dyDescent="0.3">
      <c r="A153" s="36" t="str">
        <f xml:space="preserve"> IF( 'From SvanPC++'!A143= "", "", ('From SvanPC++'!A143))</f>
        <v/>
      </c>
      <c r="B153" s="35"/>
      <c r="C153" s="34"/>
      <c r="D153" s="36"/>
      <c r="E153" s="20"/>
      <c r="F153" s="19"/>
      <c r="I153" s="36"/>
      <c r="S153" s="36"/>
      <c r="T153" s="36"/>
    </row>
    <row r="154" spans="1:20" s="38" customFormat="1" ht="15.75" x14ac:dyDescent="0.3">
      <c r="A154" s="36" t="str">
        <f xml:space="preserve"> IF( 'From SvanPC++'!A144= "", "", ('From SvanPC++'!A144))</f>
        <v/>
      </c>
      <c r="B154" s="35"/>
      <c r="C154" s="34"/>
      <c r="D154" s="36"/>
      <c r="E154" s="20"/>
      <c r="F154" s="19"/>
      <c r="I154" s="36"/>
      <c r="S154" s="36"/>
      <c r="T154" s="36"/>
    </row>
    <row r="155" spans="1:20" s="38" customFormat="1" ht="15.75" x14ac:dyDescent="0.3">
      <c r="A155" s="36" t="str">
        <f xml:space="preserve"> IF( 'From SvanPC++'!A145= "", "", ('From SvanPC++'!A145))</f>
        <v/>
      </c>
      <c r="B155" s="35"/>
      <c r="C155" s="34"/>
      <c r="D155" s="36"/>
      <c r="E155" s="20"/>
      <c r="F155" s="19"/>
      <c r="I155" s="36"/>
      <c r="S155" s="36"/>
      <c r="T155" s="36"/>
    </row>
    <row r="156" spans="1:20" s="38" customFormat="1" ht="15.75" x14ac:dyDescent="0.3">
      <c r="A156" s="36" t="str">
        <f xml:space="preserve"> IF( 'From SvanPC++'!A146= "", "", ('From SvanPC++'!A146))</f>
        <v/>
      </c>
      <c r="B156" s="35"/>
      <c r="C156" s="34"/>
      <c r="D156" s="36"/>
      <c r="E156" s="20"/>
      <c r="F156" s="19"/>
      <c r="I156" s="36"/>
      <c r="S156" s="36"/>
      <c r="T156" s="36"/>
    </row>
    <row r="157" spans="1:20" s="38" customFormat="1" ht="15.75" x14ac:dyDescent="0.3">
      <c r="A157" s="36" t="str">
        <f xml:space="preserve"> IF( 'From SvanPC++'!A147= "", "", ('From SvanPC++'!A147))</f>
        <v/>
      </c>
      <c r="B157" s="35"/>
      <c r="C157" s="34"/>
      <c r="D157" s="36"/>
      <c r="E157" s="20"/>
      <c r="F157" s="19"/>
      <c r="I157" s="36"/>
      <c r="S157" s="36"/>
      <c r="T157" s="36"/>
    </row>
    <row r="158" spans="1:20" s="38" customFormat="1" ht="15.75" x14ac:dyDescent="0.3">
      <c r="A158" s="36" t="str">
        <f xml:space="preserve"> IF( 'From SvanPC++'!A148= "", "", ('From SvanPC++'!A148))</f>
        <v/>
      </c>
      <c r="B158" s="35"/>
      <c r="C158" s="34"/>
      <c r="D158" s="36"/>
      <c r="E158" s="20"/>
      <c r="F158" s="19"/>
      <c r="I158" s="36"/>
      <c r="S158" s="36"/>
      <c r="T158" s="36"/>
    </row>
    <row r="159" spans="1:20" s="38" customFormat="1" ht="15.75" x14ac:dyDescent="0.3">
      <c r="A159" s="36" t="str">
        <f xml:space="preserve"> IF( 'From SvanPC++'!A149= "", "", ('From SvanPC++'!A149))</f>
        <v/>
      </c>
      <c r="B159" s="35"/>
      <c r="C159" s="34"/>
      <c r="D159" s="36"/>
      <c r="E159" s="20"/>
      <c r="F159" s="19"/>
      <c r="I159" s="36"/>
      <c r="S159" s="36"/>
      <c r="T159" s="36"/>
    </row>
    <row r="160" spans="1:20" s="38" customFormat="1" ht="15.75" x14ac:dyDescent="0.3">
      <c r="A160" s="36" t="str">
        <f xml:space="preserve"> IF( 'From SvanPC++'!A150= "", "", ('From SvanPC++'!A150))</f>
        <v/>
      </c>
      <c r="B160" s="35"/>
      <c r="C160" s="34"/>
      <c r="D160" s="36"/>
      <c r="E160" s="20"/>
      <c r="F160" s="19"/>
      <c r="I160" s="36"/>
      <c r="S160" s="36"/>
      <c r="T160" s="36"/>
    </row>
    <row r="161" spans="1:20" s="38" customFormat="1" ht="15.75" x14ac:dyDescent="0.3">
      <c r="A161" s="36" t="str">
        <f xml:space="preserve"> IF( 'From SvanPC++'!A151= "", "", ('From SvanPC++'!A151))</f>
        <v/>
      </c>
      <c r="B161" s="35"/>
      <c r="C161" s="34"/>
      <c r="D161" s="36"/>
      <c r="E161" s="20"/>
      <c r="F161" s="19"/>
      <c r="I161" s="36"/>
      <c r="S161" s="36"/>
      <c r="T161" s="36"/>
    </row>
    <row r="162" spans="1:20" s="38" customFormat="1" ht="15.75" x14ac:dyDescent="0.3">
      <c r="A162" s="36" t="str">
        <f xml:space="preserve"> IF( 'From SvanPC++'!A152= "", "", ('From SvanPC++'!A152))</f>
        <v/>
      </c>
      <c r="B162" s="35"/>
      <c r="C162" s="34"/>
      <c r="D162" s="36"/>
      <c r="E162" s="20"/>
      <c r="F162" s="19"/>
      <c r="I162" s="36"/>
      <c r="S162" s="36"/>
      <c r="T162" s="36"/>
    </row>
    <row r="163" spans="1:20" s="38" customFormat="1" ht="15.75" x14ac:dyDescent="0.3">
      <c r="A163" s="36" t="str">
        <f xml:space="preserve"> IF( 'From SvanPC++'!A153= "", "", ('From SvanPC++'!A153))</f>
        <v/>
      </c>
      <c r="B163" s="35"/>
      <c r="C163" s="34"/>
      <c r="D163" s="36"/>
      <c r="E163" s="20"/>
      <c r="F163" s="19"/>
      <c r="I163" s="36"/>
      <c r="S163" s="36"/>
      <c r="T163" s="36"/>
    </row>
    <row r="164" spans="1:20" s="38" customFormat="1" ht="15.75" x14ac:dyDescent="0.3">
      <c r="A164" s="36" t="str">
        <f xml:space="preserve"> IF( 'From SvanPC++'!A154= "", "", ('From SvanPC++'!A154))</f>
        <v/>
      </c>
      <c r="B164" s="35"/>
      <c r="C164" s="34"/>
      <c r="D164" s="36"/>
      <c r="E164" s="20"/>
      <c r="F164" s="19"/>
      <c r="I164" s="36"/>
      <c r="S164" s="36"/>
      <c r="T164" s="36"/>
    </row>
    <row r="165" spans="1:20" s="38" customFormat="1" ht="15.75" x14ac:dyDescent="0.3">
      <c r="A165" s="36" t="str">
        <f xml:space="preserve"> IF( 'From SvanPC++'!A155= "", "", ('From SvanPC++'!A155))</f>
        <v/>
      </c>
      <c r="B165" s="35"/>
      <c r="C165" s="34"/>
      <c r="D165" s="36"/>
      <c r="E165" s="20"/>
      <c r="F165" s="19"/>
      <c r="I165" s="36"/>
      <c r="S165" s="36"/>
      <c r="T165" s="36"/>
    </row>
    <row r="166" spans="1:20" s="38" customFormat="1" ht="15.75" x14ac:dyDescent="0.3">
      <c r="A166" s="36" t="str">
        <f xml:space="preserve"> IF( 'From SvanPC++'!A156= "", "", ('From SvanPC++'!A156))</f>
        <v/>
      </c>
      <c r="B166" s="35"/>
      <c r="C166" s="34"/>
      <c r="D166" s="36"/>
      <c r="E166" s="20"/>
      <c r="F166" s="19"/>
      <c r="I166" s="36"/>
      <c r="S166" s="36"/>
      <c r="T166" s="36"/>
    </row>
    <row r="167" spans="1:20" s="38" customFormat="1" ht="15.75" x14ac:dyDescent="0.3">
      <c r="A167" s="36" t="str">
        <f xml:space="preserve"> IF( 'From SvanPC++'!A157= "", "", ('From SvanPC++'!A157))</f>
        <v/>
      </c>
      <c r="B167" s="35"/>
      <c r="C167" s="34"/>
      <c r="D167" s="36"/>
      <c r="E167" s="20"/>
      <c r="F167" s="19"/>
      <c r="I167" s="36"/>
      <c r="S167" s="36"/>
      <c r="T167" s="36"/>
    </row>
    <row r="168" spans="1:20" s="38" customFormat="1" ht="15.75" x14ac:dyDescent="0.3">
      <c r="A168" s="36" t="str">
        <f xml:space="preserve"> IF( 'From SvanPC++'!A158= "", "", ('From SvanPC++'!A158))</f>
        <v/>
      </c>
      <c r="B168" s="35"/>
      <c r="C168" s="34"/>
      <c r="D168" s="36"/>
      <c r="E168" s="20"/>
      <c r="F168" s="19"/>
      <c r="I168" s="36"/>
      <c r="S168" s="36"/>
      <c r="T168" s="36"/>
    </row>
    <row r="169" spans="1:20" s="38" customFormat="1" ht="15.75" x14ac:dyDescent="0.3">
      <c r="A169" s="36" t="str">
        <f xml:space="preserve"> IF( 'From SvanPC++'!A159= "", "", ('From SvanPC++'!A159))</f>
        <v/>
      </c>
      <c r="B169" s="35"/>
      <c r="C169" s="34"/>
      <c r="D169" s="36"/>
      <c r="E169" s="20"/>
      <c r="F169" s="19"/>
      <c r="I169" s="36"/>
      <c r="S169" s="36"/>
      <c r="T169" s="36"/>
    </row>
    <row r="170" spans="1:20" s="38" customFormat="1" ht="15.75" x14ac:dyDescent="0.3">
      <c r="A170" s="36" t="str">
        <f xml:space="preserve"> IF( 'From SvanPC++'!A160= "", "", ('From SvanPC++'!A160))</f>
        <v/>
      </c>
      <c r="B170" s="35"/>
      <c r="C170" s="34"/>
      <c r="D170" s="36"/>
      <c r="E170" s="20"/>
      <c r="F170" s="19"/>
      <c r="I170" s="36"/>
      <c r="S170" s="36"/>
      <c r="T170" s="36"/>
    </row>
    <row r="171" spans="1:20" s="38" customFormat="1" ht="15.75" x14ac:dyDescent="0.3">
      <c r="A171" s="36" t="str">
        <f xml:space="preserve"> IF( 'From SvanPC++'!A161= "", "", ('From SvanPC++'!A161))</f>
        <v/>
      </c>
      <c r="B171" s="35"/>
      <c r="C171" s="34"/>
      <c r="D171" s="36"/>
      <c r="E171" s="20"/>
      <c r="F171" s="19"/>
      <c r="I171" s="36"/>
      <c r="S171" s="36"/>
      <c r="T171" s="36"/>
    </row>
    <row r="172" spans="1:20" s="38" customFormat="1" ht="15.75" x14ac:dyDescent="0.3">
      <c r="A172" s="36" t="str">
        <f xml:space="preserve"> IF( 'From SvanPC++'!A162= "", "", ('From SvanPC++'!A162))</f>
        <v/>
      </c>
      <c r="B172" s="35"/>
      <c r="C172" s="34"/>
      <c r="D172" s="36"/>
      <c r="E172" s="20"/>
      <c r="F172" s="19"/>
      <c r="I172" s="36"/>
      <c r="S172" s="36"/>
      <c r="T172" s="36"/>
    </row>
    <row r="173" spans="1:20" s="38" customFormat="1" ht="15.75" x14ac:dyDescent="0.3">
      <c r="A173" s="36" t="str">
        <f xml:space="preserve"> IF( 'From SvanPC++'!A163= "", "", ('From SvanPC++'!A163))</f>
        <v/>
      </c>
      <c r="B173" s="35"/>
      <c r="C173" s="34"/>
      <c r="D173" s="36"/>
      <c r="E173" s="20"/>
      <c r="F173" s="19"/>
      <c r="I173" s="36"/>
      <c r="S173" s="36"/>
      <c r="T173" s="36"/>
    </row>
    <row r="174" spans="1:20" s="38" customFormat="1" ht="15.75" x14ac:dyDescent="0.3">
      <c r="A174" s="36" t="str">
        <f xml:space="preserve"> IF( 'From SvanPC++'!A164= "", "", ('From SvanPC++'!A164))</f>
        <v/>
      </c>
      <c r="B174" s="35"/>
      <c r="C174" s="34"/>
      <c r="D174" s="36"/>
      <c r="E174" s="20"/>
      <c r="F174" s="19"/>
      <c r="I174" s="36"/>
      <c r="S174" s="36"/>
      <c r="T174" s="36"/>
    </row>
    <row r="175" spans="1:20" s="38" customFormat="1" ht="15.75" x14ac:dyDescent="0.3">
      <c r="A175" s="36" t="str">
        <f xml:space="preserve"> IF( 'From SvanPC++'!A165= "", "", ('From SvanPC++'!A165))</f>
        <v/>
      </c>
      <c r="B175" s="35"/>
      <c r="C175" s="34"/>
      <c r="D175" s="36"/>
      <c r="E175" s="20"/>
      <c r="F175" s="19"/>
      <c r="I175" s="36"/>
      <c r="S175" s="36"/>
      <c r="T175" s="36"/>
    </row>
    <row r="176" spans="1:20" s="38" customFormat="1" ht="15.75" x14ac:dyDescent="0.3">
      <c r="A176" s="36" t="str">
        <f xml:space="preserve"> IF( 'From SvanPC++'!A166= "", "", ('From SvanPC++'!A166))</f>
        <v/>
      </c>
      <c r="B176" s="35"/>
      <c r="C176" s="34"/>
      <c r="D176" s="36"/>
      <c r="E176" s="20"/>
      <c r="F176" s="19"/>
      <c r="I176" s="36"/>
      <c r="S176" s="36"/>
      <c r="T176" s="36"/>
    </row>
    <row r="177" spans="1:20" s="38" customFormat="1" ht="15.75" x14ac:dyDescent="0.3">
      <c r="A177" s="36" t="str">
        <f xml:space="preserve"> IF( 'From SvanPC++'!A167= "", "", ('From SvanPC++'!A167))</f>
        <v/>
      </c>
      <c r="B177" s="35"/>
      <c r="C177" s="34"/>
      <c r="D177" s="36"/>
      <c r="E177" s="20"/>
      <c r="F177" s="19"/>
      <c r="I177" s="36"/>
      <c r="S177" s="36"/>
      <c r="T177" s="36"/>
    </row>
    <row r="178" spans="1:20" s="38" customFormat="1" ht="15.75" x14ac:dyDescent="0.3">
      <c r="A178" s="36" t="str">
        <f xml:space="preserve"> IF( 'From SvanPC++'!A168= "", "", ('From SvanPC++'!A168))</f>
        <v/>
      </c>
      <c r="B178" s="35"/>
      <c r="C178" s="34"/>
      <c r="D178" s="36"/>
      <c r="E178" s="20"/>
      <c r="F178" s="19"/>
      <c r="I178" s="36"/>
      <c r="S178" s="36"/>
      <c r="T178" s="36"/>
    </row>
    <row r="179" spans="1:20" s="38" customFormat="1" ht="15.75" x14ac:dyDescent="0.3">
      <c r="A179" s="36" t="str">
        <f xml:space="preserve"> IF( 'From SvanPC++'!A169= "", "", ('From SvanPC++'!A169))</f>
        <v/>
      </c>
      <c r="B179" s="35"/>
      <c r="C179" s="34"/>
      <c r="D179" s="36"/>
      <c r="E179" s="20"/>
      <c r="F179" s="19"/>
      <c r="I179" s="36"/>
      <c r="S179" s="36"/>
      <c r="T179" s="36"/>
    </row>
    <row r="180" spans="1:20" s="38" customFormat="1" ht="15.75" x14ac:dyDescent="0.3">
      <c r="A180" s="36" t="str">
        <f xml:space="preserve"> IF( 'From SvanPC++'!A170= "", "", ('From SvanPC++'!A170))</f>
        <v/>
      </c>
      <c r="B180" s="35"/>
      <c r="C180" s="34"/>
      <c r="D180" s="36"/>
      <c r="E180" s="20"/>
      <c r="F180" s="19"/>
      <c r="I180" s="36"/>
      <c r="S180" s="36"/>
      <c r="T180" s="36"/>
    </row>
    <row r="181" spans="1:20" s="38" customFormat="1" ht="15.75" x14ac:dyDescent="0.3">
      <c r="A181" s="36" t="str">
        <f xml:space="preserve"> IF( 'From SvanPC++'!A171= "", "", ('From SvanPC++'!A171))</f>
        <v/>
      </c>
      <c r="B181" s="35"/>
      <c r="C181" s="34"/>
      <c r="D181" s="36"/>
      <c r="E181" s="20"/>
      <c r="F181" s="19"/>
      <c r="I181" s="36"/>
      <c r="S181" s="36"/>
      <c r="T181" s="36"/>
    </row>
    <row r="182" spans="1:20" s="38" customFormat="1" ht="15.75" x14ac:dyDescent="0.3">
      <c r="A182" s="36" t="str">
        <f xml:space="preserve"> IF( 'From SvanPC++'!A172= "", "", ('From SvanPC++'!A172))</f>
        <v/>
      </c>
      <c r="B182" s="35"/>
      <c r="C182" s="34"/>
      <c r="D182" s="36"/>
      <c r="E182" s="20"/>
      <c r="F182" s="19"/>
      <c r="I182" s="36"/>
      <c r="S182" s="36"/>
      <c r="T182" s="36"/>
    </row>
    <row r="183" spans="1:20" s="38" customFormat="1" ht="15.75" x14ac:dyDescent="0.3">
      <c r="A183" s="36" t="str">
        <f xml:space="preserve"> IF( 'From SvanPC++'!A173= "", "", ('From SvanPC++'!A173))</f>
        <v/>
      </c>
      <c r="B183" s="35"/>
      <c r="C183" s="34"/>
      <c r="D183" s="36"/>
      <c r="E183" s="20"/>
      <c r="F183" s="19"/>
      <c r="I183" s="36"/>
      <c r="S183" s="36"/>
      <c r="T183" s="36"/>
    </row>
    <row r="184" spans="1:20" s="38" customFormat="1" ht="15.75" x14ac:dyDescent="0.3">
      <c r="A184" s="36" t="str">
        <f xml:space="preserve"> IF( 'From SvanPC++'!A174= "", "", ('From SvanPC++'!A174))</f>
        <v/>
      </c>
      <c r="B184" s="35"/>
      <c r="C184" s="34"/>
      <c r="D184" s="36"/>
      <c r="E184" s="20"/>
      <c r="F184" s="19"/>
      <c r="I184" s="36"/>
      <c r="S184" s="36"/>
      <c r="T184" s="36"/>
    </row>
    <row r="185" spans="1:20" s="38" customFormat="1" ht="15.75" x14ac:dyDescent="0.3">
      <c r="A185" s="36" t="str">
        <f xml:space="preserve"> IF( 'From SvanPC++'!A175= "", "", ('From SvanPC++'!A175))</f>
        <v/>
      </c>
      <c r="B185" s="35"/>
      <c r="C185" s="34"/>
      <c r="D185" s="36"/>
      <c r="E185" s="20"/>
      <c r="F185" s="19"/>
      <c r="I185" s="36"/>
      <c r="S185" s="36"/>
      <c r="T185" s="36"/>
    </row>
    <row r="186" spans="1:20" s="38" customFormat="1" ht="15.75" x14ac:dyDescent="0.3">
      <c r="A186" s="36" t="str">
        <f xml:space="preserve"> IF( 'From SvanPC++'!A176= "", "", ('From SvanPC++'!A176))</f>
        <v/>
      </c>
      <c r="B186" s="35"/>
      <c r="C186" s="34"/>
      <c r="D186" s="36"/>
      <c r="E186" s="20"/>
      <c r="F186" s="19"/>
      <c r="I186" s="36"/>
      <c r="S186" s="36"/>
      <c r="T186" s="36"/>
    </row>
    <row r="187" spans="1:20" s="38" customFormat="1" ht="15.75" x14ac:dyDescent="0.3">
      <c r="A187" s="36" t="str">
        <f xml:space="preserve"> IF( 'From SvanPC++'!A177= "", "", ('From SvanPC++'!A177))</f>
        <v/>
      </c>
      <c r="B187" s="35"/>
      <c r="C187" s="34"/>
      <c r="D187" s="36"/>
      <c r="E187" s="20"/>
      <c r="F187" s="19"/>
      <c r="I187" s="36"/>
      <c r="S187" s="36"/>
      <c r="T187" s="36"/>
    </row>
    <row r="188" spans="1:20" s="38" customFormat="1" ht="15.75" x14ac:dyDescent="0.3">
      <c r="A188" s="36" t="str">
        <f xml:space="preserve"> IF( 'From SvanPC++'!A178= "", "", ('From SvanPC++'!A178))</f>
        <v/>
      </c>
      <c r="B188" s="35"/>
      <c r="C188" s="34"/>
      <c r="D188" s="36"/>
      <c r="E188" s="20"/>
      <c r="F188" s="19"/>
      <c r="I188" s="36"/>
      <c r="S188" s="36"/>
      <c r="T188" s="36"/>
    </row>
    <row r="189" spans="1:20" s="38" customFormat="1" x14ac:dyDescent="0.3">
      <c r="A189" s="36" t="str">
        <f xml:space="preserve"> IF( 'From SvanPC++'!A179= "", "", ('From SvanPC++'!A179))</f>
        <v/>
      </c>
      <c r="B189" s="36"/>
      <c r="C189" s="36"/>
      <c r="D189" s="36"/>
      <c r="E189" s="47"/>
      <c r="F189" s="19"/>
      <c r="I189" s="36"/>
      <c r="S189" s="36"/>
      <c r="T189" s="36"/>
    </row>
    <row r="190" spans="1:20" s="38" customFormat="1" x14ac:dyDescent="0.3">
      <c r="A190" s="36" t="str">
        <f xml:space="preserve"> IF( 'From SvanPC++'!A180= "", "", ('From SvanPC++'!A180))</f>
        <v/>
      </c>
      <c r="B190" s="36"/>
      <c r="C190" s="36"/>
      <c r="D190" s="36"/>
      <c r="E190" s="47"/>
      <c r="F190" s="19"/>
      <c r="I190" s="36"/>
      <c r="S190" s="36"/>
      <c r="T190" s="36"/>
    </row>
    <row r="191" spans="1:20" s="38" customFormat="1" x14ac:dyDescent="0.3">
      <c r="A191" s="36" t="str">
        <f xml:space="preserve"> IF( 'From SvanPC++'!A181= "", "", ('From SvanPC++'!A181))</f>
        <v/>
      </c>
      <c r="B191" s="36"/>
      <c r="C191" s="36"/>
      <c r="D191" s="36"/>
      <c r="E191" s="47"/>
      <c r="F191" s="19"/>
      <c r="I191" s="36"/>
      <c r="S191" s="36"/>
      <c r="T191" s="36"/>
    </row>
    <row r="192" spans="1:20" s="38" customFormat="1" x14ac:dyDescent="0.3">
      <c r="A192" s="36" t="str">
        <f xml:space="preserve"> IF( 'From SvanPC++'!A182= "", "", ('From SvanPC++'!A182))</f>
        <v/>
      </c>
      <c r="B192" s="36"/>
      <c r="C192" s="36"/>
      <c r="D192" s="36"/>
      <c r="E192" s="47"/>
      <c r="F192" s="19"/>
      <c r="I192" s="36"/>
      <c r="S192" s="36"/>
      <c r="T192" s="36"/>
    </row>
    <row r="193" spans="1:20" s="38" customFormat="1" x14ac:dyDescent="0.3">
      <c r="A193" s="36" t="str">
        <f xml:space="preserve"> IF( 'From SvanPC++'!A183= "", "", ('From SvanPC++'!A183))</f>
        <v/>
      </c>
      <c r="B193" s="36"/>
      <c r="C193" s="36"/>
      <c r="D193" s="36"/>
      <c r="E193" s="47"/>
      <c r="F193" s="19"/>
      <c r="I193" s="36"/>
      <c r="S193" s="36"/>
      <c r="T193" s="36"/>
    </row>
    <row r="194" spans="1:20" s="38" customFormat="1" x14ac:dyDescent="0.3">
      <c r="A194" s="36" t="str">
        <f xml:space="preserve"> IF( 'From SvanPC++'!A184= "", "", ('From SvanPC++'!A184))</f>
        <v/>
      </c>
      <c r="B194" s="36"/>
      <c r="C194" s="36"/>
      <c r="D194" s="36"/>
      <c r="E194" s="47"/>
      <c r="F194" s="19"/>
      <c r="I194" s="36"/>
      <c r="S194" s="36"/>
      <c r="T194" s="36"/>
    </row>
    <row r="195" spans="1:20" s="38" customFormat="1" x14ac:dyDescent="0.3">
      <c r="A195" s="36" t="str">
        <f xml:space="preserve"> IF( 'From SvanPC++'!A185= "", "", ('From SvanPC++'!A185))</f>
        <v/>
      </c>
      <c r="B195" s="36"/>
      <c r="C195" s="36"/>
      <c r="D195" s="36"/>
      <c r="E195" s="47"/>
      <c r="F195" s="19"/>
      <c r="I195" s="36"/>
      <c r="S195" s="36"/>
      <c r="T195" s="36"/>
    </row>
    <row r="196" spans="1:20" s="38" customFormat="1" x14ac:dyDescent="0.3">
      <c r="A196" s="36" t="str">
        <f xml:space="preserve"> IF( 'From SvanPC++'!A186= "", "", ('From SvanPC++'!A186))</f>
        <v/>
      </c>
      <c r="B196" s="36"/>
      <c r="C196" s="36"/>
      <c r="D196" s="36"/>
      <c r="E196" s="47"/>
      <c r="F196" s="19"/>
      <c r="I196" s="36"/>
      <c r="S196" s="36"/>
      <c r="T196" s="36"/>
    </row>
    <row r="197" spans="1:20" s="38" customFormat="1" x14ac:dyDescent="0.3">
      <c r="A197" s="36" t="str">
        <f xml:space="preserve"> IF( 'From SvanPC++'!A187= "", "", ('From SvanPC++'!A187))</f>
        <v/>
      </c>
      <c r="B197" s="36"/>
      <c r="C197" s="36"/>
      <c r="D197" s="36"/>
      <c r="E197" s="47"/>
      <c r="F197" s="19"/>
      <c r="I197" s="36"/>
      <c r="S197" s="36"/>
      <c r="T197" s="36"/>
    </row>
    <row r="198" spans="1:20" s="38" customFormat="1" x14ac:dyDescent="0.3">
      <c r="A198" s="36" t="str">
        <f xml:space="preserve"> IF( 'From SvanPC++'!A188= "", "", ('From SvanPC++'!A188))</f>
        <v/>
      </c>
      <c r="B198" s="36"/>
      <c r="C198" s="36"/>
      <c r="D198" s="36"/>
      <c r="E198" s="47"/>
      <c r="F198" s="19"/>
      <c r="I198" s="36"/>
      <c r="S198" s="36"/>
      <c r="T198" s="36"/>
    </row>
    <row r="199" spans="1:20" s="38" customFormat="1" x14ac:dyDescent="0.3">
      <c r="A199" s="36" t="str">
        <f xml:space="preserve"> IF( 'From SvanPC++'!A189= "", "", ('From SvanPC++'!A189))</f>
        <v/>
      </c>
      <c r="B199" s="36"/>
      <c r="C199" s="36"/>
      <c r="D199" s="36"/>
      <c r="E199" s="47"/>
      <c r="F199" s="19"/>
      <c r="I199" s="36"/>
      <c r="S199" s="36"/>
      <c r="T199" s="36"/>
    </row>
    <row r="200" spans="1:20" s="38" customFormat="1" x14ac:dyDescent="0.3">
      <c r="A200" s="36" t="str">
        <f xml:space="preserve"> IF( 'From SvanPC++'!A190= "", "", ('From SvanPC++'!A190))</f>
        <v/>
      </c>
      <c r="B200" s="36"/>
      <c r="C200" s="36"/>
      <c r="D200" s="36"/>
      <c r="E200" s="47"/>
      <c r="F200" s="19"/>
      <c r="I200" s="36"/>
      <c r="S200" s="36"/>
      <c r="T200" s="36"/>
    </row>
    <row r="201" spans="1:20" s="38" customFormat="1" x14ac:dyDescent="0.3">
      <c r="A201" s="36" t="str">
        <f xml:space="preserve"> IF( 'From SvanPC++'!A191= "", "", ('From SvanPC++'!A191))</f>
        <v/>
      </c>
      <c r="B201" s="36"/>
      <c r="C201" s="36"/>
      <c r="D201" s="36"/>
      <c r="E201" s="47"/>
      <c r="F201" s="19"/>
      <c r="I201" s="36"/>
      <c r="S201" s="36"/>
      <c r="T201" s="36"/>
    </row>
    <row r="202" spans="1:20" s="38" customFormat="1" x14ac:dyDescent="0.3">
      <c r="A202" s="36" t="str">
        <f xml:space="preserve"> IF( 'From SvanPC++'!A192= "", "", ('From SvanPC++'!A192))</f>
        <v/>
      </c>
      <c r="B202" s="36"/>
      <c r="C202" s="36"/>
      <c r="D202" s="36"/>
      <c r="E202" s="47"/>
      <c r="F202" s="19"/>
      <c r="I202" s="36"/>
      <c r="S202" s="36"/>
      <c r="T202" s="36"/>
    </row>
    <row r="203" spans="1:20" s="38" customFormat="1" x14ac:dyDescent="0.3">
      <c r="A203" s="36" t="str">
        <f xml:space="preserve"> IF( 'From SvanPC++'!A193= "", "", ('From SvanPC++'!A193))</f>
        <v/>
      </c>
      <c r="B203" s="36"/>
      <c r="C203" s="36"/>
      <c r="D203" s="36"/>
      <c r="E203" s="47"/>
      <c r="F203" s="19"/>
      <c r="I203" s="36"/>
      <c r="S203" s="36"/>
      <c r="T203" s="36"/>
    </row>
    <row r="204" spans="1:20" s="38" customFormat="1" x14ac:dyDescent="0.3">
      <c r="A204" s="36" t="str">
        <f xml:space="preserve"> IF( 'From SvanPC++'!A194= "", "", ('From SvanPC++'!A194))</f>
        <v/>
      </c>
      <c r="B204" s="36"/>
      <c r="C204" s="36"/>
      <c r="D204" s="36"/>
      <c r="E204" s="47"/>
      <c r="F204" s="19"/>
      <c r="I204" s="36"/>
      <c r="S204" s="36"/>
      <c r="T204" s="36"/>
    </row>
    <row r="205" spans="1:20" s="38" customFormat="1" x14ac:dyDescent="0.3">
      <c r="A205" s="36" t="str">
        <f xml:space="preserve"> IF( 'From SvanPC++'!A195= "", "", ('From SvanPC++'!A195))</f>
        <v/>
      </c>
      <c r="B205" s="36"/>
      <c r="C205" s="36"/>
      <c r="D205" s="36"/>
      <c r="E205" s="47"/>
      <c r="F205" s="19"/>
      <c r="I205" s="36"/>
      <c r="S205" s="36"/>
      <c r="T205" s="36"/>
    </row>
    <row r="206" spans="1:20" s="38" customFormat="1" x14ac:dyDescent="0.3">
      <c r="A206" s="36" t="str">
        <f xml:space="preserve"> IF( 'From SvanPC++'!A196= "", "", ('From SvanPC++'!A196))</f>
        <v/>
      </c>
      <c r="B206" s="36"/>
      <c r="C206" s="36"/>
      <c r="D206" s="36"/>
      <c r="E206" s="47"/>
      <c r="F206" s="19"/>
      <c r="I206" s="36"/>
      <c r="S206" s="36"/>
      <c r="T206" s="36"/>
    </row>
    <row r="207" spans="1:20" s="38" customFormat="1" x14ac:dyDescent="0.3">
      <c r="A207" s="36" t="str">
        <f xml:space="preserve"> IF( 'From SvanPC++'!A197= "", "", ('From SvanPC++'!A197))</f>
        <v/>
      </c>
      <c r="B207" s="36"/>
      <c r="C207" s="36"/>
      <c r="D207" s="36"/>
      <c r="E207" s="47"/>
      <c r="F207" s="19"/>
      <c r="I207" s="36"/>
      <c r="S207" s="36"/>
      <c r="T207" s="36"/>
    </row>
    <row r="208" spans="1:20" s="38" customFormat="1" x14ac:dyDescent="0.3">
      <c r="A208" s="36" t="str">
        <f xml:space="preserve"> IF( 'From SvanPC++'!A198= "", "", ('From SvanPC++'!A198))</f>
        <v/>
      </c>
      <c r="B208" s="36"/>
      <c r="C208" s="36"/>
      <c r="D208" s="36"/>
      <c r="E208" s="47"/>
      <c r="F208" s="19"/>
      <c r="I208" s="36"/>
      <c r="S208" s="36"/>
      <c r="T208" s="36"/>
    </row>
    <row r="209" spans="1:20" s="38" customFormat="1" x14ac:dyDescent="0.3">
      <c r="A209" s="36" t="str">
        <f xml:space="preserve"> IF( 'From SvanPC++'!A199= "", "", ('From SvanPC++'!A199))</f>
        <v/>
      </c>
      <c r="B209" s="36"/>
      <c r="C209" s="36"/>
      <c r="D209" s="36"/>
      <c r="E209" s="47"/>
      <c r="F209" s="19"/>
      <c r="I209" s="36"/>
      <c r="S209" s="36"/>
      <c r="T209" s="36"/>
    </row>
    <row r="210" spans="1:20" s="38" customFormat="1" x14ac:dyDescent="0.3">
      <c r="A210" s="36" t="str">
        <f xml:space="preserve"> IF( 'From SvanPC++'!A200= "", "", ('From SvanPC++'!A200))</f>
        <v/>
      </c>
      <c r="B210" s="36"/>
      <c r="C210" s="36"/>
      <c r="D210" s="36"/>
      <c r="E210" s="47"/>
      <c r="F210" s="19"/>
      <c r="I210" s="36"/>
      <c r="S210" s="36"/>
      <c r="T210" s="36"/>
    </row>
    <row r="211" spans="1:20" s="38" customFormat="1" x14ac:dyDescent="0.3">
      <c r="A211" s="36" t="str">
        <f xml:space="preserve"> IF( 'From SvanPC++'!A201= "", "", ('From SvanPC++'!A201))</f>
        <v/>
      </c>
      <c r="B211" s="36"/>
      <c r="C211" s="36"/>
      <c r="D211" s="36"/>
      <c r="E211" s="47"/>
      <c r="F211" s="19"/>
      <c r="I211" s="36"/>
      <c r="S211" s="36"/>
      <c r="T211" s="36"/>
    </row>
    <row r="212" spans="1:20" s="38" customFormat="1" x14ac:dyDescent="0.3">
      <c r="A212" s="36" t="str">
        <f xml:space="preserve"> IF( 'From SvanPC++'!A202= "", "", ('From SvanPC++'!A202))</f>
        <v/>
      </c>
      <c r="B212" s="36"/>
      <c r="C212" s="36"/>
      <c r="D212" s="36"/>
      <c r="E212" s="47"/>
      <c r="F212" s="19"/>
      <c r="I212" s="36"/>
      <c r="S212" s="36"/>
      <c r="T212" s="36"/>
    </row>
    <row r="213" spans="1:20" s="38" customFormat="1" x14ac:dyDescent="0.3">
      <c r="A213" s="36" t="str">
        <f xml:space="preserve"> IF( 'From SvanPC++'!A203= "", "", ('From SvanPC++'!A203))</f>
        <v/>
      </c>
      <c r="B213" s="36"/>
      <c r="C213" s="36"/>
      <c r="D213" s="36"/>
      <c r="E213" s="47"/>
      <c r="F213" s="19"/>
      <c r="I213" s="36"/>
      <c r="S213" s="36"/>
      <c r="T213" s="36"/>
    </row>
    <row r="214" spans="1:20" s="38" customFormat="1" x14ac:dyDescent="0.3">
      <c r="A214" s="36" t="str">
        <f xml:space="preserve"> IF( 'From SvanPC++'!A204= "", "", ('From SvanPC++'!A204))</f>
        <v/>
      </c>
      <c r="B214" s="36"/>
      <c r="C214" s="36"/>
      <c r="D214" s="36"/>
      <c r="E214" s="47"/>
      <c r="F214" s="19"/>
      <c r="I214" s="36"/>
      <c r="S214" s="36"/>
      <c r="T214" s="36"/>
    </row>
    <row r="215" spans="1:20" s="38" customFormat="1" x14ac:dyDescent="0.3">
      <c r="A215" s="36" t="str">
        <f xml:space="preserve"> IF( 'From SvanPC++'!A205= "", "", ('From SvanPC++'!A205))</f>
        <v/>
      </c>
      <c r="B215" s="36"/>
      <c r="C215" s="36"/>
      <c r="D215" s="36"/>
      <c r="E215" s="47"/>
      <c r="F215" s="19"/>
      <c r="I215" s="36"/>
      <c r="S215" s="36"/>
      <c r="T215" s="36"/>
    </row>
    <row r="216" spans="1:20" s="38" customFormat="1" x14ac:dyDescent="0.3">
      <c r="A216" s="36" t="str">
        <f xml:space="preserve"> IF( 'From SvanPC++'!A206= "", "", ('From SvanPC++'!A206))</f>
        <v/>
      </c>
      <c r="B216" s="36"/>
      <c r="C216" s="36"/>
      <c r="D216" s="36"/>
      <c r="E216" s="47"/>
      <c r="F216" s="19"/>
      <c r="I216" s="36"/>
      <c r="S216" s="36"/>
      <c r="T216" s="36"/>
    </row>
    <row r="217" spans="1:20" s="38" customFormat="1" x14ac:dyDescent="0.3">
      <c r="A217" s="36" t="str">
        <f xml:space="preserve"> IF( 'From SvanPC++'!A207= "", "", ('From SvanPC++'!A207))</f>
        <v/>
      </c>
      <c r="B217" s="36"/>
      <c r="C217" s="36"/>
      <c r="D217" s="36"/>
      <c r="E217" s="47"/>
      <c r="F217" s="19"/>
      <c r="I217" s="36"/>
      <c r="S217" s="36"/>
      <c r="T217" s="36"/>
    </row>
    <row r="218" spans="1:20" s="38" customFormat="1" x14ac:dyDescent="0.3">
      <c r="A218" s="36" t="str">
        <f xml:space="preserve"> IF( 'From SvanPC++'!A208= "", "", ('From SvanPC++'!A208))</f>
        <v/>
      </c>
      <c r="B218" s="36"/>
      <c r="C218" s="36"/>
      <c r="D218" s="36"/>
      <c r="E218" s="47"/>
      <c r="F218" s="19"/>
      <c r="I218" s="36"/>
      <c r="S218" s="36"/>
      <c r="T218" s="36"/>
    </row>
    <row r="219" spans="1:20" s="38" customFormat="1" x14ac:dyDescent="0.3">
      <c r="A219" s="36" t="str">
        <f xml:space="preserve"> IF( 'From SvanPC++'!A209= "", "", ('From SvanPC++'!A209))</f>
        <v/>
      </c>
      <c r="B219" s="36"/>
      <c r="C219" s="36"/>
      <c r="D219" s="36"/>
      <c r="E219" s="47"/>
      <c r="F219" s="19"/>
      <c r="I219" s="36"/>
      <c r="S219" s="36"/>
      <c r="T219" s="36"/>
    </row>
    <row r="220" spans="1:20" s="38" customFormat="1" x14ac:dyDescent="0.3">
      <c r="A220" s="36" t="str">
        <f xml:space="preserve"> IF( 'From SvanPC++'!A210= "", "", ('From SvanPC++'!A210))</f>
        <v/>
      </c>
      <c r="B220" s="36"/>
      <c r="C220" s="36"/>
      <c r="D220" s="36"/>
      <c r="E220" s="47"/>
      <c r="F220" s="19"/>
      <c r="I220" s="36"/>
      <c r="S220" s="36"/>
      <c r="T220" s="36"/>
    </row>
    <row r="221" spans="1:20" s="38" customFormat="1" x14ac:dyDescent="0.3">
      <c r="A221" s="36" t="str">
        <f xml:space="preserve"> IF( 'From SvanPC++'!A211= "", "", ('From SvanPC++'!A211))</f>
        <v/>
      </c>
      <c r="B221" s="36"/>
      <c r="C221" s="36"/>
      <c r="D221" s="36"/>
      <c r="E221" s="47"/>
      <c r="F221" s="19"/>
      <c r="I221" s="36"/>
      <c r="S221" s="36"/>
      <c r="T221" s="36"/>
    </row>
    <row r="222" spans="1:20" s="38" customFormat="1" x14ac:dyDescent="0.3">
      <c r="A222" s="36" t="str">
        <f xml:space="preserve"> IF( 'From SvanPC++'!A212= "", "", ('From SvanPC++'!A212))</f>
        <v/>
      </c>
      <c r="B222" s="36"/>
      <c r="C222" s="36"/>
      <c r="D222" s="36"/>
      <c r="E222" s="47"/>
      <c r="F222" s="19"/>
      <c r="I222" s="36"/>
      <c r="S222" s="36"/>
      <c r="T222" s="36"/>
    </row>
    <row r="223" spans="1:20" s="38" customFormat="1" x14ac:dyDescent="0.3">
      <c r="A223" s="36" t="str">
        <f xml:space="preserve"> IF( 'From SvanPC++'!A213= "", "", ('From SvanPC++'!A213))</f>
        <v/>
      </c>
      <c r="B223" s="36"/>
      <c r="C223" s="36"/>
      <c r="D223" s="36"/>
      <c r="E223" s="47"/>
      <c r="F223" s="19"/>
      <c r="I223" s="36"/>
      <c r="S223" s="36"/>
      <c r="T223" s="36"/>
    </row>
    <row r="224" spans="1:20" s="38" customFormat="1" x14ac:dyDescent="0.3">
      <c r="A224" s="36" t="str">
        <f xml:space="preserve"> IF( 'From SvanPC++'!A214= "", "", ('From SvanPC++'!A214))</f>
        <v/>
      </c>
      <c r="B224" s="36"/>
      <c r="C224" s="36"/>
      <c r="D224" s="36"/>
      <c r="E224" s="47"/>
      <c r="F224" s="19"/>
      <c r="I224" s="36"/>
      <c r="S224" s="36"/>
      <c r="T224" s="36"/>
    </row>
    <row r="225" spans="1:20" s="38" customFormat="1" x14ac:dyDescent="0.3">
      <c r="A225" s="36" t="str">
        <f xml:space="preserve"> IF( 'From SvanPC++'!A215= "", "", ('From SvanPC++'!A215))</f>
        <v/>
      </c>
      <c r="B225" s="36"/>
      <c r="C225" s="36"/>
      <c r="D225" s="36"/>
      <c r="E225" s="47"/>
      <c r="F225" s="19"/>
      <c r="I225" s="36"/>
      <c r="S225" s="36"/>
      <c r="T225" s="36"/>
    </row>
    <row r="226" spans="1:20" s="38" customFormat="1" x14ac:dyDescent="0.3">
      <c r="A226" s="36" t="str">
        <f xml:space="preserve"> IF( 'From SvanPC++'!A216= "", "", ('From SvanPC++'!A216))</f>
        <v/>
      </c>
      <c r="B226" s="36"/>
      <c r="C226" s="36"/>
      <c r="D226" s="36"/>
      <c r="E226" s="47"/>
      <c r="F226" s="19"/>
      <c r="I226" s="36"/>
      <c r="S226" s="36"/>
      <c r="T226" s="36"/>
    </row>
    <row r="227" spans="1:20" s="38" customFormat="1" x14ac:dyDescent="0.3">
      <c r="A227" s="36" t="str">
        <f xml:space="preserve"> IF( 'From SvanPC++'!A217= "", "", ('From SvanPC++'!A217))</f>
        <v/>
      </c>
      <c r="B227" s="36"/>
      <c r="C227" s="36"/>
      <c r="D227" s="36"/>
      <c r="E227" s="47"/>
      <c r="F227" s="19"/>
      <c r="I227" s="36"/>
      <c r="S227" s="36"/>
      <c r="T227" s="36"/>
    </row>
    <row r="228" spans="1:20" s="38" customFormat="1" x14ac:dyDescent="0.3">
      <c r="A228" s="36" t="str">
        <f xml:space="preserve"> IF( 'From SvanPC++'!A218= "", "", ('From SvanPC++'!A218))</f>
        <v/>
      </c>
      <c r="B228" s="36"/>
      <c r="C228" s="36"/>
      <c r="D228" s="36"/>
      <c r="E228" s="47"/>
      <c r="F228" s="19"/>
      <c r="I228" s="36"/>
      <c r="S228" s="36"/>
      <c r="T228" s="36"/>
    </row>
    <row r="229" spans="1:20" s="38" customFormat="1" x14ac:dyDescent="0.3">
      <c r="A229" s="36" t="str">
        <f xml:space="preserve"> IF( 'From SvanPC++'!A219= "", "", ('From SvanPC++'!A219))</f>
        <v/>
      </c>
      <c r="B229" s="36"/>
      <c r="C229" s="36"/>
      <c r="D229" s="36"/>
      <c r="E229" s="47"/>
      <c r="F229" s="19"/>
      <c r="I229" s="36"/>
      <c r="S229" s="36"/>
      <c r="T229" s="36"/>
    </row>
    <row r="230" spans="1:20" s="38" customFormat="1" x14ac:dyDescent="0.3">
      <c r="A230" s="36" t="str">
        <f xml:space="preserve"> IF( 'From SvanPC++'!A220= "", "", ('From SvanPC++'!A220))</f>
        <v/>
      </c>
      <c r="B230" s="36"/>
      <c r="C230" s="36"/>
      <c r="D230" s="36"/>
      <c r="E230" s="47"/>
      <c r="F230" s="19"/>
      <c r="I230" s="36"/>
      <c r="S230" s="36"/>
      <c r="T230" s="36"/>
    </row>
    <row r="231" spans="1:20" s="38" customFormat="1" x14ac:dyDescent="0.3">
      <c r="A231" s="36" t="str">
        <f xml:space="preserve"> IF( 'From SvanPC++'!A221= "", "", ('From SvanPC++'!A221))</f>
        <v/>
      </c>
      <c r="B231" s="36"/>
      <c r="C231" s="36"/>
      <c r="D231" s="36"/>
      <c r="E231" s="47"/>
      <c r="F231" s="19"/>
      <c r="I231" s="36"/>
      <c r="S231" s="36"/>
      <c r="T231" s="36"/>
    </row>
    <row r="232" spans="1:20" s="38" customFormat="1" x14ac:dyDescent="0.3">
      <c r="A232" s="36" t="str">
        <f xml:space="preserve"> IF( 'From SvanPC++'!A222= "", "", ('From SvanPC++'!A222))</f>
        <v/>
      </c>
      <c r="B232" s="36"/>
      <c r="C232" s="36"/>
      <c r="D232" s="36"/>
      <c r="E232" s="47"/>
      <c r="F232" s="19"/>
      <c r="I232" s="36"/>
      <c r="S232" s="36"/>
      <c r="T232" s="36"/>
    </row>
    <row r="233" spans="1:20" s="38" customFormat="1" x14ac:dyDescent="0.3">
      <c r="A233" s="36" t="str">
        <f xml:space="preserve"> IF( 'From SvanPC++'!A223= "", "", ('From SvanPC++'!A223))</f>
        <v/>
      </c>
      <c r="B233" s="36"/>
      <c r="C233" s="36"/>
      <c r="D233" s="36"/>
      <c r="E233" s="47"/>
      <c r="F233" s="19"/>
      <c r="I233" s="36"/>
      <c r="S233" s="36"/>
      <c r="T233" s="36"/>
    </row>
    <row r="234" spans="1:20" s="38" customFormat="1" x14ac:dyDescent="0.3">
      <c r="A234" s="36" t="str">
        <f xml:space="preserve"> IF( 'From SvanPC++'!A224= "", "", ('From SvanPC++'!A224))</f>
        <v/>
      </c>
      <c r="B234" s="36"/>
      <c r="C234" s="36"/>
      <c r="D234" s="36"/>
      <c r="E234" s="47"/>
      <c r="F234" s="19"/>
      <c r="I234" s="36"/>
      <c r="S234" s="36"/>
      <c r="T234" s="36"/>
    </row>
    <row r="235" spans="1:20" s="38" customFormat="1" x14ac:dyDescent="0.3">
      <c r="A235" s="36" t="str">
        <f xml:space="preserve"> IF( 'From SvanPC++'!A225= "", "", ('From SvanPC++'!A225))</f>
        <v/>
      </c>
      <c r="B235" s="36"/>
      <c r="C235" s="36"/>
      <c r="D235" s="36"/>
      <c r="E235" s="47"/>
      <c r="F235" s="19"/>
      <c r="I235" s="36"/>
      <c r="S235" s="36"/>
      <c r="T235" s="36"/>
    </row>
    <row r="236" spans="1:20" s="38" customFormat="1" x14ac:dyDescent="0.3">
      <c r="A236" s="36" t="str">
        <f xml:space="preserve"> IF( 'From SvanPC++'!A226= "", "", ('From SvanPC++'!A226))</f>
        <v/>
      </c>
      <c r="B236" s="36"/>
      <c r="C236" s="36"/>
      <c r="D236" s="36"/>
      <c r="E236" s="47"/>
      <c r="F236" s="19"/>
      <c r="I236" s="36"/>
      <c r="S236" s="36"/>
      <c r="T236" s="36"/>
    </row>
    <row r="237" spans="1:20" s="38" customFormat="1" x14ac:dyDescent="0.3">
      <c r="A237" s="36" t="str">
        <f xml:space="preserve"> IF( 'From SvanPC++'!A227= "", "", ('From SvanPC++'!A227))</f>
        <v/>
      </c>
      <c r="B237" s="36"/>
      <c r="C237" s="36"/>
      <c r="D237" s="36"/>
      <c r="E237" s="47"/>
      <c r="F237" s="19"/>
      <c r="I237" s="36"/>
      <c r="S237" s="36"/>
      <c r="T237" s="36"/>
    </row>
    <row r="238" spans="1:20" s="38" customFormat="1" x14ac:dyDescent="0.3">
      <c r="A238" s="36" t="str">
        <f xml:space="preserve"> IF( 'From SvanPC++'!A228= "", "", ('From SvanPC++'!A228))</f>
        <v/>
      </c>
      <c r="B238" s="36"/>
      <c r="C238" s="36"/>
      <c r="D238" s="36"/>
      <c r="E238" s="47"/>
      <c r="F238" s="19"/>
      <c r="I238" s="36"/>
      <c r="S238" s="36"/>
      <c r="T238" s="36"/>
    </row>
    <row r="239" spans="1:20" s="38" customFormat="1" x14ac:dyDescent="0.3">
      <c r="A239" s="36" t="str">
        <f xml:space="preserve"> IF( 'From SvanPC++'!A229= "", "", ('From SvanPC++'!A229))</f>
        <v/>
      </c>
      <c r="B239" s="36"/>
      <c r="C239" s="36"/>
      <c r="D239" s="36"/>
      <c r="E239" s="47"/>
      <c r="F239" s="19"/>
      <c r="I239" s="36"/>
      <c r="S239" s="36"/>
      <c r="T239" s="36"/>
    </row>
    <row r="240" spans="1:20" s="38" customFormat="1" x14ac:dyDescent="0.3">
      <c r="A240" s="36" t="str">
        <f xml:space="preserve"> IF( 'From SvanPC++'!A230= "", "", ('From SvanPC++'!A230))</f>
        <v/>
      </c>
      <c r="B240" s="36"/>
      <c r="C240" s="36"/>
      <c r="D240" s="36"/>
      <c r="E240" s="47"/>
      <c r="F240" s="19"/>
      <c r="I240" s="36"/>
      <c r="S240" s="36"/>
      <c r="T240" s="36"/>
    </row>
    <row r="241" spans="1:20" s="38" customFormat="1" x14ac:dyDescent="0.3">
      <c r="A241" s="36" t="str">
        <f xml:space="preserve"> IF( 'From SvanPC++'!A231= "", "", ('From SvanPC++'!A231))</f>
        <v/>
      </c>
      <c r="B241" s="36"/>
      <c r="C241" s="36"/>
      <c r="D241" s="36"/>
      <c r="E241" s="47"/>
      <c r="F241" s="19"/>
      <c r="I241" s="36"/>
      <c r="S241" s="36"/>
      <c r="T241" s="36"/>
    </row>
    <row r="242" spans="1:20" s="38" customFormat="1" x14ac:dyDescent="0.3">
      <c r="A242" s="36" t="str">
        <f xml:space="preserve"> IF( 'From SvanPC++'!A232= "", "", ('From SvanPC++'!A232))</f>
        <v/>
      </c>
      <c r="B242" s="36"/>
      <c r="C242" s="36"/>
      <c r="D242" s="36"/>
      <c r="E242" s="47"/>
      <c r="F242" s="19"/>
      <c r="I242" s="36"/>
      <c r="S242" s="36"/>
      <c r="T242" s="36"/>
    </row>
    <row r="243" spans="1:20" s="38" customFormat="1" x14ac:dyDescent="0.3">
      <c r="A243" s="36" t="str">
        <f xml:space="preserve"> IF( 'From SvanPC++'!A233= "", "", ('From SvanPC++'!A233))</f>
        <v/>
      </c>
      <c r="B243" s="36"/>
      <c r="C243" s="36"/>
      <c r="D243" s="36"/>
      <c r="E243" s="47"/>
      <c r="F243" s="19"/>
      <c r="I243" s="36"/>
      <c r="S243" s="36"/>
      <c r="T243" s="36"/>
    </row>
    <row r="244" spans="1:20" s="38" customFormat="1" x14ac:dyDescent="0.3">
      <c r="A244" s="36" t="str">
        <f xml:space="preserve"> IF( 'From SvanPC++'!A234= "", "", ('From SvanPC++'!A234))</f>
        <v/>
      </c>
      <c r="B244" s="36"/>
      <c r="C244" s="36"/>
      <c r="D244" s="36"/>
      <c r="E244" s="47"/>
      <c r="F244" s="19"/>
      <c r="I244" s="36"/>
      <c r="S244" s="36"/>
      <c r="T244" s="36"/>
    </row>
    <row r="245" spans="1:20" s="38" customFormat="1" x14ac:dyDescent="0.3">
      <c r="A245" s="36" t="str">
        <f xml:space="preserve"> IF( 'From SvanPC++'!A235= "", "", ('From SvanPC++'!A235))</f>
        <v/>
      </c>
      <c r="B245" s="36"/>
      <c r="C245" s="36"/>
      <c r="D245" s="36"/>
      <c r="E245" s="47"/>
      <c r="F245" s="19"/>
      <c r="I245" s="36"/>
      <c r="S245" s="36"/>
      <c r="T245" s="36"/>
    </row>
    <row r="246" spans="1:20" s="38" customFormat="1" x14ac:dyDescent="0.3">
      <c r="A246" s="36" t="str">
        <f xml:space="preserve"> IF( 'From SvanPC++'!A236= "", "", ('From SvanPC++'!A236))</f>
        <v/>
      </c>
      <c r="B246" s="36"/>
      <c r="C246" s="36"/>
      <c r="D246" s="36"/>
      <c r="E246" s="47"/>
      <c r="F246" s="19"/>
      <c r="I246" s="36"/>
      <c r="S246" s="36"/>
      <c r="T246" s="36"/>
    </row>
    <row r="247" spans="1:20" s="38" customFormat="1" x14ac:dyDescent="0.3">
      <c r="A247" s="36" t="str">
        <f xml:space="preserve"> IF( 'From SvanPC++'!A237= "", "", ('From SvanPC++'!A237))</f>
        <v/>
      </c>
      <c r="B247" s="36"/>
      <c r="C247" s="36"/>
      <c r="D247" s="36"/>
      <c r="E247" s="47"/>
      <c r="F247" s="19"/>
      <c r="I247" s="36"/>
      <c r="S247" s="36"/>
      <c r="T247" s="36"/>
    </row>
    <row r="248" spans="1:20" s="38" customFormat="1" x14ac:dyDescent="0.3">
      <c r="A248" s="36" t="str">
        <f xml:space="preserve"> IF( 'From SvanPC++'!A238= "", "", ('From SvanPC++'!A238))</f>
        <v/>
      </c>
      <c r="B248" s="36"/>
      <c r="C248" s="36"/>
      <c r="D248" s="36"/>
      <c r="E248" s="47"/>
      <c r="F248" s="19"/>
      <c r="I248" s="36"/>
      <c r="S248" s="36"/>
      <c r="T248" s="36"/>
    </row>
    <row r="249" spans="1:20" s="38" customFormat="1" x14ac:dyDescent="0.3">
      <c r="A249" s="36" t="str">
        <f xml:space="preserve"> IF( 'From SvanPC++'!A239= "", "", ('From SvanPC++'!A239))</f>
        <v/>
      </c>
      <c r="B249" s="36"/>
      <c r="C249" s="36"/>
      <c r="D249" s="36"/>
      <c r="E249" s="47"/>
      <c r="F249" s="19"/>
      <c r="I249" s="36"/>
      <c r="S249" s="36"/>
      <c r="T249" s="36"/>
    </row>
    <row r="250" spans="1:20" s="38" customFormat="1" x14ac:dyDescent="0.3">
      <c r="A250" s="36" t="str">
        <f xml:space="preserve"> IF( 'From SvanPC++'!A240= "", "", ('From SvanPC++'!A240))</f>
        <v/>
      </c>
      <c r="B250" s="36"/>
      <c r="C250" s="36"/>
      <c r="D250" s="36"/>
      <c r="E250" s="47"/>
      <c r="F250" s="19"/>
      <c r="I250" s="36"/>
      <c r="S250" s="36"/>
      <c r="T250" s="36"/>
    </row>
    <row r="251" spans="1:20" s="38" customFormat="1" x14ac:dyDescent="0.3">
      <c r="A251" s="36" t="str">
        <f xml:space="preserve"> IF( 'From SvanPC++'!A241= "", "", ('From SvanPC++'!A241))</f>
        <v/>
      </c>
      <c r="B251" s="36"/>
      <c r="C251" s="36"/>
      <c r="D251" s="36"/>
      <c r="E251" s="47"/>
      <c r="F251" s="19"/>
      <c r="I251" s="36"/>
      <c r="S251" s="36"/>
      <c r="T251" s="36"/>
    </row>
    <row r="252" spans="1:20" s="38" customFormat="1" x14ac:dyDescent="0.3">
      <c r="A252" s="36" t="str">
        <f xml:space="preserve"> IF( 'From SvanPC++'!A242= "", "", ('From SvanPC++'!A242))</f>
        <v/>
      </c>
      <c r="B252" s="36"/>
      <c r="C252" s="36"/>
      <c r="D252" s="36"/>
      <c r="E252" s="47"/>
      <c r="F252" s="19"/>
      <c r="I252" s="36"/>
      <c r="S252" s="36"/>
      <c r="T252" s="36"/>
    </row>
    <row r="253" spans="1:20" s="38" customFormat="1" x14ac:dyDescent="0.3">
      <c r="A253" s="36" t="str">
        <f xml:space="preserve"> IF( 'From SvanPC++'!A243= "", "", ('From SvanPC++'!A243))</f>
        <v/>
      </c>
      <c r="B253" s="36"/>
      <c r="C253" s="36"/>
      <c r="D253" s="36"/>
      <c r="E253" s="47"/>
      <c r="F253" s="19"/>
      <c r="I253" s="36"/>
      <c r="S253" s="36"/>
      <c r="T253" s="36"/>
    </row>
    <row r="254" spans="1:20" s="38" customFormat="1" x14ac:dyDescent="0.3">
      <c r="A254" s="36" t="str">
        <f xml:space="preserve"> IF( 'From SvanPC++'!A244= "", "", ('From SvanPC++'!A244))</f>
        <v/>
      </c>
      <c r="B254" s="36"/>
      <c r="C254" s="36"/>
      <c r="D254" s="36"/>
      <c r="E254" s="47"/>
      <c r="F254" s="19"/>
      <c r="I254" s="36"/>
      <c r="S254" s="36"/>
      <c r="T254" s="36"/>
    </row>
    <row r="255" spans="1:20" s="38" customFormat="1" x14ac:dyDescent="0.3">
      <c r="A255" s="36" t="str">
        <f xml:space="preserve"> IF( 'From SvanPC++'!A245= "", "", ('From SvanPC++'!A245))</f>
        <v/>
      </c>
      <c r="B255" s="36"/>
      <c r="C255" s="36"/>
      <c r="D255" s="36"/>
      <c r="E255" s="47"/>
      <c r="F255" s="19"/>
      <c r="I255" s="36"/>
      <c r="S255" s="36"/>
      <c r="T255" s="36"/>
    </row>
    <row r="256" spans="1:20" s="38" customFormat="1" x14ac:dyDescent="0.3">
      <c r="A256" s="36" t="str">
        <f xml:space="preserve"> IF( 'From SvanPC++'!A246= "", "", ('From SvanPC++'!A246))</f>
        <v/>
      </c>
      <c r="B256" s="36"/>
      <c r="C256" s="36"/>
      <c r="D256" s="36"/>
      <c r="E256" s="47"/>
      <c r="F256" s="19"/>
      <c r="I256" s="36"/>
      <c r="S256" s="36"/>
      <c r="T256" s="36"/>
    </row>
    <row r="257" spans="1:20" s="38" customFormat="1" x14ac:dyDescent="0.3">
      <c r="A257" s="36" t="str">
        <f xml:space="preserve"> IF( 'From SvanPC++'!A247= "", "", ('From SvanPC++'!A247))</f>
        <v/>
      </c>
      <c r="B257" s="36"/>
      <c r="C257" s="36"/>
      <c r="D257" s="36"/>
      <c r="E257" s="47"/>
      <c r="F257" s="19"/>
      <c r="I257" s="36"/>
      <c r="S257" s="36"/>
      <c r="T257" s="36"/>
    </row>
    <row r="258" spans="1:20" s="38" customFormat="1" x14ac:dyDescent="0.3">
      <c r="A258" s="36" t="str">
        <f xml:space="preserve"> IF( 'From SvanPC++'!A248= "", "", ('From SvanPC++'!A248))</f>
        <v/>
      </c>
      <c r="B258" s="36"/>
      <c r="C258" s="36"/>
      <c r="D258" s="36"/>
      <c r="E258" s="47"/>
      <c r="F258" s="19"/>
      <c r="I258" s="36"/>
      <c r="S258" s="36"/>
      <c r="T258" s="36"/>
    </row>
    <row r="259" spans="1:20" s="38" customFormat="1" x14ac:dyDescent="0.3">
      <c r="A259" s="36" t="str">
        <f xml:space="preserve"> IF( 'From SvanPC++'!A249= "", "", ('From SvanPC++'!A249))</f>
        <v/>
      </c>
      <c r="B259" s="36"/>
      <c r="C259" s="36"/>
      <c r="D259" s="36"/>
      <c r="E259" s="47"/>
      <c r="F259" s="19"/>
      <c r="I259" s="36"/>
      <c r="S259" s="36"/>
      <c r="T259" s="36"/>
    </row>
    <row r="260" spans="1:20" s="38" customFormat="1" x14ac:dyDescent="0.3">
      <c r="A260" s="36" t="str">
        <f xml:space="preserve"> IF( 'From SvanPC++'!A250= "", "", ('From SvanPC++'!A250))</f>
        <v/>
      </c>
      <c r="B260" s="36"/>
      <c r="C260" s="36"/>
      <c r="D260" s="36"/>
      <c r="E260" s="47"/>
      <c r="F260" s="19"/>
      <c r="I260" s="36"/>
      <c r="S260" s="36"/>
      <c r="T260" s="36"/>
    </row>
    <row r="261" spans="1:20" s="38" customFormat="1" x14ac:dyDescent="0.3">
      <c r="A261" s="36" t="str">
        <f xml:space="preserve"> IF( 'From SvanPC++'!A251= "", "", ('From SvanPC++'!A251))</f>
        <v/>
      </c>
      <c r="B261" s="36"/>
      <c r="C261" s="36"/>
      <c r="D261" s="36"/>
      <c r="E261" s="47"/>
      <c r="F261" s="19"/>
      <c r="I261" s="36"/>
      <c r="S261" s="36"/>
      <c r="T261" s="36"/>
    </row>
    <row r="262" spans="1:20" s="38" customFormat="1" x14ac:dyDescent="0.3">
      <c r="A262" s="36" t="str">
        <f xml:space="preserve"> IF( 'From SvanPC++'!A252= "", "", ('From SvanPC++'!A252))</f>
        <v/>
      </c>
      <c r="B262" s="36"/>
      <c r="C262" s="36"/>
      <c r="D262" s="36"/>
      <c r="E262" s="47"/>
      <c r="F262" s="19"/>
      <c r="I262" s="36"/>
      <c r="S262" s="36"/>
      <c r="T262" s="36"/>
    </row>
    <row r="263" spans="1:20" s="38" customFormat="1" x14ac:dyDescent="0.3">
      <c r="A263" s="36" t="str">
        <f xml:space="preserve"> IF( 'From SvanPC++'!A253= "", "", ('From SvanPC++'!A253))</f>
        <v/>
      </c>
      <c r="B263" s="36"/>
      <c r="C263" s="36"/>
      <c r="D263" s="36"/>
      <c r="E263" s="47"/>
      <c r="F263" s="19"/>
      <c r="I263" s="36"/>
      <c r="S263" s="36"/>
      <c r="T263" s="36"/>
    </row>
    <row r="264" spans="1:20" s="38" customFormat="1" x14ac:dyDescent="0.3">
      <c r="A264" s="36" t="str">
        <f xml:space="preserve"> IF( 'From SvanPC++'!A254= "", "", ('From SvanPC++'!A254))</f>
        <v/>
      </c>
      <c r="B264" s="36"/>
      <c r="C264" s="36"/>
      <c r="D264" s="36"/>
      <c r="E264" s="47"/>
      <c r="F264" s="19"/>
      <c r="I264" s="36"/>
      <c r="S264" s="36"/>
      <c r="T264" s="36"/>
    </row>
    <row r="265" spans="1:20" s="38" customFormat="1" x14ac:dyDescent="0.3">
      <c r="A265" s="36" t="str">
        <f xml:space="preserve"> IF( 'From SvanPC++'!A255= "", "", ('From SvanPC++'!A255))</f>
        <v/>
      </c>
      <c r="B265" s="36"/>
      <c r="C265" s="36"/>
      <c r="D265" s="36"/>
      <c r="E265" s="47"/>
      <c r="F265" s="19"/>
      <c r="I265" s="36"/>
      <c r="S265" s="36"/>
      <c r="T265" s="36"/>
    </row>
    <row r="266" spans="1:20" s="38" customFormat="1" x14ac:dyDescent="0.3">
      <c r="A266" s="36" t="str">
        <f xml:space="preserve"> IF( 'From SvanPC++'!A256= "", "", ('From SvanPC++'!A256))</f>
        <v/>
      </c>
      <c r="B266" s="36"/>
      <c r="C266" s="36"/>
      <c r="D266" s="36"/>
      <c r="E266" s="47"/>
      <c r="F266" s="19"/>
      <c r="I266" s="36"/>
      <c r="S266" s="36"/>
      <c r="T266" s="36"/>
    </row>
    <row r="267" spans="1:20" s="38" customFormat="1" x14ac:dyDescent="0.3">
      <c r="A267" s="36" t="str">
        <f xml:space="preserve"> IF( 'From SvanPC++'!A257= "", "", ('From SvanPC++'!A257))</f>
        <v/>
      </c>
      <c r="B267" s="36"/>
      <c r="C267" s="36"/>
      <c r="D267" s="36"/>
      <c r="E267" s="47"/>
      <c r="F267" s="19"/>
      <c r="I267" s="36"/>
      <c r="S267" s="36"/>
      <c r="T267" s="36"/>
    </row>
    <row r="268" spans="1:20" s="38" customFormat="1" x14ac:dyDescent="0.3">
      <c r="A268" s="36" t="str">
        <f xml:space="preserve"> IF( 'From SvanPC++'!A258= "", "", ('From SvanPC++'!A258))</f>
        <v/>
      </c>
      <c r="B268" s="36"/>
      <c r="C268" s="36"/>
      <c r="D268" s="36"/>
      <c r="E268" s="47"/>
      <c r="F268" s="19"/>
      <c r="I268" s="36"/>
      <c r="S268" s="36"/>
      <c r="T268" s="36"/>
    </row>
    <row r="269" spans="1:20" s="38" customFormat="1" x14ac:dyDescent="0.3">
      <c r="A269" s="36" t="str">
        <f xml:space="preserve"> IF( 'From SvanPC++'!A259= "", "", ('From SvanPC++'!A259))</f>
        <v/>
      </c>
      <c r="B269" s="36"/>
      <c r="C269" s="36"/>
      <c r="D269" s="36"/>
      <c r="E269" s="47"/>
      <c r="F269" s="19"/>
      <c r="I269" s="36"/>
      <c r="S269" s="36"/>
      <c r="T269" s="36"/>
    </row>
    <row r="270" spans="1:20" s="38" customFormat="1" x14ac:dyDescent="0.3">
      <c r="A270" s="36" t="str">
        <f xml:space="preserve"> IF( 'From SvanPC++'!A260= "", "", ('From SvanPC++'!A260))</f>
        <v/>
      </c>
      <c r="B270" s="36"/>
      <c r="C270" s="36"/>
      <c r="D270" s="36"/>
      <c r="E270" s="47"/>
      <c r="F270" s="19"/>
      <c r="I270" s="36"/>
      <c r="S270" s="36"/>
      <c r="T270" s="36"/>
    </row>
    <row r="271" spans="1:20" s="38" customFormat="1" x14ac:dyDescent="0.3">
      <c r="A271" s="36" t="str">
        <f xml:space="preserve"> IF( 'From SvanPC++'!A261= "", "", ('From SvanPC++'!A261))</f>
        <v/>
      </c>
      <c r="B271" s="36"/>
      <c r="C271" s="36"/>
      <c r="D271" s="36"/>
      <c r="E271" s="47"/>
      <c r="F271" s="19"/>
      <c r="I271" s="36"/>
      <c r="S271" s="36"/>
      <c r="T271" s="36"/>
    </row>
    <row r="272" spans="1:20" s="38" customFormat="1" x14ac:dyDescent="0.3">
      <c r="A272" s="36" t="str">
        <f xml:space="preserve"> IF( 'From SvanPC++'!A262= "", "", ('From SvanPC++'!A262))</f>
        <v/>
      </c>
      <c r="B272" s="36"/>
      <c r="C272" s="36"/>
      <c r="D272" s="36"/>
      <c r="E272" s="47"/>
      <c r="F272" s="19"/>
      <c r="I272" s="36"/>
      <c r="S272" s="36"/>
      <c r="T272" s="36"/>
    </row>
    <row r="273" spans="1:20" s="38" customFormat="1" x14ac:dyDescent="0.3">
      <c r="A273" s="36" t="str">
        <f xml:space="preserve"> IF( 'From SvanPC++'!A263= "", "", ('From SvanPC++'!A263))</f>
        <v/>
      </c>
      <c r="B273" s="36"/>
      <c r="C273" s="36"/>
      <c r="D273" s="36"/>
      <c r="E273" s="47"/>
      <c r="F273" s="19"/>
      <c r="I273" s="36"/>
      <c r="S273" s="36"/>
      <c r="T273" s="36"/>
    </row>
    <row r="274" spans="1:20" s="38" customFormat="1" x14ac:dyDescent="0.3">
      <c r="A274" s="36" t="str">
        <f xml:space="preserve"> IF( 'From SvanPC++'!A264= "", "", ('From SvanPC++'!A264))</f>
        <v/>
      </c>
      <c r="B274" s="36"/>
      <c r="C274" s="36"/>
      <c r="D274" s="36"/>
      <c r="E274" s="47"/>
      <c r="F274" s="19"/>
      <c r="I274" s="36"/>
      <c r="S274" s="36"/>
      <c r="T274" s="36"/>
    </row>
    <row r="275" spans="1:20" s="38" customFormat="1" x14ac:dyDescent="0.3">
      <c r="A275" s="36" t="str">
        <f xml:space="preserve"> IF( 'From SvanPC++'!A265= "", "", ('From SvanPC++'!A265))</f>
        <v/>
      </c>
      <c r="B275" s="36"/>
      <c r="C275" s="36"/>
      <c r="D275" s="36"/>
      <c r="E275" s="47"/>
      <c r="F275" s="19"/>
      <c r="I275" s="36"/>
      <c r="S275" s="36"/>
      <c r="T275" s="36"/>
    </row>
    <row r="276" spans="1:20" s="38" customFormat="1" x14ac:dyDescent="0.3">
      <c r="A276" s="36" t="str">
        <f xml:space="preserve"> IF( 'From SvanPC++'!A266= "", "", ('From SvanPC++'!A266))</f>
        <v/>
      </c>
      <c r="B276" s="36"/>
      <c r="C276" s="36"/>
      <c r="D276" s="36"/>
      <c r="E276" s="47"/>
      <c r="F276" s="19"/>
      <c r="I276" s="36"/>
      <c r="S276" s="36"/>
      <c r="T276" s="36"/>
    </row>
    <row r="277" spans="1:20" s="38" customFormat="1" x14ac:dyDescent="0.3">
      <c r="A277" s="36" t="str">
        <f xml:space="preserve"> IF( 'From SvanPC++'!A267= "", "", ('From SvanPC++'!A267))</f>
        <v/>
      </c>
      <c r="B277" s="36"/>
      <c r="C277" s="36"/>
      <c r="D277" s="36"/>
      <c r="E277" s="47"/>
      <c r="F277" s="19"/>
      <c r="I277" s="36"/>
      <c r="S277" s="36"/>
      <c r="T277" s="36"/>
    </row>
    <row r="278" spans="1:20" s="38" customFormat="1" x14ac:dyDescent="0.3">
      <c r="A278" s="36" t="str">
        <f xml:space="preserve"> IF( 'From SvanPC++'!A268= "", "", ('From SvanPC++'!A268))</f>
        <v/>
      </c>
      <c r="B278" s="36"/>
      <c r="C278" s="36"/>
      <c r="D278" s="36"/>
      <c r="E278" s="47"/>
      <c r="F278" s="19"/>
      <c r="I278" s="36"/>
      <c r="S278" s="36"/>
      <c r="T278" s="36"/>
    </row>
    <row r="279" spans="1:20" s="38" customFormat="1" x14ac:dyDescent="0.3">
      <c r="A279" s="36" t="str">
        <f xml:space="preserve"> IF( 'From SvanPC++'!A269= "", "", ('From SvanPC++'!A269))</f>
        <v/>
      </c>
      <c r="B279" s="36"/>
      <c r="C279" s="36"/>
      <c r="D279" s="36"/>
      <c r="E279" s="47"/>
      <c r="F279" s="19"/>
      <c r="I279" s="36"/>
      <c r="S279" s="36"/>
      <c r="T279" s="36"/>
    </row>
    <row r="280" spans="1:20" s="38" customFormat="1" x14ac:dyDescent="0.3">
      <c r="A280" s="36" t="str">
        <f xml:space="preserve"> IF( 'From SvanPC++'!A270= "", "", ('From SvanPC++'!A270))</f>
        <v/>
      </c>
      <c r="B280" s="36"/>
      <c r="C280" s="36"/>
      <c r="D280" s="36"/>
      <c r="E280" s="47"/>
      <c r="F280" s="19"/>
      <c r="I280" s="36"/>
      <c r="S280" s="36"/>
      <c r="T280" s="36"/>
    </row>
    <row r="281" spans="1:20" s="38" customFormat="1" x14ac:dyDescent="0.3">
      <c r="A281" s="36" t="str">
        <f xml:space="preserve"> IF( 'From SvanPC++'!A271= "", "", ('From SvanPC++'!A271))</f>
        <v/>
      </c>
      <c r="B281" s="36"/>
      <c r="C281" s="36"/>
      <c r="D281" s="36"/>
      <c r="E281" s="47"/>
      <c r="F281" s="19"/>
      <c r="I281" s="36"/>
      <c r="S281" s="36"/>
      <c r="T281" s="36"/>
    </row>
    <row r="282" spans="1:20" s="38" customFormat="1" x14ac:dyDescent="0.3">
      <c r="A282" s="36" t="str">
        <f xml:space="preserve"> IF( 'From SvanPC++'!A272= "", "", ('From SvanPC++'!A272))</f>
        <v/>
      </c>
      <c r="B282" s="36"/>
      <c r="C282" s="36"/>
      <c r="D282" s="36"/>
      <c r="E282" s="47"/>
      <c r="F282" s="19"/>
      <c r="I282" s="36"/>
      <c r="S282" s="36"/>
      <c r="T282" s="36"/>
    </row>
    <row r="283" spans="1:20" s="38" customFormat="1" x14ac:dyDescent="0.3">
      <c r="A283" s="36" t="str">
        <f xml:space="preserve"> IF( 'From SvanPC++'!A273= "", "", ('From SvanPC++'!A273))</f>
        <v/>
      </c>
      <c r="B283" s="36"/>
      <c r="C283" s="36"/>
      <c r="D283" s="36"/>
      <c r="E283" s="47"/>
      <c r="F283" s="19"/>
      <c r="I283" s="36"/>
      <c r="S283" s="36"/>
      <c r="T283" s="36"/>
    </row>
    <row r="284" spans="1:20" s="38" customFormat="1" x14ac:dyDescent="0.3">
      <c r="A284" s="36" t="str">
        <f xml:space="preserve"> IF( 'From SvanPC++'!A274= "", "", ('From SvanPC++'!A274))</f>
        <v/>
      </c>
      <c r="B284" s="36"/>
      <c r="C284" s="36"/>
      <c r="D284" s="36"/>
      <c r="E284" s="47"/>
      <c r="F284" s="19"/>
      <c r="I284" s="36"/>
      <c r="S284" s="36"/>
      <c r="T284" s="36"/>
    </row>
    <row r="285" spans="1:20" s="38" customFormat="1" x14ac:dyDescent="0.3">
      <c r="A285" s="36" t="str">
        <f xml:space="preserve"> IF( 'From SvanPC++'!A275= "", "", ('From SvanPC++'!A275))</f>
        <v/>
      </c>
      <c r="B285" s="36"/>
      <c r="C285" s="36"/>
      <c r="D285" s="36"/>
      <c r="E285" s="47"/>
      <c r="F285" s="19"/>
      <c r="I285" s="36"/>
      <c r="S285" s="36"/>
      <c r="T285" s="36"/>
    </row>
    <row r="286" spans="1:20" s="38" customFormat="1" x14ac:dyDescent="0.3">
      <c r="A286" s="36" t="str">
        <f xml:space="preserve"> IF( 'From SvanPC++'!A276= "", "", ('From SvanPC++'!A276))</f>
        <v/>
      </c>
      <c r="B286" s="36"/>
      <c r="C286" s="36"/>
      <c r="D286" s="36"/>
      <c r="E286" s="47"/>
      <c r="F286" s="19"/>
      <c r="I286" s="36"/>
      <c r="S286" s="36"/>
      <c r="T286" s="36"/>
    </row>
    <row r="287" spans="1:20" s="38" customFormat="1" x14ac:dyDescent="0.3">
      <c r="A287" s="36" t="str">
        <f xml:space="preserve"> IF( 'From SvanPC++'!A277= "", "", ('From SvanPC++'!A277))</f>
        <v/>
      </c>
      <c r="B287" s="36"/>
      <c r="C287" s="36"/>
      <c r="D287" s="36"/>
      <c r="E287" s="47"/>
      <c r="F287" s="19"/>
      <c r="I287" s="36"/>
      <c r="S287" s="36"/>
      <c r="T287" s="36"/>
    </row>
    <row r="288" spans="1:20" s="38" customFormat="1" x14ac:dyDescent="0.3">
      <c r="A288" s="36" t="str">
        <f xml:space="preserve"> IF( 'From SvanPC++'!A278= "", "", ('From SvanPC++'!A278))</f>
        <v/>
      </c>
      <c r="B288" s="36"/>
      <c r="C288" s="36"/>
      <c r="D288" s="36"/>
      <c r="E288" s="47"/>
      <c r="F288" s="19"/>
      <c r="I288" s="36"/>
      <c r="S288" s="36"/>
      <c r="T288" s="36"/>
    </row>
    <row r="289" spans="1:20" s="38" customFormat="1" x14ac:dyDescent="0.3">
      <c r="A289" s="36" t="str">
        <f xml:space="preserve"> IF( 'From SvanPC++'!A279= "", "", ('From SvanPC++'!A279))</f>
        <v/>
      </c>
      <c r="B289" s="36"/>
      <c r="C289" s="36"/>
      <c r="D289" s="36"/>
      <c r="E289" s="47"/>
      <c r="F289" s="19"/>
      <c r="I289" s="36"/>
      <c r="S289" s="36"/>
      <c r="T289" s="36"/>
    </row>
    <row r="290" spans="1:20" s="38" customFormat="1" x14ac:dyDescent="0.3">
      <c r="A290" s="36" t="str">
        <f xml:space="preserve"> IF( 'From SvanPC++'!A280= "", "", ('From SvanPC++'!A280))</f>
        <v/>
      </c>
      <c r="B290" s="36"/>
      <c r="C290" s="36"/>
      <c r="D290" s="36"/>
      <c r="E290" s="47"/>
      <c r="F290" s="19"/>
      <c r="I290" s="36"/>
      <c r="S290" s="36"/>
      <c r="T290" s="36"/>
    </row>
    <row r="291" spans="1:20" s="38" customFormat="1" x14ac:dyDescent="0.3">
      <c r="A291" s="36" t="str">
        <f xml:space="preserve"> IF( 'From SvanPC++'!A281= "", "", ('From SvanPC++'!A281))</f>
        <v/>
      </c>
      <c r="B291" s="36"/>
      <c r="C291" s="36"/>
      <c r="D291" s="36"/>
      <c r="E291" s="47"/>
      <c r="F291" s="19"/>
      <c r="I291" s="36"/>
      <c r="S291" s="36"/>
      <c r="T291" s="36"/>
    </row>
    <row r="292" spans="1:20" s="38" customFormat="1" x14ac:dyDescent="0.3">
      <c r="A292" s="36" t="str">
        <f xml:space="preserve"> IF( 'From SvanPC++'!A282= "", "", ('From SvanPC++'!A282))</f>
        <v/>
      </c>
      <c r="B292" s="36"/>
      <c r="C292" s="36"/>
      <c r="D292" s="36"/>
      <c r="E292" s="47"/>
      <c r="F292" s="19"/>
      <c r="I292" s="36"/>
      <c r="S292" s="36"/>
      <c r="T292" s="36"/>
    </row>
    <row r="293" spans="1:20" s="38" customFormat="1" x14ac:dyDescent="0.3">
      <c r="A293" s="36" t="str">
        <f xml:space="preserve"> IF( 'From SvanPC++'!A283= "", "", ('From SvanPC++'!A283))</f>
        <v/>
      </c>
      <c r="B293" s="36"/>
      <c r="C293" s="36"/>
      <c r="D293" s="36"/>
      <c r="E293" s="47"/>
      <c r="F293" s="19"/>
      <c r="I293" s="36"/>
      <c r="S293" s="36"/>
      <c r="T293" s="36"/>
    </row>
    <row r="294" spans="1:20" s="38" customFormat="1" x14ac:dyDescent="0.3">
      <c r="A294" s="36" t="str">
        <f xml:space="preserve"> IF( 'From SvanPC++'!A284= "", "", ('From SvanPC++'!A284))</f>
        <v/>
      </c>
      <c r="B294" s="36"/>
      <c r="C294" s="36"/>
      <c r="D294" s="36"/>
      <c r="E294" s="47"/>
      <c r="F294" s="19"/>
      <c r="I294" s="36"/>
      <c r="S294" s="36"/>
      <c r="T294" s="36"/>
    </row>
    <row r="295" spans="1:20" s="38" customFormat="1" x14ac:dyDescent="0.3">
      <c r="A295" s="36" t="str">
        <f xml:space="preserve"> IF( 'From SvanPC++'!A285= "", "", ('From SvanPC++'!A285))</f>
        <v/>
      </c>
      <c r="B295" s="36"/>
      <c r="C295" s="36"/>
      <c r="D295" s="36"/>
      <c r="E295" s="47"/>
      <c r="F295" s="19"/>
      <c r="I295" s="36"/>
      <c r="S295" s="36"/>
      <c r="T295" s="36"/>
    </row>
    <row r="296" spans="1:20" s="38" customFormat="1" x14ac:dyDescent="0.3">
      <c r="A296" s="36" t="str">
        <f xml:space="preserve"> IF( 'From SvanPC++'!A286= "", "", ('From SvanPC++'!A286))</f>
        <v/>
      </c>
      <c r="B296" s="36"/>
      <c r="C296" s="36"/>
      <c r="D296" s="36"/>
      <c r="E296" s="47"/>
      <c r="F296" s="19"/>
      <c r="I296" s="36"/>
      <c r="S296" s="36"/>
      <c r="T296" s="36"/>
    </row>
    <row r="297" spans="1:20" s="38" customFormat="1" x14ac:dyDescent="0.3">
      <c r="A297" s="36" t="str">
        <f xml:space="preserve"> IF( 'From SvanPC++'!A287= "", "", ('From SvanPC++'!A287))</f>
        <v/>
      </c>
      <c r="B297" s="36"/>
      <c r="C297" s="36"/>
      <c r="D297" s="36"/>
      <c r="E297" s="47"/>
      <c r="F297" s="19"/>
      <c r="I297" s="36"/>
      <c r="S297" s="36"/>
      <c r="T297" s="36"/>
    </row>
    <row r="298" spans="1:20" s="38" customFormat="1" x14ac:dyDescent="0.3">
      <c r="A298" s="36" t="str">
        <f xml:space="preserve"> IF( 'From SvanPC++'!A288= "", "", ('From SvanPC++'!A288))</f>
        <v/>
      </c>
      <c r="B298" s="36"/>
      <c r="C298" s="36"/>
      <c r="D298" s="36"/>
      <c r="E298" s="47"/>
      <c r="F298" s="19"/>
      <c r="I298" s="36"/>
      <c r="S298" s="36"/>
      <c r="T298" s="36"/>
    </row>
    <row r="299" spans="1:20" s="38" customFormat="1" x14ac:dyDescent="0.3">
      <c r="A299" s="36" t="str">
        <f xml:space="preserve"> IF( 'From SvanPC++'!A289= "", "", ('From SvanPC++'!A289))</f>
        <v/>
      </c>
      <c r="B299" s="36"/>
      <c r="C299" s="36"/>
      <c r="D299" s="36"/>
      <c r="E299" s="47"/>
      <c r="F299" s="19"/>
      <c r="I299" s="36"/>
      <c r="S299" s="36"/>
      <c r="T299" s="36"/>
    </row>
    <row r="300" spans="1:20" s="38" customFormat="1" x14ac:dyDescent="0.3">
      <c r="A300" s="36" t="str">
        <f xml:space="preserve"> IF( 'From SvanPC++'!A290= "", "", ('From SvanPC++'!A290))</f>
        <v/>
      </c>
      <c r="B300" s="36"/>
      <c r="C300" s="36"/>
      <c r="D300" s="36"/>
      <c r="E300" s="47"/>
      <c r="F300" s="19"/>
      <c r="I300" s="36"/>
      <c r="S300" s="36"/>
      <c r="T300" s="36"/>
    </row>
    <row r="301" spans="1:20" s="38" customFormat="1" x14ac:dyDescent="0.3">
      <c r="A301" s="36" t="str">
        <f xml:space="preserve"> IF( 'From SvanPC++'!A291= "", "", ('From SvanPC++'!A291))</f>
        <v/>
      </c>
      <c r="B301" s="36"/>
      <c r="C301" s="36"/>
      <c r="D301" s="36"/>
      <c r="E301" s="47"/>
      <c r="F301" s="19"/>
      <c r="I301" s="36"/>
      <c r="S301" s="36"/>
      <c r="T301" s="36"/>
    </row>
    <row r="302" spans="1:20" s="38" customFormat="1" x14ac:dyDescent="0.3">
      <c r="A302" s="36" t="str">
        <f xml:space="preserve"> IF( 'From SvanPC++'!A292= "", "", ('From SvanPC++'!A292))</f>
        <v/>
      </c>
      <c r="B302" s="36"/>
      <c r="C302" s="36"/>
      <c r="D302" s="36"/>
      <c r="E302" s="47"/>
      <c r="F302" s="19"/>
      <c r="I302" s="36"/>
      <c r="S302" s="36"/>
      <c r="T302" s="36"/>
    </row>
    <row r="303" spans="1:20" s="38" customFormat="1" x14ac:dyDescent="0.3">
      <c r="A303" s="36" t="str">
        <f xml:space="preserve"> IF( 'From SvanPC++'!A293= "", "", ('From SvanPC++'!A293))</f>
        <v/>
      </c>
      <c r="B303" s="36"/>
      <c r="C303" s="36"/>
      <c r="D303" s="36"/>
      <c r="E303" s="47"/>
      <c r="F303" s="19"/>
      <c r="I303" s="36"/>
      <c r="S303" s="36"/>
      <c r="T303" s="36"/>
    </row>
    <row r="304" spans="1:20" s="38" customFormat="1" x14ac:dyDescent="0.3">
      <c r="A304" s="36" t="str">
        <f xml:space="preserve"> IF( 'From SvanPC++'!A294= "", "", ('From SvanPC++'!A294))</f>
        <v/>
      </c>
      <c r="B304" s="36"/>
      <c r="C304" s="36"/>
      <c r="D304" s="36"/>
      <c r="E304" s="47"/>
      <c r="F304" s="19"/>
      <c r="I304" s="36"/>
      <c r="S304" s="36"/>
      <c r="T304" s="36"/>
    </row>
    <row r="305" spans="1:20" s="38" customFormat="1" x14ac:dyDescent="0.3">
      <c r="A305" s="36" t="str">
        <f xml:space="preserve"> IF( 'From SvanPC++'!A295= "", "", ('From SvanPC++'!A295))</f>
        <v/>
      </c>
      <c r="B305" s="36"/>
      <c r="C305" s="36"/>
      <c r="D305" s="36"/>
      <c r="E305" s="47"/>
      <c r="F305" s="19"/>
      <c r="I305" s="36"/>
      <c r="S305" s="36"/>
      <c r="T305" s="36"/>
    </row>
    <row r="306" spans="1:20" s="38" customFormat="1" x14ac:dyDescent="0.3">
      <c r="A306" s="36" t="str">
        <f xml:space="preserve"> IF( 'From SvanPC++'!A296= "", "", ('From SvanPC++'!A296))</f>
        <v/>
      </c>
      <c r="B306" s="36"/>
      <c r="C306" s="36"/>
      <c r="D306" s="36"/>
      <c r="E306" s="47"/>
      <c r="F306" s="19"/>
      <c r="I306" s="36"/>
      <c r="S306" s="36"/>
      <c r="T306" s="36"/>
    </row>
    <row r="307" spans="1:20" s="38" customFormat="1" x14ac:dyDescent="0.3">
      <c r="A307" s="36" t="str">
        <f xml:space="preserve"> IF( 'From SvanPC++'!A297= "", "", ('From SvanPC++'!A297))</f>
        <v/>
      </c>
      <c r="B307" s="36"/>
      <c r="C307" s="36"/>
      <c r="D307" s="36"/>
      <c r="E307" s="47"/>
      <c r="F307" s="19"/>
      <c r="I307" s="36"/>
      <c r="S307" s="36"/>
      <c r="T307" s="36"/>
    </row>
    <row r="308" spans="1:20" s="38" customFormat="1" x14ac:dyDescent="0.3">
      <c r="A308" s="36" t="str">
        <f xml:space="preserve"> IF( 'From SvanPC++'!A298= "", "", ('From SvanPC++'!A298))</f>
        <v/>
      </c>
      <c r="B308" s="36"/>
      <c r="C308" s="36"/>
      <c r="D308" s="36"/>
      <c r="E308" s="47"/>
      <c r="F308" s="19"/>
      <c r="I308" s="36"/>
      <c r="S308" s="36"/>
      <c r="T308" s="36"/>
    </row>
    <row r="309" spans="1:20" s="38" customFormat="1" x14ac:dyDescent="0.3">
      <c r="A309" s="36" t="str">
        <f xml:space="preserve"> IF( 'From SvanPC++'!A299= "", "", ('From SvanPC++'!A299))</f>
        <v/>
      </c>
      <c r="B309" s="36"/>
      <c r="C309" s="36"/>
      <c r="D309" s="36"/>
      <c r="E309" s="47"/>
      <c r="F309" s="19"/>
      <c r="I309" s="36"/>
      <c r="S309" s="36"/>
      <c r="T309" s="36"/>
    </row>
    <row r="310" spans="1:20" s="38" customFormat="1" x14ac:dyDescent="0.3">
      <c r="A310" s="36" t="str">
        <f xml:space="preserve"> IF( 'From SvanPC++'!A300= "", "", ('From SvanPC++'!A300))</f>
        <v/>
      </c>
      <c r="B310" s="36"/>
      <c r="C310" s="36"/>
      <c r="D310" s="36"/>
      <c r="E310" s="47"/>
      <c r="F310" s="19"/>
      <c r="I310" s="36"/>
      <c r="S310" s="36"/>
      <c r="T310" s="36"/>
    </row>
    <row r="311" spans="1:20" s="38" customFormat="1" x14ac:dyDescent="0.3">
      <c r="A311" s="36" t="str">
        <f xml:space="preserve"> IF( 'From SvanPC++'!A301= "", "", ('From SvanPC++'!A301))</f>
        <v/>
      </c>
      <c r="B311" s="36"/>
      <c r="C311" s="36"/>
      <c r="D311" s="36"/>
      <c r="E311" s="47"/>
      <c r="F311" s="19"/>
      <c r="I311" s="36"/>
      <c r="S311" s="36"/>
      <c r="T311" s="36"/>
    </row>
    <row r="312" spans="1:20" s="38" customFormat="1" x14ac:dyDescent="0.3">
      <c r="A312" s="36" t="str">
        <f xml:space="preserve"> IF( 'From SvanPC++'!A302= "", "", ('From SvanPC++'!A302))</f>
        <v/>
      </c>
      <c r="B312" s="36"/>
      <c r="C312" s="36"/>
      <c r="D312" s="36"/>
      <c r="E312" s="47"/>
      <c r="F312" s="19"/>
      <c r="I312" s="36"/>
      <c r="S312" s="36"/>
      <c r="T312" s="36"/>
    </row>
    <row r="313" spans="1:20" s="38" customFormat="1" x14ac:dyDescent="0.3">
      <c r="A313" s="36" t="str">
        <f xml:space="preserve"> IF( 'From SvanPC++'!A303= "", "", ('From SvanPC++'!A303))</f>
        <v/>
      </c>
      <c r="B313" s="36"/>
      <c r="C313" s="36"/>
      <c r="D313" s="36"/>
      <c r="E313" s="47"/>
      <c r="F313" s="19"/>
      <c r="I313" s="36"/>
      <c r="S313" s="36"/>
      <c r="T313" s="36"/>
    </row>
    <row r="314" spans="1:20" s="38" customFormat="1" x14ac:dyDescent="0.3">
      <c r="A314" s="36" t="str">
        <f xml:space="preserve"> IF( 'From SvanPC++'!A304= "", "", ('From SvanPC++'!A304))</f>
        <v/>
      </c>
      <c r="B314" s="36"/>
      <c r="C314" s="36"/>
      <c r="D314" s="36"/>
      <c r="E314" s="47"/>
      <c r="F314" s="19"/>
      <c r="I314" s="36"/>
      <c r="S314" s="36"/>
      <c r="T314" s="36"/>
    </row>
    <row r="315" spans="1:20" s="38" customFormat="1" x14ac:dyDescent="0.3">
      <c r="A315" s="36" t="str">
        <f xml:space="preserve"> IF( 'From SvanPC++'!A305= "", "", ('From SvanPC++'!A305))</f>
        <v/>
      </c>
      <c r="B315" s="36"/>
      <c r="C315" s="36"/>
      <c r="D315" s="36"/>
      <c r="E315" s="47"/>
      <c r="F315" s="19"/>
      <c r="I315" s="36"/>
      <c r="S315" s="36"/>
      <c r="T315" s="36"/>
    </row>
    <row r="316" spans="1:20" s="38" customFormat="1" x14ac:dyDescent="0.3">
      <c r="A316" s="36" t="str">
        <f xml:space="preserve"> IF( 'From SvanPC++'!A306= "", "", ('From SvanPC++'!A306))</f>
        <v/>
      </c>
      <c r="B316" s="36"/>
      <c r="C316" s="36"/>
      <c r="D316" s="36"/>
      <c r="E316" s="47"/>
      <c r="F316" s="19"/>
      <c r="I316" s="36"/>
      <c r="S316" s="36"/>
      <c r="T316" s="36"/>
    </row>
    <row r="317" spans="1:20" s="38" customFormat="1" x14ac:dyDescent="0.3">
      <c r="A317" s="36" t="str">
        <f xml:space="preserve"> IF( 'From SvanPC++'!A307= "", "", ('From SvanPC++'!A307))</f>
        <v/>
      </c>
      <c r="B317" s="36"/>
      <c r="C317" s="36"/>
      <c r="D317" s="36"/>
      <c r="E317" s="47"/>
      <c r="F317" s="19"/>
      <c r="I317" s="36"/>
      <c r="S317" s="36"/>
      <c r="T317" s="36"/>
    </row>
    <row r="318" spans="1:20" s="38" customFormat="1" x14ac:dyDescent="0.3">
      <c r="A318" s="36" t="str">
        <f xml:space="preserve"> IF( 'From SvanPC++'!A308= "", "", ('From SvanPC++'!A308))</f>
        <v/>
      </c>
      <c r="B318" s="36"/>
      <c r="C318" s="36"/>
      <c r="D318" s="36"/>
      <c r="E318" s="47"/>
      <c r="F318" s="19"/>
      <c r="I318" s="36"/>
      <c r="S318" s="36"/>
      <c r="T318" s="36"/>
    </row>
    <row r="319" spans="1:20" s="38" customFormat="1" x14ac:dyDescent="0.3">
      <c r="A319" s="36" t="str">
        <f xml:space="preserve"> IF( 'From SvanPC++'!A309= "", "", ('From SvanPC++'!A309))</f>
        <v/>
      </c>
      <c r="B319" s="36"/>
      <c r="C319" s="36"/>
      <c r="D319" s="36"/>
      <c r="E319" s="47"/>
      <c r="F319" s="19"/>
      <c r="I319" s="36"/>
      <c r="S319" s="36"/>
      <c r="T319" s="36"/>
    </row>
    <row r="320" spans="1:20" s="38" customFormat="1" x14ac:dyDescent="0.3">
      <c r="A320" s="36" t="str">
        <f xml:space="preserve"> IF( 'From SvanPC++'!A310= "", "", ('From SvanPC++'!A310))</f>
        <v/>
      </c>
      <c r="B320" s="36"/>
      <c r="C320" s="36"/>
      <c r="D320" s="36"/>
      <c r="E320" s="47"/>
      <c r="F320" s="19"/>
      <c r="I320" s="36"/>
      <c r="S320" s="36"/>
      <c r="T320" s="36"/>
    </row>
    <row r="321" spans="1:20" s="38" customFormat="1" x14ac:dyDescent="0.3">
      <c r="A321" s="36" t="str">
        <f xml:space="preserve"> IF( 'From SvanPC++'!A311= "", "", ('From SvanPC++'!A311))</f>
        <v/>
      </c>
      <c r="B321" s="36"/>
      <c r="C321" s="36"/>
      <c r="D321" s="36"/>
      <c r="E321" s="47"/>
      <c r="F321" s="19"/>
      <c r="I321" s="36"/>
      <c r="S321" s="36"/>
      <c r="T321" s="36"/>
    </row>
    <row r="322" spans="1:20" s="38" customFormat="1" x14ac:dyDescent="0.3">
      <c r="A322" s="36" t="str">
        <f xml:space="preserve"> IF( 'From SvanPC++'!A312= "", "", ('From SvanPC++'!A312))</f>
        <v/>
      </c>
      <c r="B322" s="36"/>
      <c r="C322" s="36"/>
      <c r="D322" s="36"/>
      <c r="E322" s="47"/>
      <c r="F322" s="19"/>
      <c r="I322" s="36"/>
      <c r="S322" s="36"/>
      <c r="T322" s="36"/>
    </row>
    <row r="323" spans="1:20" s="38" customFormat="1" x14ac:dyDescent="0.3">
      <c r="A323" s="36" t="str">
        <f xml:space="preserve"> IF( 'From SvanPC++'!A313= "", "", ('From SvanPC++'!A313))</f>
        <v/>
      </c>
      <c r="B323" s="36"/>
      <c r="C323" s="36"/>
      <c r="D323" s="36"/>
      <c r="E323" s="47"/>
      <c r="F323" s="19"/>
      <c r="I323" s="36"/>
      <c r="S323" s="36"/>
      <c r="T323" s="36"/>
    </row>
    <row r="324" spans="1:20" s="38" customFormat="1" x14ac:dyDescent="0.3">
      <c r="A324" s="36" t="str">
        <f xml:space="preserve"> IF( 'From SvanPC++'!A314= "", "", ('From SvanPC++'!A314))</f>
        <v/>
      </c>
      <c r="B324" s="36"/>
      <c r="C324" s="36"/>
      <c r="D324" s="36"/>
      <c r="E324" s="47"/>
      <c r="F324" s="19"/>
      <c r="I324" s="36"/>
      <c r="S324" s="36"/>
      <c r="T324" s="36"/>
    </row>
    <row r="325" spans="1:20" s="38" customFormat="1" x14ac:dyDescent="0.3">
      <c r="A325" s="36" t="str">
        <f xml:space="preserve"> IF( 'From SvanPC++'!A315= "", "", ('From SvanPC++'!A315))</f>
        <v/>
      </c>
      <c r="B325" s="36"/>
      <c r="C325" s="36"/>
      <c r="D325" s="36"/>
      <c r="E325" s="47"/>
      <c r="F325" s="19"/>
      <c r="I325" s="36"/>
      <c r="S325" s="36"/>
      <c r="T325" s="36"/>
    </row>
    <row r="326" spans="1:20" s="38" customFormat="1" x14ac:dyDescent="0.3">
      <c r="A326" s="36" t="str">
        <f xml:space="preserve"> IF( 'From SvanPC++'!A316= "", "", ('From SvanPC++'!A316))</f>
        <v/>
      </c>
      <c r="B326" s="36"/>
      <c r="C326" s="36"/>
      <c r="D326" s="36"/>
      <c r="E326" s="47"/>
      <c r="F326" s="19"/>
      <c r="I326" s="36"/>
      <c r="S326" s="36"/>
      <c r="T326" s="36"/>
    </row>
    <row r="327" spans="1:20" s="38" customFormat="1" x14ac:dyDescent="0.3">
      <c r="A327" s="36" t="str">
        <f xml:space="preserve"> IF( 'From SvanPC++'!A317= "", "", ('From SvanPC++'!A317))</f>
        <v/>
      </c>
      <c r="B327" s="36"/>
      <c r="C327" s="36"/>
      <c r="D327" s="36"/>
      <c r="E327" s="47"/>
      <c r="F327" s="19"/>
      <c r="I327" s="36"/>
      <c r="S327" s="36"/>
      <c r="T327" s="36"/>
    </row>
    <row r="328" spans="1:20" s="38" customFormat="1" x14ac:dyDescent="0.3">
      <c r="A328" s="36" t="str">
        <f xml:space="preserve"> IF( 'From SvanPC++'!A318= "", "", ('From SvanPC++'!A318))</f>
        <v/>
      </c>
      <c r="B328" s="36"/>
      <c r="C328" s="36"/>
      <c r="D328" s="36"/>
      <c r="E328" s="47"/>
      <c r="F328" s="19"/>
      <c r="I328" s="36"/>
      <c r="S328" s="36"/>
      <c r="T328" s="36"/>
    </row>
    <row r="329" spans="1:20" s="38" customFormat="1" x14ac:dyDescent="0.3">
      <c r="A329" s="36" t="str">
        <f xml:space="preserve"> IF( 'From SvanPC++'!A319= "", "", ('From SvanPC++'!A319))</f>
        <v/>
      </c>
      <c r="B329" s="36"/>
      <c r="C329" s="36"/>
      <c r="D329" s="36"/>
      <c r="E329" s="47"/>
      <c r="F329" s="19"/>
      <c r="I329" s="36"/>
      <c r="S329" s="36"/>
      <c r="T329" s="36"/>
    </row>
    <row r="330" spans="1:20" s="38" customFormat="1" x14ac:dyDescent="0.3">
      <c r="A330" s="36" t="str">
        <f xml:space="preserve"> IF( 'From SvanPC++'!A320= "", "", ('From SvanPC++'!A320))</f>
        <v/>
      </c>
      <c r="B330" s="36"/>
      <c r="C330" s="36"/>
      <c r="D330" s="36"/>
      <c r="E330" s="47"/>
      <c r="F330" s="19"/>
      <c r="I330" s="36"/>
      <c r="S330" s="36"/>
      <c r="T330" s="36"/>
    </row>
    <row r="331" spans="1:20" s="38" customFormat="1" x14ac:dyDescent="0.3">
      <c r="A331" s="36" t="str">
        <f xml:space="preserve"> IF( 'From SvanPC++'!A321= "", "", ('From SvanPC++'!A321))</f>
        <v/>
      </c>
      <c r="B331" s="36"/>
      <c r="C331" s="36"/>
      <c r="D331" s="36"/>
      <c r="E331" s="47"/>
      <c r="F331" s="19"/>
      <c r="I331" s="36"/>
      <c r="S331" s="36"/>
      <c r="T331" s="36"/>
    </row>
    <row r="332" spans="1:20" s="38" customFormat="1" x14ac:dyDescent="0.3">
      <c r="A332" s="36" t="str">
        <f xml:space="preserve"> IF( 'From SvanPC++'!A322= "", "", ('From SvanPC++'!A322))</f>
        <v/>
      </c>
      <c r="B332" s="36"/>
      <c r="C332" s="36"/>
      <c r="D332" s="36"/>
      <c r="E332" s="47"/>
      <c r="F332" s="19"/>
      <c r="I332" s="36"/>
      <c r="S332" s="36"/>
      <c r="T332" s="36"/>
    </row>
    <row r="333" spans="1:20" s="38" customFormat="1" x14ac:dyDescent="0.3">
      <c r="A333" s="36" t="str">
        <f xml:space="preserve"> IF( 'From SvanPC++'!A323= "", "", ('From SvanPC++'!A323))</f>
        <v/>
      </c>
      <c r="B333" s="36"/>
      <c r="C333" s="36"/>
      <c r="D333" s="36"/>
      <c r="E333" s="47"/>
      <c r="F333" s="19"/>
      <c r="I333" s="36"/>
      <c r="S333" s="36"/>
      <c r="T333" s="36"/>
    </row>
    <row r="334" spans="1:20" s="38" customFormat="1" x14ac:dyDescent="0.3">
      <c r="A334" s="36" t="str">
        <f xml:space="preserve"> IF( 'From SvanPC++'!A324= "", "", ('From SvanPC++'!A324))</f>
        <v/>
      </c>
      <c r="B334" s="36"/>
      <c r="C334" s="36"/>
      <c r="D334" s="36"/>
      <c r="E334" s="47"/>
      <c r="F334" s="19"/>
      <c r="I334" s="36"/>
      <c r="S334" s="36"/>
      <c r="T334" s="36"/>
    </row>
    <row r="335" spans="1:20" s="38" customFormat="1" x14ac:dyDescent="0.3">
      <c r="A335" s="36" t="str">
        <f xml:space="preserve"> IF( 'From SvanPC++'!A325= "", "", ('From SvanPC++'!A325))</f>
        <v/>
      </c>
      <c r="B335" s="36"/>
      <c r="C335" s="36"/>
      <c r="D335" s="36"/>
      <c r="E335" s="47"/>
      <c r="F335" s="19"/>
      <c r="I335" s="36"/>
      <c r="S335" s="36"/>
      <c r="T335" s="36"/>
    </row>
    <row r="336" spans="1:20" s="38" customFormat="1" x14ac:dyDescent="0.3">
      <c r="A336" s="36" t="str">
        <f xml:space="preserve"> IF( 'From SvanPC++'!A326= "", "", ('From SvanPC++'!A326))</f>
        <v/>
      </c>
      <c r="B336" s="36"/>
      <c r="C336" s="36"/>
      <c r="D336" s="36"/>
      <c r="E336" s="47"/>
      <c r="F336" s="19"/>
      <c r="I336" s="36"/>
      <c r="S336" s="36"/>
      <c r="T336" s="36"/>
    </row>
    <row r="337" spans="1:20" s="38" customFormat="1" x14ac:dyDescent="0.3">
      <c r="A337" s="36" t="str">
        <f xml:space="preserve"> IF( 'From SvanPC++'!A327= "", "", ('From SvanPC++'!A327))</f>
        <v/>
      </c>
      <c r="B337" s="36"/>
      <c r="C337" s="36"/>
      <c r="D337" s="36"/>
      <c r="E337" s="47"/>
      <c r="F337" s="19"/>
      <c r="I337" s="36"/>
      <c r="S337" s="36"/>
      <c r="T337" s="36"/>
    </row>
    <row r="338" spans="1:20" s="38" customFormat="1" x14ac:dyDescent="0.3">
      <c r="A338" s="36" t="str">
        <f xml:space="preserve"> IF( 'From SvanPC++'!A328= "", "", ('From SvanPC++'!A328))</f>
        <v/>
      </c>
      <c r="B338" s="36"/>
      <c r="C338" s="36"/>
      <c r="D338" s="36"/>
      <c r="E338" s="47"/>
      <c r="F338" s="19"/>
      <c r="I338" s="36"/>
      <c r="S338" s="36"/>
      <c r="T338" s="36"/>
    </row>
    <row r="339" spans="1:20" s="38" customFormat="1" x14ac:dyDescent="0.3">
      <c r="A339" s="36" t="str">
        <f xml:space="preserve"> IF( 'From SvanPC++'!A329= "", "", ('From SvanPC++'!A329))</f>
        <v/>
      </c>
      <c r="B339" s="36"/>
      <c r="C339" s="36"/>
      <c r="D339" s="36"/>
      <c r="E339" s="47"/>
      <c r="F339" s="19"/>
      <c r="I339" s="36"/>
      <c r="S339" s="36"/>
      <c r="T339" s="36"/>
    </row>
    <row r="340" spans="1:20" s="38" customFormat="1" x14ac:dyDescent="0.3">
      <c r="A340" s="36" t="str">
        <f xml:space="preserve"> IF( 'From SvanPC++'!A330= "", "", ('From SvanPC++'!A330))</f>
        <v/>
      </c>
      <c r="B340" s="36"/>
      <c r="C340" s="36"/>
      <c r="D340" s="36"/>
      <c r="E340" s="47"/>
      <c r="F340" s="19"/>
      <c r="I340" s="36"/>
      <c r="S340" s="36"/>
      <c r="T340" s="36"/>
    </row>
    <row r="341" spans="1:20" s="38" customFormat="1" x14ac:dyDescent="0.3">
      <c r="A341" s="36" t="str">
        <f xml:space="preserve"> IF( 'From SvanPC++'!A331= "", "", ('From SvanPC++'!A331))</f>
        <v/>
      </c>
      <c r="B341" s="36"/>
      <c r="C341" s="36"/>
      <c r="D341" s="36"/>
      <c r="E341" s="47"/>
      <c r="F341" s="19"/>
      <c r="I341" s="36"/>
      <c r="S341" s="36"/>
      <c r="T341" s="36"/>
    </row>
    <row r="342" spans="1:20" s="38" customFormat="1" x14ac:dyDescent="0.3">
      <c r="A342" s="36" t="str">
        <f xml:space="preserve"> IF( 'From SvanPC++'!A332= "", "", ('From SvanPC++'!A332))</f>
        <v/>
      </c>
      <c r="B342" s="36"/>
      <c r="C342" s="36"/>
      <c r="D342" s="36"/>
      <c r="E342" s="47"/>
      <c r="F342" s="19"/>
      <c r="I342" s="36"/>
      <c r="S342" s="36"/>
      <c r="T342" s="36"/>
    </row>
    <row r="343" spans="1:20" s="38" customFormat="1" x14ac:dyDescent="0.3">
      <c r="A343" s="36" t="str">
        <f xml:space="preserve"> IF( 'From SvanPC++'!A333= "", "", ('From SvanPC++'!A333))</f>
        <v/>
      </c>
      <c r="B343" s="36"/>
      <c r="C343" s="36"/>
      <c r="D343" s="36"/>
      <c r="E343" s="47"/>
      <c r="F343" s="19"/>
      <c r="I343" s="36"/>
      <c r="S343" s="36"/>
      <c r="T343" s="36"/>
    </row>
    <row r="344" spans="1:20" s="38" customFormat="1" x14ac:dyDescent="0.3">
      <c r="A344" s="36" t="str">
        <f xml:space="preserve"> IF( 'From SvanPC++'!A334= "", "", ('From SvanPC++'!A334))</f>
        <v/>
      </c>
      <c r="B344" s="36"/>
      <c r="C344" s="36"/>
      <c r="D344" s="36"/>
      <c r="E344" s="47"/>
      <c r="F344" s="19"/>
      <c r="I344" s="36"/>
      <c r="S344" s="36"/>
      <c r="T344" s="36"/>
    </row>
    <row r="345" spans="1:20" s="38" customFormat="1" x14ac:dyDescent="0.3">
      <c r="A345" s="36" t="str">
        <f xml:space="preserve"> IF( 'From SvanPC++'!A335= "", "", ('From SvanPC++'!A335))</f>
        <v/>
      </c>
      <c r="B345" s="36"/>
      <c r="C345" s="36"/>
      <c r="D345" s="36"/>
      <c r="E345" s="47"/>
      <c r="F345" s="19"/>
      <c r="I345" s="36"/>
      <c r="S345" s="36"/>
      <c r="T345" s="36"/>
    </row>
    <row r="346" spans="1:20" s="38" customFormat="1" x14ac:dyDescent="0.3">
      <c r="A346" s="36" t="str">
        <f xml:space="preserve"> IF( 'From SvanPC++'!A336= "", "", ('From SvanPC++'!A336))</f>
        <v/>
      </c>
      <c r="B346" s="36"/>
      <c r="C346" s="36"/>
      <c r="D346" s="36"/>
      <c r="E346" s="47"/>
      <c r="F346" s="19"/>
      <c r="I346" s="36"/>
      <c r="S346" s="36"/>
      <c r="T346" s="36"/>
    </row>
    <row r="347" spans="1:20" s="38" customFormat="1" x14ac:dyDescent="0.3">
      <c r="A347" s="36" t="str">
        <f xml:space="preserve"> IF( 'From SvanPC++'!A337= "", "", ('From SvanPC++'!A337))</f>
        <v/>
      </c>
      <c r="B347" s="36"/>
      <c r="C347" s="36"/>
      <c r="D347" s="36"/>
      <c r="E347" s="47"/>
      <c r="F347" s="19"/>
      <c r="I347" s="36"/>
      <c r="S347" s="36"/>
      <c r="T347" s="36"/>
    </row>
    <row r="348" spans="1:20" s="38" customFormat="1" x14ac:dyDescent="0.3">
      <c r="A348" s="36" t="str">
        <f xml:space="preserve"> IF( 'From SvanPC++'!A338= "", "", ('From SvanPC++'!A338))</f>
        <v/>
      </c>
      <c r="B348" s="36"/>
      <c r="C348" s="36"/>
      <c r="D348" s="36"/>
      <c r="E348" s="47"/>
      <c r="F348" s="19"/>
      <c r="I348" s="36"/>
      <c r="S348" s="36"/>
      <c r="T348" s="36"/>
    </row>
    <row r="349" spans="1:20" s="38" customFormat="1" x14ac:dyDescent="0.3">
      <c r="A349" s="36" t="str">
        <f xml:space="preserve"> IF( 'From SvanPC++'!A339= "", "", ('From SvanPC++'!A339))</f>
        <v/>
      </c>
      <c r="B349" s="36"/>
      <c r="C349" s="36"/>
      <c r="D349" s="36"/>
      <c r="E349" s="47"/>
      <c r="F349" s="19"/>
      <c r="I349" s="36"/>
      <c r="S349" s="36"/>
      <c r="T349" s="36"/>
    </row>
    <row r="350" spans="1:20" s="38" customFormat="1" x14ac:dyDescent="0.3">
      <c r="A350" s="36" t="str">
        <f xml:space="preserve"> IF( 'From SvanPC++'!A340= "", "", ('From SvanPC++'!A340))</f>
        <v/>
      </c>
      <c r="B350" s="36"/>
      <c r="C350" s="36"/>
      <c r="D350" s="36"/>
      <c r="E350" s="47"/>
      <c r="F350" s="19"/>
      <c r="I350" s="36"/>
      <c r="S350" s="36"/>
      <c r="T350" s="36"/>
    </row>
    <row r="351" spans="1:20" s="38" customFormat="1" x14ac:dyDescent="0.3">
      <c r="A351" s="36" t="str">
        <f xml:space="preserve"> IF( 'From SvanPC++'!A341= "", "", ('From SvanPC++'!A341))</f>
        <v/>
      </c>
      <c r="B351" s="36"/>
      <c r="C351" s="36"/>
      <c r="D351" s="36"/>
      <c r="E351" s="47"/>
      <c r="F351" s="19"/>
      <c r="I351" s="36"/>
      <c r="S351" s="36"/>
      <c r="T351" s="36"/>
    </row>
    <row r="352" spans="1:20" s="38" customFormat="1" x14ac:dyDescent="0.3">
      <c r="A352" s="36" t="str">
        <f xml:space="preserve"> IF( 'From SvanPC++'!A342= "", "", ('From SvanPC++'!A342))</f>
        <v/>
      </c>
      <c r="B352" s="36"/>
      <c r="C352" s="36"/>
      <c r="D352" s="36"/>
      <c r="E352" s="47"/>
      <c r="F352" s="19"/>
      <c r="I352" s="36"/>
      <c r="S352" s="36"/>
      <c r="T352" s="36"/>
    </row>
    <row r="353" spans="1:20" s="38" customFormat="1" x14ac:dyDescent="0.3">
      <c r="A353" s="36" t="str">
        <f xml:space="preserve"> IF( 'From SvanPC++'!A343= "", "", ('From SvanPC++'!A343))</f>
        <v/>
      </c>
      <c r="B353" s="36"/>
      <c r="C353" s="36"/>
      <c r="D353" s="36"/>
      <c r="E353" s="47"/>
      <c r="F353" s="19"/>
      <c r="I353" s="36"/>
      <c r="S353" s="36"/>
      <c r="T353" s="36"/>
    </row>
    <row r="354" spans="1:20" s="38" customFormat="1" x14ac:dyDescent="0.3">
      <c r="A354" s="36" t="str">
        <f xml:space="preserve"> IF( 'From SvanPC++'!A344= "", "", ('From SvanPC++'!A344))</f>
        <v/>
      </c>
      <c r="B354" s="36"/>
      <c r="C354" s="36"/>
      <c r="D354" s="36"/>
      <c r="E354" s="47"/>
      <c r="F354" s="19"/>
      <c r="I354" s="36"/>
      <c r="S354" s="36"/>
      <c r="T354" s="36"/>
    </row>
    <row r="355" spans="1:20" s="38" customFormat="1" x14ac:dyDescent="0.3">
      <c r="A355" s="36" t="str">
        <f xml:space="preserve"> IF( 'From SvanPC++'!A345= "", "", ('From SvanPC++'!A345))</f>
        <v/>
      </c>
      <c r="B355" s="36"/>
      <c r="C355" s="36"/>
      <c r="D355" s="36"/>
      <c r="E355" s="47"/>
      <c r="F355" s="19"/>
      <c r="I355" s="36"/>
      <c r="S355" s="36"/>
      <c r="T355" s="36"/>
    </row>
    <row r="356" spans="1:20" s="38" customFormat="1" x14ac:dyDescent="0.3">
      <c r="A356" s="36" t="str">
        <f xml:space="preserve"> IF( 'From SvanPC++'!A346= "", "", ('From SvanPC++'!A346))</f>
        <v/>
      </c>
      <c r="B356" s="36"/>
      <c r="C356" s="36"/>
      <c r="D356" s="36"/>
      <c r="E356" s="47"/>
      <c r="F356" s="19"/>
      <c r="I356" s="36"/>
      <c r="S356" s="36"/>
      <c r="T356" s="36"/>
    </row>
    <row r="357" spans="1:20" s="38" customFormat="1" x14ac:dyDescent="0.3">
      <c r="A357" s="36" t="str">
        <f xml:space="preserve"> IF( 'From SvanPC++'!A347= "", "", ('From SvanPC++'!A347))</f>
        <v/>
      </c>
      <c r="B357" s="36"/>
      <c r="C357" s="36"/>
      <c r="D357" s="36"/>
      <c r="E357" s="47"/>
      <c r="F357" s="19"/>
      <c r="I357" s="36"/>
      <c r="S357" s="36"/>
      <c r="T357" s="36"/>
    </row>
    <row r="358" spans="1:20" s="38" customFormat="1" x14ac:dyDescent="0.3">
      <c r="A358" s="36" t="str">
        <f xml:space="preserve"> IF( 'From SvanPC++'!A348= "", "", ('From SvanPC++'!A348))</f>
        <v/>
      </c>
      <c r="B358" s="36"/>
      <c r="C358" s="36"/>
      <c r="D358" s="36"/>
      <c r="E358" s="47"/>
      <c r="F358" s="19"/>
      <c r="I358" s="36"/>
      <c r="S358" s="36"/>
      <c r="T358" s="36"/>
    </row>
    <row r="359" spans="1:20" s="38" customFormat="1" x14ac:dyDescent="0.3">
      <c r="A359" s="36" t="str">
        <f xml:space="preserve"> IF( 'From SvanPC++'!A349= "", "", ('From SvanPC++'!A349))</f>
        <v/>
      </c>
      <c r="B359" s="36"/>
      <c r="C359" s="36"/>
      <c r="D359" s="36"/>
      <c r="E359" s="47"/>
      <c r="F359" s="19"/>
      <c r="I359" s="36"/>
      <c r="S359" s="36"/>
      <c r="T359" s="36"/>
    </row>
    <row r="360" spans="1:20" s="38" customFormat="1" x14ac:dyDescent="0.3">
      <c r="A360" s="36" t="str">
        <f xml:space="preserve"> IF( 'From SvanPC++'!A350= "", "", ('From SvanPC++'!A350))</f>
        <v/>
      </c>
      <c r="B360" s="36"/>
      <c r="C360" s="36"/>
      <c r="D360" s="36"/>
      <c r="E360" s="47"/>
      <c r="F360" s="19"/>
      <c r="I360" s="36"/>
      <c r="S360" s="36"/>
      <c r="T360" s="36"/>
    </row>
    <row r="361" spans="1:20" s="38" customFormat="1" x14ac:dyDescent="0.3">
      <c r="A361" s="36" t="str">
        <f xml:space="preserve"> IF( 'From SvanPC++'!A351= "", "", ('From SvanPC++'!A351))</f>
        <v/>
      </c>
      <c r="B361" s="36"/>
      <c r="C361" s="36"/>
      <c r="D361" s="36"/>
      <c r="E361" s="47"/>
      <c r="F361" s="19"/>
      <c r="I361" s="36"/>
      <c r="S361" s="36"/>
      <c r="T361" s="36"/>
    </row>
    <row r="362" spans="1:20" s="38" customFormat="1" x14ac:dyDescent="0.3">
      <c r="A362" s="36" t="str">
        <f xml:space="preserve"> IF( 'From SvanPC++'!A352= "", "", ('From SvanPC++'!A352))</f>
        <v/>
      </c>
      <c r="B362" s="36"/>
      <c r="C362" s="36"/>
      <c r="D362" s="36"/>
      <c r="E362" s="47"/>
      <c r="F362" s="19"/>
      <c r="I362" s="36"/>
      <c r="S362" s="36"/>
      <c r="T362" s="36"/>
    </row>
    <row r="363" spans="1:20" s="38" customFormat="1" x14ac:dyDescent="0.3">
      <c r="A363" s="36" t="str">
        <f xml:space="preserve"> IF( 'From SvanPC++'!A353= "", "", ('From SvanPC++'!A353))</f>
        <v/>
      </c>
      <c r="B363" s="36"/>
      <c r="C363" s="36"/>
      <c r="D363" s="36"/>
      <c r="E363" s="47"/>
      <c r="F363" s="19"/>
      <c r="I363" s="36"/>
      <c r="S363" s="36"/>
      <c r="T363" s="36"/>
    </row>
    <row r="364" spans="1:20" s="38" customFormat="1" x14ac:dyDescent="0.3">
      <c r="A364" s="36" t="str">
        <f xml:space="preserve"> IF( 'From SvanPC++'!A354= "", "", ('From SvanPC++'!A354))</f>
        <v/>
      </c>
      <c r="B364" s="36"/>
      <c r="C364" s="36"/>
      <c r="D364" s="36"/>
      <c r="E364" s="47"/>
      <c r="F364" s="19"/>
      <c r="I364" s="36"/>
      <c r="S364" s="36"/>
      <c r="T364" s="36"/>
    </row>
    <row r="365" spans="1:20" s="38" customFormat="1" x14ac:dyDescent="0.3">
      <c r="A365" s="36" t="str">
        <f xml:space="preserve"> IF( 'From SvanPC++'!A355= "", "", ('From SvanPC++'!A355))</f>
        <v/>
      </c>
      <c r="B365" s="36"/>
      <c r="C365" s="36"/>
      <c r="D365" s="36"/>
      <c r="E365" s="47"/>
      <c r="F365" s="19"/>
      <c r="I365" s="36"/>
      <c r="S365" s="36"/>
      <c r="T365" s="36"/>
    </row>
    <row r="366" spans="1:20" s="38" customFormat="1" x14ac:dyDescent="0.3">
      <c r="A366" s="36" t="str">
        <f xml:space="preserve"> IF( 'From SvanPC++'!A356= "", "", ('From SvanPC++'!A356))</f>
        <v/>
      </c>
      <c r="B366" s="36"/>
      <c r="C366" s="36"/>
      <c r="D366" s="36"/>
      <c r="E366" s="47"/>
      <c r="F366" s="19"/>
      <c r="I366" s="36"/>
      <c r="S366" s="36"/>
      <c r="T366" s="36"/>
    </row>
    <row r="367" spans="1:20" s="38" customFormat="1" x14ac:dyDescent="0.3">
      <c r="A367" s="36" t="str">
        <f xml:space="preserve"> IF( 'From SvanPC++'!A357= "", "", ('From SvanPC++'!A357))</f>
        <v/>
      </c>
      <c r="B367" s="36"/>
      <c r="C367" s="36"/>
      <c r="D367" s="36"/>
      <c r="E367" s="47"/>
      <c r="F367" s="19"/>
      <c r="I367" s="36"/>
      <c r="S367" s="36"/>
      <c r="T367" s="36"/>
    </row>
    <row r="368" spans="1:20" s="38" customFormat="1" x14ac:dyDescent="0.3">
      <c r="A368" s="36" t="str">
        <f xml:space="preserve"> IF( 'From SvanPC++'!A358= "", "", ('From SvanPC++'!A358))</f>
        <v/>
      </c>
      <c r="B368" s="36"/>
      <c r="C368" s="36"/>
      <c r="D368" s="36"/>
      <c r="E368" s="47"/>
      <c r="F368" s="19"/>
      <c r="I368" s="36"/>
      <c r="S368" s="36"/>
      <c r="T368" s="36"/>
    </row>
    <row r="369" spans="1:20" s="38" customFormat="1" x14ac:dyDescent="0.3">
      <c r="A369" s="36" t="str">
        <f xml:space="preserve"> IF( 'From SvanPC++'!A359= "", "", ('From SvanPC++'!A359))</f>
        <v/>
      </c>
      <c r="B369" s="36"/>
      <c r="C369" s="36"/>
      <c r="D369" s="36"/>
      <c r="E369" s="47"/>
      <c r="F369" s="19"/>
      <c r="I369" s="36"/>
      <c r="S369" s="36"/>
      <c r="T369" s="36"/>
    </row>
    <row r="370" spans="1:20" s="38" customFormat="1" x14ac:dyDescent="0.3">
      <c r="A370" s="36" t="str">
        <f xml:space="preserve"> IF( 'From SvanPC++'!A360= "", "", ('From SvanPC++'!A360))</f>
        <v/>
      </c>
      <c r="B370" s="36"/>
      <c r="C370" s="36"/>
      <c r="D370" s="36"/>
      <c r="E370" s="47"/>
      <c r="F370" s="19"/>
      <c r="I370" s="36"/>
      <c r="S370" s="36"/>
      <c r="T370" s="36"/>
    </row>
    <row r="371" spans="1:20" s="38" customFormat="1" x14ac:dyDescent="0.3">
      <c r="A371" s="36" t="str">
        <f xml:space="preserve"> IF( 'From SvanPC++'!A361= "", "", ('From SvanPC++'!A361))</f>
        <v/>
      </c>
      <c r="B371" s="36"/>
      <c r="C371" s="36"/>
      <c r="D371" s="36"/>
      <c r="E371" s="47"/>
      <c r="F371" s="19"/>
      <c r="I371" s="36"/>
      <c r="S371" s="36"/>
      <c r="T371" s="36"/>
    </row>
    <row r="372" spans="1:20" s="38" customFormat="1" x14ac:dyDescent="0.3">
      <c r="A372" s="36" t="str">
        <f xml:space="preserve"> IF( 'From SvanPC++'!A362= "", "", ('From SvanPC++'!A362))</f>
        <v/>
      </c>
      <c r="B372" s="36"/>
      <c r="C372" s="36"/>
      <c r="D372" s="36"/>
      <c r="E372" s="47"/>
      <c r="F372" s="19"/>
      <c r="I372" s="36"/>
      <c r="S372" s="36"/>
      <c r="T372" s="36"/>
    </row>
    <row r="373" spans="1:20" s="38" customFormat="1" x14ac:dyDescent="0.3">
      <c r="A373" s="36" t="str">
        <f xml:space="preserve"> IF( 'From SvanPC++'!A363= "", "", ('From SvanPC++'!A363))</f>
        <v/>
      </c>
      <c r="B373" s="36"/>
      <c r="C373" s="36"/>
      <c r="D373" s="36"/>
      <c r="E373" s="47"/>
      <c r="F373" s="19"/>
      <c r="I373" s="36"/>
      <c r="S373" s="36"/>
      <c r="T373" s="36"/>
    </row>
    <row r="374" spans="1:20" s="38" customFormat="1" x14ac:dyDescent="0.3">
      <c r="A374" s="36" t="str">
        <f xml:space="preserve"> IF( 'From SvanPC++'!A364= "", "", ('From SvanPC++'!A364))</f>
        <v/>
      </c>
      <c r="B374" s="36"/>
      <c r="C374" s="36"/>
      <c r="D374" s="36"/>
      <c r="E374" s="47"/>
      <c r="F374" s="19"/>
      <c r="I374" s="36"/>
      <c r="S374" s="36"/>
      <c r="T374" s="36"/>
    </row>
    <row r="375" spans="1:20" s="38" customFormat="1" x14ac:dyDescent="0.3">
      <c r="A375" s="36" t="str">
        <f xml:space="preserve"> IF( 'From SvanPC++'!A365= "", "", ('From SvanPC++'!A365))</f>
        <v/>
      </c>
      <c r="B375" s="36"/>
      <c r="C375" s="36"/>
      <c r="D375" s="36"/>
      <c r="E375" s="47"/>
      <c r="F375" s="19"/>
      <c r="I375" s="36"/>
      <c r="S375" s="36"/>
      <c r="T375" s="36"/>
    </row>
    <row r="376" spans="1:20" s="38" customFormat="1" x14ac:dyDescent="0.3">
      <c r="A376" s="36" t="str">
        <f xml:space="preserve"> IF( 'From SvanPC++'!A366= "", "", ('From SvanPC++'!A366))</f>
        <v/>
      </c>
      <c r="B376" s="36"/>
      <c r="C376" s="36"/>
      <c r="D376" s="36"/>
      <c r="E376" s="47"/>
      <c r="F376" s="19"/>
      <c r="I376" s="36"/>
      <c r="S376" s="36"/>
      <c r="T376" s="36"/>
    </row>
    <row r="377" spans="1:20" s="38" customFormat="1" x14ac:dyDescent="0.3">
      <c r="A377" s="36" t="str">
        <f xml:space="preserve"> IF( 'From SvanPC++'!A367= "", "", ('From SvanPC++'!A367))</f>
        <v/>
      </c>
      <c r="B377" s="36"/>
      <c r="C377" s="36"/>
      <c r="D377" s="36"/>
      <c r="E377" s="47"/>
      <c r="F377" s="19"/>
      <c r="I377" s="36"/>
      <c r="S377" s="36"/>
      <c r="T377" s="36"/>
    </row>
    <row r="378" spans="1:20" s="38" customFormat="1" x14ac:dyDescent="0.3">
      <c r="A378" s="36" t="str">
        <f xml:space="preserve"> IF( 'From SvanPC++'!A368= "", "", ('From SvanPC++'!A368))</f>
        <v/>
      </c>
      <c r="B378" s="36"/>
      <c r="C378" s="36"/>
      <c r="D378" s="36"/>
      <c r="E378" s="47"/>
      <c r="F378" s="19"/>
      <c r="I378" s="36"/>
      <c r="S378" s="36"/>
      <c r="T378" s="36"/>
    </row>
    <row r="379" spans="1:20" s="38" customFormat="1" x14ac:dyDescent="0.3">
      <c r="A379" s="36" t="str">
        <f xml:space="preserve"> IF( 'From SvanPC++'!A369= "", "", ('From SvanPC++'!A369))</f>
        <v/>
      </c>
      <c r="B379" s="36"/>
      <c r="C379" s="36"/>
      <c r="D379" s="36"/>
      <c r="E379" s="47"/>
      <c r="F379" s="19"/>
      <c r="I379" s="36"/>
      <c r="S379" s="36"/>
      <c r="T379" s="36"/>
    </row>
    <row r="380" spans="1:20" s="38" customFormat="1" x14ac:dyDescent="0.3">
      <c r="A380" s="36" t="str">
        <f xml:space="preserve"> IF( 'From SvanPC++'!A370= "", "", ('From SvanPC++'!A370))</f>
        <v/>
      </c>
      <c r="B380" s="36"/>
      <c r="C380" s="36"/>
      <c r="D380" s="36"/>
      <c r="E380" s="47"/>
      <c r="F380" s="19"/>
      <c r="I380" s="36"/>
      <c r="S380" s="36"/>
      <c r="T380" s="36"/>
    </row>
    <row r="381" spans="1:20" s="38" customFormat="1" x14ac:dyDescent="0.3">
      <c r="A381" s="36" t="str">
        <f xml:space="preserve"> IF( 'From SvanPC++'!A371= "", "", ('From SvanPC++'!A371))</f>
        <v/>
      </c>
      <c r="B381" s="36"/>
      <c r="C381" s="36"/>
      <c r="D381" s="36"/>
      <c r="E381" s="47"/>
      <c r="F381" s="19"/>
      <c r="I381" s="36"/>
      <c r="S381" s="36"/>
      <c r="T381" s="36"/>
    </row>
    <row r="382" spans="1:20" s="38" customFormat="1" x14ac:dyDescent="0.3">
      <c r="A382" s="36" t="str">
        <f xml:space="preserve"> IF( 'From SvanPC++'!A372= "", "", ('From SvanPC++'!A372))</f>
        <v/>
      </c>
      <c r="B382" s="36"/>
      <c r="C382" s="36"/>
      <c r="D382" s="36"/>
      <c r="E382" s="47"/>
      <c r="F382" s="19"/>
      <c r="I382" s="36"/>
      <c r="S382" s="36"/>
      <c r="T382" s="36"/>
    </row>
    <row r="383" spans="1:20" s="38" customFormat="1" x14ac:dyDescent="0.3">
      <c r="A383" s="36" t="str">
        <f xml:space="preserve"> IF( 'From SvanPC++'!A373= "", "", ('From SvanPC++'!A373))</f>
        <v/>
      </c>
      <c r="B383" s="36"/>
      <c r="C383" s="36"/>
      <c r="D383" s="36"/>
      <c r="E383" s="47"/>
      <c r="F383" s="19"/>
      <c r="I383" s="36"/>
      <c r="S383" s="36"/>
      <c r="T383" s="36"/>
    </row>
    <row r="384" spans="1:20" s="38" customFormat="1" x14ac:dyDescent="0.3">
      <c r="A384" s="36" t="str">
        <f xml:space="preserve"> IF( 'From SvanPC++'!A374= "", "", ('From SvanPC++'!A374))</f>
        <v/>
      </c>
      <c r="B384" s="36"/>
      <c r="C384" s="36"/>
      <c r="D384" s="36"/>
      <c r="E384" s="47"/>
      <c r="F384" s="19"/>
      <c r="I384" s="36"/>
      <c r="S384" s="36"/>
      <c r="T384" s="36"/>
    </row>
    <row r="385" spans="1:20" s="38" customFormat="1" x14ac:dyDescent="0.3">
      <c r="A385" s="36" t="str">
        <f xml:space="preserve"> IF( 'From SvanPC++'!A375= "", "", ('From SvanPC++'!A375))</f>
        <v/>
      </c>
      <c r="B385" s="36"/>
      <c r="C385" s="36"/>
      <c r="D385" s="36"/>
      <c r="E385" s="47"/>
      <c r="F385" s="19"/>
      <c r="I385" s="36"/>
      <c r="S385" s="36"/>
      <c r="T385" s="36"/>
    </row>
    <row r="386" spans="1:20" s="38" customFormat="1" x14ac:dyDescent="0.3">
      <c r="A386" s="36" t="str">
        <f xml:space="preserve"> IF( 'From SvanPC++'!A376= "", "", ('From SvanPC++'!A376))</f>
        <v/>
      </c>
      <c r="B386" s="36"/>
      <c r="C386" s="36"/>
      <c r="D386" s="36"/>
      <c r="E386" s="47"/>
      <c r="F386" s="19"/>
      <c r="I386" s="36"/>
      <c r="S386" s="36"/>
      <c r="T386" s="36"/>
    </row>
    <row r="387" spans="1:20" s="38" customFormat="1" x14ac:dyDescent="0.3">
      <c r="A387" s="36" t="str">
        <f xml:space="preserve"> IF( 'From SvanPC++'!A377= "", "", ('From SvanPC++'!A377))</f>
        <v/>
      </c>
      <c r="B387" s="36"/>
      <c r="C387" s="36"/>
      <c r="D387" s="36"/>
      <c r="E387" s="47"/>
      <c r="F387" s="19"/>
      <c r="I387" s="36"/>
      <c r="S387" s="36"/>
      <c r="T387" s="36"/>
    </row>
    <row r="388" spans="1:20" s="38" customFormat="1" x14ac:dyDescent="0.3">
      <c r="A388" s="36" t="str">
        <f xml:space="preserve"> IF( 'From SvanPC++'!A378= "", "", ('From SvanPC++'!A378))</f>
        <v/>
      </c>
      <c r="B388" s="36"/>
      <c r="C388" s="36"/>
      <c r="D388" s="36"/>
      <c r="E388" s="47"/>
      <c r="F388" s="19"/>
      <c r="I388" s="36"/>
      <c r="S388" s="36"/>
      <c r="T388" s="36"/>
    </row>
    <row r="389" spans="1:20" s="38" customFormat="1" x14ac:dyDescent="0.3">
      <c r="A389" s="36" t="str">
        <f xml:space="preserve"> IF( 'From SvanPC++'!A379= "", "", ('From SvanPC++'!A379))</f>
        <v/>
      </c>
      <c r="B389" s="36"/>
      <c r="C389" s="36"/>
      <c r="D389" s="36"/>
      <c r="E389" s="47"/>
      <c r="F389" s="19"/>
      <c r="I389" s="36"/>
      <c r="S389" s="36"/>
      <c r="T389" s="36"/>
    </row>
    <row r="390" spans="1:20" s="38" customFormat="1" x14ac:dyDescent="0.3">
      <c r="A390" s="36" t="str">
        <f xml:space="preserve"> IF( 'From SvanPC++'!A380= "", "", ('From SvanPC++'!A380))</f>
        <v/>
      </c>
      <c r="B390" s="36"/>
      <c r="C390" s="36"/>
      <c r="D390" s="36"/>
      <c r="E390" s="47"/>
      <c r="F390" s="19"/>
      <c r="I390" s="36"/>
      <c r="S390" s="36"/>
      <c r="T390" s="36"/>
    </row>
    <row r="391" spans="1:20" s="38" customFormat="1" x14ac:dyDescent="0.3">
      <c r="A391" s="36" t="str">
        <f xml:space="preserve"> IF( 'From SvanPC++'!A381= "", "", ('From SvanPC++'!A381))</f>
        <v/>
      </c>
      <c r="B391" s="36"/>
      <c r="C391" s="36"/>
      <c r="D391" s="36"/>
      <c r="E391" s="47"/>
      <c r="F391" s="19"/>
      <c r="I391" s="36"/>
      <c r="S391" s="36"/>
      <c r="T391" s="36"/>
    </row>
    <row r="392" spans="1:20" s="38" customFormat="1" x14ac:dyDescent="0.3">
      <c r="A392" s="36" t="str">
        <f xml:space="preserve"> IF( 'From SvanPC++'!A382= "", "", ('From SvanPC++'!A382))</f>
        <v/>
      </c>
      <c r="B392" s="36"/>
      <c r="C392" s="36"/>
      <c r="D392" s="36"/>
      <c r="E392" s="47"/>
      <c r="F392" s="19"/>
      <c r="I392" s="36"/>
      <c r="S392" s="36"/>
      <c r="T392" s="36"/>
    </row>
    <row r="393" spans="1:20" s="38" customFormat="1" x14ac:dyDescent="0.3">
      <c r="A393" s="36" t="str">
        <f xml:space="preserve"> IF( 'From SvanPC++'!A383= "", "", ('From SvanPC++'!A383))</f>
        <v/>
      </c>
      <c r="B393" s="36"/>
      <c r="C393" s="36"/>
      <c r="D393" s="36"/>
      <c r="E393" s="47"/>
      <c r="F393" s="19"/>
      <c r="I393" s="36"/>
      <c r="S393" s="36"/>
      <c r="T393" s="36"/>
    </row>
    <row r="394" spans="1:20" s="38" customFormat="1" x14ac:dyDescent="0.3">
      <c r="A394" s="36" t="str">
        <f xml:space="preserve"> IF( 'From SvanPC++'!A384= "", "", ('From SvanPC++'!A384))</f>
        <v/>
      </c>
      <c r="B394" s="36"/>
      <c r="C394" s="36"/>
      <c r="D394" s="36"/>
      <c r="E394" s="47"/>
      <c r="F394" s="19"/>
      <c r="I394" s="36"/>
      <c r="S394" s="36"/>
      <c r="T394" s="36"/>
    </row>
    <row r="395" spans="1:20" s="38" customFormat="1" x14ac:dyDescent="0.3">
      <c r="A395" s="36" t="str">
        <f xml:space="preserve"> IF( 'From SvanPC++'!A385= "", "", ('From SvanPC++'!A385))</f>
        <v/>
      </c>
      <c r="B395" s="36"/>
      <c r="C395" s="36"/>
      <c r="D395" s="36"/>
      <c r="E395" s="47"/>
      <c r="F395" s="19"/>
      <c r="I395" s="36"/>
      <c r="S395" s="36"/>
      <c r="T395" s="36"/>
    </row>
    <row r="396" spans="1:20" s="38" customFormat="1" x14ac:dyDescent="0.3">
      <c r="A396" s="36" t="str">
        <f xml:space="preserve"> IF( 'From SvanPC++'!A386= "", "", ('From SvanPC++'!A386))</f>
        <v/>
      </c>
      <c r="B396" s="36"/>
      <c r="C396" s="36"/>
      <c r="D396" s="36"/>
      <c r="E396" s="47"/>
      <c r="F396" s="19"/>
      <c r="I396" s="36"/>
      <c r="S396" s="36"/>
      <c r="T396" s="36"/>
    </row>
    <row r="397" spans="1:20" s="38" customFormat="1" x14ac:dyDescent="0.3">
      <c r="A397" s="36" t="str">
        <f xml:space="preserve"> IF( 'From SvanPC++'!A387= "", "", ('From SvanPC++'!A387))</f>
        <v/>
      </c>
      <c r="B397" s="36"/>
      <c r="C397" s="36"/>
      <c r="D397" s="36"/>
      <c r="E397" s="47"/>
      <c r="F397" s="19"/>
      <c r="I397" s="36"/>
      <c r="S397" s="36"/>
      <c r="T397" s="36"/>
    </row>
    <row r="398" spans="1:20" s="38" customFormat="1" x14ac:dyDescent="0.3">
      <c r="A398" s="36" t="str">
        <f xml:space="preserve"> IF( 'From SvanPC++'!A388= "", "", ('From SvanPC++'!A388))</f>
        <v/>
      </c>
      <c r="B398" s="36"/>
      <c r="C398" s="36"/>
      <c r="D398" s="36"/>
      <c r="E398" s="47"/>
      <c r="F398" s="19"/>
      <c r="I398" s="36"/>
      <c r="S398" s="36"/>
      <c r="T398" s="36"/>
    </row>
    <row r="399" spans="1:20" s="38" customFormat="1" x14ac:dyDescent="0.3">
      <c r="A399" s="36" t="str">
        <f xml:space="preserve"> IF( 'From SvanPC++'!A389= "", "", ('From SvanPC++'!A389))</f>
        <v/>
      </c>
      <c r="B399" s="36"/>
      <c r="C399" s="36"/>
      <c r="D399" s="36"/>
      <c r="E399" s="47"/>
      <c r="F399" s="19"/>
      <c r="I399" s="36"/>
      <c r="S399" s="36"/>
      <c r="T399" s="36"/>
    </row>
    <row r="400" spans="1:20" s="38" customFormat="1" x14ac:dyDescent="0.3">
      <c r="A400" s="36" t="str">
        <f xml:space="preserve"> IF( 'From SvanPC++'!A390= "", "", ('From SvanPC++'!A390))</f>
        <v/>
      </c>
      <c r="B400" s="36"/>
      <c r="C400" s="36"/>
      <c r="D400" s="36"/>
      <c r="E400" s="47"/>
      <c r="F400" s="19"/>
      <c r="I400" s="36"/>
      <c r="S400" s="36"/>
      <c r="T400" s="36"/>
    </row>
    <row r="401" spans="1:20" s="38" customFormat="1" x14ac:dyDescent="0.3">
      <c r="A401" s="36" t="str">
        <f xml:space="preserve"> IF( 'From SvanPC++'!A391= "", "", ('From SvanPC++'!A391))</f>
        <v/>
      </c>
      <c r="B401" s="36"/>
      <c r="C401" s="36"/>
      <c r="D401" s="36"/>
      <c r="E401" s="47"/>
      <c r="F401" s="19"/>
      <c r="I401" s="36"/>
      <c r="S401" s="36"/>
      <c r="T401" s="36"/>
    </row>
    <row r="402" spans="1:20" s="38" customFormat="1" x14ac:dyDescent="0.3">
      <c r="A402" s="36" t="str">
        <f xml:space="preserve"> IF( 'From SvanPC++'!A392= "", "", ('From SvanPC++'!A392))</f>
        <v/>
      </c>
      <c r="B402" s="36"/>
      <c r="C402" s="36"/>
      <c r="D402" s="36"/>
      <c r="E402" s="47"/>
      <c r="F402" s="19"/>
      <c r="I402" s="36"/>
      <c r="S402" s="36"/>
      <c r="T402" s="36"/>
    </row>
    <row r="403" spans="1:20" s="38" customFormat="1" x14ac:dyDescent="0.3">
      <c r="A403" s="36" t="str">
        <f xml:space="preserve"> IF( 'From SvanPC++'!A393= "", "", ('From SvanPC++'!A393))</f>
        <v/>
      </c>
      <c r="B403" s="36"/>
      <c r="C403" s="36"/>
      <c r="D403" s="36"/>
      <c r="E403" s="47"/>
      <c r="F403" s="19"/>
      <c r="I403" s="36"/>
      <c r="S403" s="36"/>
      <c r="T403" s="36"/>
    </row>
    <row r="404" spans="1:20" s="38" customFormat="1" x14ac:dyDescent="0.3">
      <c r="A404" s="36" t="str">
        <f xml:space="preserve"> IF( 'From SvanPC++'!A394= "", "", ('From SvanPC++'!A394))</f>
        <v/>
      </c>
      <c r="B404" s="36"/>
      <c r="C404" s="36"/>
      <c r="D404" s="36"/>
      <c r="E404" s="47"/>
      <c r="F404" s="19"/>
      <c r="I404" s="36"/>
      <c r="S404" s="36"/>
      <c r="T404" s="36"/>
    </row>
    <row r="405" spans="1:20" s="38" customFormat="1" x14ac:dyDescent="0.3">
      <c r="A405" s="36" t="str">
        <f xml:space="preserve"> IF( 'From SvanPC++'!A395= "", "", ('From SvanPC++'!A395))</f>
        <v/>
      </c>
      <c r="B405" s="36"/>
      <c r="C405" s="36"/>
      <c r="D405" s="36"/>
      <c r="E405" s="47"/>
      <c r="F405" s="19"/>
      <c r="I405" s="36"/>
      <c r="S405" s="36"/>
      <c r="T405" s="36"/>
    </row>
    <row r="406" spans="1:20" s="38" customFormat="1" x14ac:dyDescent="0.3">
      <c r="A406" s="36" t="str">
        <f xml:space="preserve"> IF( 'From SvanPC++'!A396= "", "", ('From SvanPC++'!A396))</f>
        <v/>
      </c>
      <c r="B406" s="36"/>
      <c r="C406" s="36"/>
      <c r="D406" s="36"/>
      <c r="E406" s="47"/>
      <c r="F406" s="19"/>
      <c r="I406" s="36"/>
      <c r="S406" s="36"/>
      <c r="T406" s="36"/>
    </row>
    <row r="407" spans="1:20" s="38" customFormat="1" x14ac:dyDescent="0.3">
      <c r="A407" s="36" t="str">
        <f xml:space="preserve"> IF( 'From SvanPC++'!A397= "", "", ('From SvanPC++'!A397))</f>
        <v/>
      </c>
      <c r="B407" s="36"/>
      <c r="C407" s="36"/>
      <c r="D407" s="36"/>
      <c r="E407" s="47"/>
      <c r="F407" s="19"/>
      <c r="I407" s="36"/>
      <c r="S407" s="36"/>
      <c r="T407" s="36"/>
    </row>
    <row r="408" spans="1:20" s="38" customFormat="1" x14ac:dyDescent="0.3">
      <c r="A408" s="36" t="str">
        <f xml:space="preserve"> IF( 'From SvanPC++'!A398= "", "", ('From SvanPC++'!A398))</f>
        <v/>
      </c>
      <c r="B408" s="36"/>
      <c r="C408" s="36"/>
      <c r="D408" s="36"/>
      <c r="E408" s="47"/>
      <c r="F408" s="19"/>
      <c r="I408" s="36"/>
      <c r="S408" s="36"/>
      <c r="T408" s="36"/>
    </row>
    <row r="409" spans="1:20" s="38" customFormat="1" x14ac:dyDescent="0.3">
      <c r="A409" s="36" t="str">
        <f xml:space="preserve"> IF( 'From SvanPC++'!A399= "", "", ('From SvanPC++'!A399))</f>
        <v/>
      </c>
      <c r="B409" s="36"/>
      <c r="C409" s="36"/>
      <c r="D409" s="36"/>
      <c r="E409" s="47"/>
      <c r="F409" s="19"/>
      <c r="I409" s="36"/>
      <c r="S409" s="36"/>
      <c r="T409" s="36"/>
    </row>
    <row r="410" spans="1:20" s="38" customFormat="1" x14ac:dyDescent="0.3">
      <c r="A410" s="36" t="str">
        <f xml:space="preserve"> IF( 'From SvanPC++'!A400= "", "", ('From SvanPC++'!A400))</f>
        <v/>
      </c>
      <c r="B410" s="36"/>
      <c r="C410" s="36"/>
      <c r="D410" s="36"/>
      <c r="E410" s="47"/>
      <c r="F410" s="19"/>
      <c r="I410" s="36"/>
      <c r="S410" s="36"/>
      <c r="T410" s="36"/>
    </row>
    <row r="411" spans="1:20" s="38" customFormat="1" x14ac:dyDescent="0.3">
      <c r="A411" s="36" t="str">
        <f xml:space="preserve"> IF( 'From SvanPC++'!A401= "", "", ('From SvanPC++'!A401))</f>
        <v/>
      </c>
      <c r="B411" s="36"/>
      <c r="C411" s="36"/>
      <c r="D411" s="36"/>
      <c r="E411" s="47"/>
      <c r="F411" s="19"/>
      <c r="I411" s="36"/>
      <c r="S411" s="36"/>
      <c r="T411" s="36"/>
    </row>
    <row r="412" spans="1:20" s="38" customFormat="1" x14ac:dyDescent="0.3">
      <c r="A412" s="36" t="str">
        <f xml:space="preserve"> IF( 'From SvanPC++'!A402= "", "", ('From SvanPC++'!A402))</f>
        <v/>
      </c>
      <c r="B412" s="36"/>
      <c r="C412" s="36"/>
      <c r="D412" s="36"/>
      <c r="E412" s="47"/>
      <c r="F412" s="19"/>
      <c r="I412" s="36"/>
      <c r="S412" s="36"/>
      <c r="T412" s="36"/>
    </row>
    <row r="413" spans="1:20" s="38" customFormat="1" x14ac:dyDescent="0.3">
      <c r="A413" s="36" t="str">
        <f xml:space="preserve"> IF( 'From SvanPC++'!A403= "", "", ('From SvanPC++'!A403))</f>
        <v/>
      </c>
      <c r="B413" s="36"/>
      <c r="C413" s="36"/>
      <c r="D413" s="36"/>
      <c r="E413" s="47"/>
      <c r="F413" s="19"/>
      <c r="I413" s="36"/>
      <c r="S413" s="36"/>
      <c r="T413" s="36"/>
    </row>
    <row r="414" spans="1:20" s="38" customFormat="1" x14ac:dyDescent="0.3">
      <c r="A414" s="36" t="str">
        <f xml:space="preserve"> IF( 'From SvanPC++'!A404= "", "", ('From SvanPC++'!A404))</f>
        <v/>
      </c>
      <c r="B414" s="36"/>
      <c r="C414" s="36"/>
      <c r="D414" s="36"/>
      <c r="E414" s="47"/>
      <c r="F414" s="19"/>
      <c r="I414" s="36"/>
      <c r="S414" s="36"/>
      <c r="T414" s="36"/>
    </row>
    <row r="415" spans="1:20" s="38" customFormat="1" x14ac:dyDescent="0.3">
      <c r="A415" s="36" t="str">
        <f xml:space="preserve"> IF( 'From SvanPC++'!A405= "", "", ('From SvanPC++'!A405))</f>
        <v/>
      </c>
      <c r="B415" s="36"/>
      <c r="C415" s="36"/>
      <c r="D415" s="36"/>
      <c r="E415" s="47"/>
      <c r="F415" s="19"/>
      <c r="I415" s="36"/>
      <c r="S415" s="36"/>
      <c r="T415" s="36"/>
    </row>
    <row r="416" spans="1:20" s="38" customFormat="1" x14ac:dyDescent="0.3">
      <c r="A416" s="36" t="str">
        <f xml:space="preserve"> IF( 'From SvanPC++'!A406= "", "", ('From SvanPC++'!A406))</f>
        <v/>
      </c>
      <c r="B416" s="36"/>
      <c r="C416" s="36"/>
      <c r="D416" s="36"/>
      <c r="E416" s="47"/>
      <c r="F416" s="19"/>
      <c r="I416" s="36"/>
      <c r="S416" s="36"/>
      <c r="T416" s="36"/>
    </row>
    <row r="417" spans="1:20" s="38" customFormat="1" x14ac:dyDescent="0.3">
      <c r="A417" s="36" t="str">
        <f xml:space="preserve"> IF( 'From SvanPC++'!A407= "", "", ('From SvanPC++'!A407))</f>
        <v/>
      </c>
      <c r="B417" s="36"/>
      <c r="C417" s="36"/>
      <c r="D417" s="36"/>
      <c r="E417" s="47"/>
      <c r="F417" s="19"/>
      <c r="I417" s="36"/>
      <c r="S417" s="36"/>
      <c r="T417" s="36"/>
    </row>
    <row r="418" spans="1:20" s="38" customFormat="1" x14ac:dyDescent="0.3">
      <c r="A418" s="36" t="str">
        <f xml:space="preserve"> IF( 'From SvanPC++'!A408= "", "", ('From SvanPC++'!A408))</f>
        <v/>
      </c>
      <c r="B418" s="36"/>
      <c r="C418" s="36"/>
      <c r="D418" s="36"/>
      <c r="E418" s="47"/>
      <c r="F418" s="19"/>
      <c r="I418" s="36"/>
      <c r="S418" s="36"/>
      <c r="T418" s="36"/>
    </row>
    <row r="419" spans="1:20" s="38" customFormat="1" x14ac:dyDescent="0.3">
      <c r="A419" s="36" t="str">
        <f xml:space="preserve"> IF( 'From SvanPC++'!A409= "", "", ('From SvanPC++'!A409))</f>
        <v/>
      </c>
      <c r="B419" s="36"/>
      <c r="C419" s="36"/>
      <c r="D419" s="36"/>
      <c r="E419" s="47"/>
      <c r="F419" s="19"/>
      <c r="I419" s="36"/>
      <c r="S419" s="36"/>
      <c r="T419" s="36"/>
    </row>
    <row r="420" spans="1:20" s="38" customFormat="1" x14ac:dyDescent="0.3">
      <c r="A420" s="36" t="str">
        <f xml:space="preserve"> IF( 'From SvanPC++'!A410= "", "", ('From SvanPC++'!A410))</f>
        <v/>
      </c>
      <c r="B420" s="36"/>
      <c r="C420" s="36"/>
      <c r="D420" s="36"/>
      <c r="E420" s="47"/>
      <c r="F420" s="19"/>
      <c r="I420" s="36"/>
      <c r="S420" s="36"/>
      <c r="T420" s="36"/>
    </row>
    <row r="421" spans="1:20" s="38" customFormat="1" x14ac:dyDescent="0.3">
      <c r="A421" s="36" t="str">
        <f xml:space="preserve"> IF( 'From SvanPC++'!A411= "", "", ('From SvanPC++'!A411))</f>
        <v/>
      </c>
      <c r="B421" s="36"/>
      <c r="C421" s="36"/>
      <c r="D421" s="36"/>
      <c r="E421" s="47"/>
      <c r="F421" s="19"/>
      <c r="I421" s="36"/>
      <c r="S421" s="36"/>
      <c r="T421" s="36"/>
    </row>
    <row r="422" spans="1:20" s="38" customFormat="1" x14ac:dyDescent="0.3">
      <c r="A422" s="36" t="str">
        <f xml:space="preserve"> IF( 'From SvanPC++'!A412= "", "", ('From SvanPC++'!A412))</f>
        <v/>
      </c>
      <c r="B422" s="36"/>
      <c r="C422" s="36"/>
      <c r="D422" s="36"/>
      <c r="E422" s="47"/>
      <c r="F422" s="19"/>
      <c r="I422" s="36"/>
      <c r="S422" s="36"/>
      <c r="T422" s="36"/>
    </row>
    <row r="423" spans="1:20" s="38" customFormat="1" x14ac:dyDescent="0.3">
      <c r="A423" s="36" t="str">
        <f xml:space="preserve"> IF( 'From SvanPC++'!A413= "", "", ('From SvanPC++'!A413))</f>
        <v/>
      </c>
      <c r="B423" s="36"/>
      <c r="C423" s="36"/>
      <c r="D423" s="36"/>
      <c r="E423" s="47"/>
      <c r="F423" s="19"/>
      <c r="I423" s="36"/>
      <c r="S423" s="36"/>
      <c r="T423" s="36"/>
    </row>
    <row r="424" spans="1:20" s="38" customFormat="1" x14ac:dyDescent="0.3">
      <c r="A424" s="36" t="str">
        <f xml:space="preserve"> IF( 'From SvanPC++'!A414= "", "", ('From SvanPC++'!A414))</f>
        <v/>
      </c>
      <c r="B424" s="36"/>
      <c r="C424" s="36"/>
      <c r="D424" s="36"/>
      <c r="E424" s="47"/>
      <c r="F424" s="19"/>
      <c r="I424" s="36"/>
      <c r="S424" s="36"/>
      <c r="T424" s="36"/>
    </row>
    <row r="425" spans="1:20" s="38" customFormat="1" x14ac:dyDescent="0.3">
      <c r="A425" s="36" t="str">
        <f xml:space="preserve"> IF( 'From SvanPC++'!A415= "", "", ('From SvanPC++'!A415))</f>
        <v/>
      </c>
      <c r="B425" s="36"/>
      <c r="C425" s="36"/>
      <c r="D425" s="36"/>
      <c r="E425" s="47"/>
      <c r="F425" s="19"/>
      <c r="I425" s="36"/>
      <c r="S425" s="36"/>
      <c r="T425" s="36"/>
    </row>
    <row r="426" spans="1:20" s="38" customFormat="1" x14ac:dyDescent="0.3">
      <c r="A426" s="36" t="str">
        <f xml:space="preserve"> IF( 'From SvanPC++'!A416= "", "", ('From SvanPC++'!A416))</f>
        <v/>
      </c>
      <c r="B426" s="36"/>
      <c r="C426" s="36"/>
      <c r="D426" s="36"/>
      <c r="E426" s="47"/>
      <c r="F426" s="19"/>
      <c r="I426" s="36"/>
      <c r="S426" s="36"/>
      <c r="T426" s="36"/>
    </row>
    <row r="427" spans="1:20" s="38" customFormat="1" x14ac:dyDescent="0.3">
      <c r="A427" s="36" t="str">
        <f xml:space="preserve"> IF( 'From SvanPC++'!A417= "", "", ('From SvanPC++'!A417))</f>
        <v/>
      </c>
      <c r="B427" s="36"/>
      <c r="C427" s="36"/>
      <c r="D427" s="36"/>
      <c r="E427" s="47"/>
      <c r="F427" s="19"/>
      <c r="I427" s="36"/>
      <c r="S427" s="36"/>
      <c r="T427" s="36"/>
    </row>
    <row r="428" spans="1:20" s="38" customFormat="1" x14ac:dyDescent="0.3">
      <c r="A428" s="36" t="str">
        <f xml:space="preserve"> IF( 'From SvanPC++'!A418= "", "", ('From SvanPC++'!A418))</f>
        <v/>
      </c>
      <c r="B428" s="36"/>
      <c r="C428" s="36"/>
      <c r="D428" s="36"/>
      <c r="E428" s="47"/>
      <c r="F428" s="19"/>
      <c r="I428" s="36"/>
      <c r="S428" s="36"/>
      <c r="T428" s="36"/>
    </row>
    <row r="429" spans="1:20" s="38" customFormat="1" x14ac:dyDescent="0.3">
      <c r="A429" s="36" t="str">
        <f xml:space="preserve"> IF( 'From SvanPC++'!A419= "", "", ('From SvanPC++'!A419))</f>
        <v/>
      </c>
      <c r="B429" s="36"/>
      <c r="C429" s="36"/>
      <c r="D429" s="36"/>
      <c r="E429" s="47"/>
      <c r="F429" s="19"/>
      <c r="I429" s="36"/>
      <c r="S429" s="36"/>
      <c r="T429" s="36"/>
    </row>
    <row r="430" spans="1:20" s="38" customFormat="1" x14ac:dyDescent="0.3">
      <c r="A430" s="36" t="str">
        <f xml:space="preserve"> IF( 'From SvanPC++'!A420= "", "", ('From SvanPC++'!A420))</f>
        <v/>
      </c>
      <c r="B430" s="36"/>
      <c r="C430" s="36"/>
      <c r="D430" s="36"/>
      <c r="E430" s="47"/>
      <c r="F430" s="19"/>
      <c r="I430" s="36"/>
      <c r="S430" s="36"/>
      <c r="T430" s="36"/>
    </row>
    <row r="431" spans="1:20" s="38" customFormat="1" x14ac:dyDescent="0.3">
      <c r="A431" s="36" t="str">
        <f xml:space="preserve"> IF( 'From SvanPC++'!A421= "", "", ('From SvanPC++'!A421))</f>
        <v/>
      </c>
      <c r="B431" s="36"/>
      <c r="C431" s="36"/>
      <c r="D431" s="36"/>
      <c r="E431" s="47"/>
      <c r="F431" s="19"/>
      <c r="I431" s="36"/>
      <c r="S431" s="36"/>
      <c r="T431" s="36"/>
    </row>
    <row r="432" spans="1:20" s="38" customFormat="1" x14ac:dyDescent="0.3">
      <c r="A432" s="36" t="str">
        <f xml:space="preserve"> IF( 'From SvanPC++'!A422= "", "", ('From SvanPC++'!A422))</f>
        <v/>
      </c>
      <c r="B432" s="36"/>
      <c r="C432" s="36"/>
      <c r="D432" s="36"/>
      <c r="E432" s="47"/>
      <c r="F432" s="19"/>
      <c r="I432" s="36"/>
      <c r="S432" s="36"/>
      <c r="T432" s="36"/>
    </row>
    <row r="433" spans="1:20" s="38" customFormat="1" x14ac:dyDescent="0.3">
      <c r="A433" s="36" t="str">
        <f xml:space="preserve"> IF( 'From SvanPC++'!A423= "", "", ('From SvanPC++'!A423))</f>
        <v/>
      </c>
      <c r="B433" s="36"/>
      <c r="C433" s="36"/>
      <c r="D433" s="36"/>
      <c r="E433" s="47"/>
      <c r="F433" s="19"/>
      <c r="I433" s="36"/>
      <c r="S433" s="36"/>
      <c r="T433" s="36"/>
    </row>
    <row r="434" spans="1:20" s="38" customFormat="1" x14ac:dyDescent="0.3">
      <c r="A434" s="36" t="str">
        <f xml:space="preserve"> IF( 'From SvanPC++'!A424= "", "", ('From SvanPC++'!A424))</f>
        <v/>
      </c>
      <c r="B434" s="36"/>
      <c r="C434" s="36"/>
      <c r="D434" s="36"/>
      <c r="E434" s="47"/>
      <c r="F434" s="19"/>
      <c r="I434" s="36"/>
      <c r="S434" s="36"/>
      <c r="T434" s="36"/>
    </row>
    <row r="435" spans="1:20" s="38" customFormat="1" x14ac:dyDescent="0.3">
      <c r="A435" s="36" t="str">
        <f xml:space="preserve"> IF( 'From SvanPC++'!A425= "", "", ('From SvanPC++'!A425))</f>
        <v/>
      </c>
      <c r="B435" s="36"/>
      <c r="C435" s="36"/>
      <c r="D435" s="36"/>
      <c r="E435" s="47"/>
      <c r="F435" s="19"/>
      <c r="I435" s="36"/>
      <c r="S435" s="36"/>
      <c r="T435" s="36"/>
    </row>
    <row r="436" spans="1:20" s="38" customFormat="1" x14ac:dyDescent="0.3">
      <c r="A436" s="36" t="str">
        <f xml:space="preserve"> IF( 'From SvanPC++'!A426= "", "", ('From SvanPC++'!A426))</f>
        <v/>
      </c>
      <c r="B436" s="36"/>
      <c r="C436" s="36"/>
      <c r="D436" s="36"/>
      <c r="E436" s="47"/>
      <c r="F436" s="19"/>
      <c r="I436" s="36"/>
      <c r="S436" s="36"/>
      <c r="T436" s="36"/>
    </row>
    <row r="437" spans="1:20" s="38" customFormat="1" x14ac:dyDescent="0.3">
      <c r="A437" s="36" t="str">
        <f xml:space="preserve"> IF( 'From SvanPC++'!A427= "", "", ('From SvanPC++'!A427))</f>
        <v/>
      </c>
      <c r="B437" s="36"/>
      <c r="C437" s="36"/>
      <c r="D437" s="36"/>
      <c r="E437" s="47"/>
      <c r="F437" s="19"/>
      <c r="I437" s="36"/>
      <c r="S437" s="36"/>
      <c r="T437" s="36"/>
    </row>
    <row r="438" spans="1:20" s="38" customFormat="1" x14ac:dyDescent="0.3">
      <c r="A438" s="36" t="str">
        <f xml:space="preserve"> IF( 'From SvanPC++'!A428= "", "", ('From SvanPC++'!A428))</f>
        <v/>
      </c>
      <c r="B438" s="36"/>
      <c r="C438" s="36"/>
      <c r="D438" s="36"/>
      <c r="E438" s="47"/>
      <c r="F438" s="19"/>
      <c r="I438" s="36"/>
      <c r="S438" s="36"/>
      <c r="T438" s="36"/>
    </row>
    <row r="439" spans="1:20" s="38" customFormat="1" x14ac:dyDescent="0.3">
      <c r="A439" s="36" t="str">
        <f xml:space="preserve"> IF( 'From SvanPC++'!A429= "", "", ('From SvanPC++'!A429))</f>
        <v/>
      </c>
      <c r="B439" s="36"/>
      <c r="C439" s="36"/>
      <c r="D439" s="36"/>
      <c r="E439" s="47"/>
      <c r="F439" s="19"/>
      <c r="I439" s="36"/>
      <c r="S439" s="36"/>
      <c r="T439" s="36"/>
    </row>
    <row r="440" spans="1:20" s="38" customFormat="1" x14ac:dyDescent="0.3">
      <c r="A440" s="36" t="str">
        <f xml:space="preserve"> IF( 'From SvanPC++'!A430= "", "", ('From SvanPC++'!A430))</f>
        <v/>
      </c>
      <c r="B440" s="36"/>
      <c r="C440" s="36"/>
      <c r="D440" s="36"/>
      <c r="E440" s="47"/>
      <c r="F440" s="19"/>
      <c r="I440" s="36"/>
      <c r="S440" s="36"/>
      <c r="T440" s="36"/>
    </row>
    <row r="441" spans="1:20" s="38" customFormat="1" x14ac:dyDescent="0.3">
      <c r="A441" s="36" t="str">
        <f xml:space="preserve"> IF( 'From SvanPC++'!A431= "", "", ('From SvanPC++'!A431))</f>
        <v/>
      </c>
      <c r="B441" s="36"/>
      <c r="C441" s="36"/>
      <c r="D441" s="36"/>
      <c r="E441" s="47"/>
      <c r="F441" s="19"/>
      <c r="I441" s="36"/>
      <c r="S441" s="36"/>
      <c r="T441" s="36"/>
    </row>
    <row r="442" spans="1:20" s="38" customFormat="1" x14ac:dyDescent="0.3">
      <c r="A442" s="36" t="str">
        <f xml:space="preserve"> IF( 'From SvanPC++'!A432= "", "", ('From SvanPC++'!A432))</f>
        <v/>
      </c>
      <c r="B442" s="36"/>
      <c r="C442" s="36"/>
      <c r="D442" s="36"/>
      <c r="E442" s="47"/>
      <c r="F442" s="19"/>
      <c r="I442" s="36"/>
      <c r="S442" s="36"/>
      <c r="T442" s="36"/>
    </row>
    <row r="443" spans="1:20" s="38" customFormat="1" x14ac:dyDescent="0.3">
      <c r="A443" s="36" t="str">
        <f xml:space="preserve"> IF( 'From SvanPC++'!A433= "", "", ('From SvanPC++'!A433))</f>
        <v/>
      </c>
      <c r="B443" s="36"/>
      <c r="C443" s="36"/>
      <c r="D443" s="36"/>
      <c r="E443" s="47"/>
      <c r="F443" s="19"/>
      <c r="I443" s="36"/>
      <c r="S443" s="36"/>
      <c r="T443" s="36"/>
    </row>
    <row r="444" spans="1:20" s="38" customFormat="1" x14ac:dyDescent="0.3">
      <c r="A444" s="36" t="str">
        <f xml:space="preserve"> IF( 'From SvanPC++'!A434= "", "", ('From SvanPC++'!A434))</f>
        <v/>
      </c>
      <c r="B444" s="36"/>
      <c r="C444" s="36"/>
      <c r="D444" s="36"/>
      <c r="E444" s="47"/>
      <c r="F444" s="19"/>
      <c r="I444" s="36"/>
      <c r="S444" s="36"/>
      <c r="T444" s="36"/>
    </row>
    <row r="445" spans="1:20" s="38" customFormat="1" x14ac:dyDescent="0.3">
      <c r="A445" s="36" t="str">
        <f xml:space="preserve"> IF( 'From SvanPC++'!A435= "", "", ('From SvanPC++'!A435))</f>
        <v/>
      </c>
      <c r="B445" s="36"/>
      <c r="C445" s="36"/>
      <c r="D445" s="36"/>
      <c r="E445" s="47"/>
      <c r="F445" s="19"/>
      <c r="I445" s="36"/>
      <c r="S445" s="36"/>
      <c r="T445" s="36"/>
    </row>
    <row r="446" spans="1:20" s="38" customFormat="1" x14ac:dyDescent="0.3">
      <c r="A446" s="36" t="str">
        <f xml:space="preserve"> IF( 'From SvanPC++'!A436= "", "", ('From SvanPC++'!A436))</f>
        <v/>
      </c>
      <c r="B446" s="36"/>
      <c r="C446" s="36"/>
      <c r="D446" s="36"/>
      <c r="E446" s="47"/>
      <c r="F446" s="19"/>
      <c r="I446" s="36"/>
      <c r="S446" s="36"/>
      <c r="T446" s="36"/>
    </row>
    <row r="447" spans="1:20" s="38" customFormat="1" x14ac:dyDescent="0.3">
      <c r="A447" s="36" t="str">
        <f xml:space="preserve"> IF( 'From SvanPC++'!A437= "", "", ('From SvanPC++'!A437))</f>
        <v/>
      </c>
      <c r="B447" s="36"/>
      <c r="C447" s="36"/>
      <c r="D447" s="36"/>
      <c r="E447" s="47"/>
      <c r="F447" s="19"/>
      <c r="I447" s="36"/>
      <c r="S447" s="36"/>
      <c r="T447" s="36"/>
    </row>
    <row r="448" spans="1:20" s="38" customFormat="1" x14ac:dyDescent="0.3">
      <c r="A448" s="36" t="str">
        <f xml:space="preserve"> IF( 'From SvanPC++'!A438= "", "", ('From SvanPC++'!A438))</f>
        <v/>
      </c>
      <c r="B448" s="36"/>
      <c r="C448" s="36"/>
      <c r="D448" s="36"/>
      <c r="E448" s="47"/>
      <c r="F448" s="19"/>
      <c r="I448" s="36"/>
      <c r="S448" s="36"/>
      <c r="T448" s="36"/>
    </row>
    <row r="449" spans="1:20" s="38" customFormat="1" x14ac:dyDescent="0.3">
      <c r="A449" s="36" t="str">
        <f xml:space="preserve"> IF( 'From SvanPC++'!A439= "", "", ('From SvanPC++'!A439))</f>
        <v/>
      </c>
      <c r="B449" s="36"/>
      <c r="C449" s="36"/>
      <c r="D449" s="36"/>
      <c r="E449" s="47"/>
      <c r="F449" s="19"/>
      <c r="I449" s="36"/>
      <c r="S449" s="36"/>
      <c r="T449" s="36"/>
    </row>
    <row r="450" spans="1:20" s="38" customFormat="1" x14ac:dyDescent="0.3">
      <c r="A450" s="36" t="str">
        <f xml:space="preserve"> IF( 'From SvanPC++'!A440= "", "", ('From SvanPC++'!A440))</f>
        <v/>
      </c>
      <c r="B450" s="36"/>
      <c r="C450" s="36"/>
      <c r="D450" s="36"/>
      <c r="E450" s="47"/>
      <c r="F450" s="19"/>
      <c r="I450" s="36"/>
      <c r="S450" s="36"/>
      <c r="T450" s="36"/>
    </row>
    <row r="451" spans="1:20" s="38" customFormat="1" x14ac:dyDescent="0.3">
      <c r="A451" s="36" t="str">
        <f xml:space="preserve"> IF( 'From SvanPC++'!A441= "", "", ('From SvanPC++'!A441))</f>
        <v/>
      </c>
      <c r="B451" s="36"/>
      <c r="C451" s="36"/>
      <c r="D451" s="36"/>
      <c r="E451" s="47"/>
      <c r="F451" s="19"/>
      <c r="I451" s="36"/>
      <c r="S451" s="36"/>
      <c r="T451" s="36"/>
    </row>
    <row r="452" spans="1:20" s="38" customFormat="1" x14ac:dyDescent="0.3">
      <c r="A452" s="36" t="str">
        <f xml:space="preserve"> IF( 'From SvanPC++'!A442= "", "", ('From SvanPC++'!A442))</f>
        <v/>
      </c>
      <c r="B452" s="36"/>
      <c r="C452" s="36"/>
      <c r="D452" s="36"/>
      <c r="E452" s="47"/>
      <c r="F452" s="19"/>
      <c r="I452" s="36"/>
      <c r="S452" s="36"/>
      <c r="T452" s="36"/>
    </row>
    <row r="453" spans="1:20" s="38" customFormat="1" x14ac:dyDescent="0.3">
      <c r="A453" s="36" t="str">
        <f xml:space="preserve"> IF( 'From SvanPC++'!A443= "", "", ('From SvanPC++'!A443))</f>
        <v/>
      </c>
      <c r="B453" s="36"/>
      <c r="C453" s="36"/>
      <c r="D453" s="36"/>
      <c r="E453" s="47"/>
      <c r="F453" s="19"/>
      <c r="I453" s="36"/>
      <c r="S453" s="36"/>
      <c r="T453" s="36"/>
    </row>
    <row r="454" spans="1:20" s="38" customFormat="1" x14ac:dyDescent="0.3">
      <c r="A454" s="36" t="str">
        <f xml:space="preserve"> IF( 'From SvanPC++'!A444= "", "", ('From SvanPC++'!A444))</f>
        <v/>
      </c>
      <c r="B454" s="36"/>
      <c r="C454" s="36"/>
      <c r="D454" s="36"/>
      <c r="E454" s="47"/>
      <c r="F454" s="19"/>
      <c r="I454" s="36"/>
      <c r="S454" s="36"/>
      <c r="T454" s="36"/>
    </row>
    <row r="455" spans="1:20" s="38" customFormat="1" x14ac:dyDescent="0.3">
      <c r="A455" s="36" t="str">
        <f xml:space="preserve"> IF( 'From SvanPC++'!A445= "", "", ('From SvanPC++'!A445))</f>
        <v/>
      </c>
      <c r="B455" s="36"/>
      <c r="C455" s="36"/>
      <c r="D455" s="36"/>
      <c r="E455" s="47"/>
      <c r="F455" s="19"/>
      <c r="I455" s="36"/>
      <c r="S455" s="36"/>
      <c r="T455" s="36"/>
    </row>
    <row r="456" spans="1:20" s="38" customFormat="1" x14ac:dyDescent="0.3">
      <c r="A456" s="36" t="str">
        <f xml:space="preserve"> IF( 'From SvanPC++'!A446= "", "", ('From SvanPC++'!A446))</f>
        <v/>
      </c>
      <c r="B456" s="36"/>
      <c r="C456" s="36"/>
      <c r="D456" s="36"/>
      <c r="E456" s="47"/>
      <c r="F456" s="19"/>
      <c r="I456" s="36"/>
      <c r="S456" s="36"/>
      <c r="T456" s="36"/>
    </row>
    <row r="457" spans="1:20" s="38" customFormat="1" x14ac:dyDescent="0.3">
      <c r="A457" s="36" t="str">
        <f xml:space="preserve"> IF( 'From SvanPC++'!A447= "", "", ('From SvanPC++'!A447))</f>
        <v/>
      </c>
      <c r="B457" s="36"/>
      <c r="C457" s="36"/>
      <c r="D457" s="36"/>
      <c r="E457" s="47"/>
      <c r="F457" s="19"/>
      <c r="I457" s="36"/>
      <c r="S457" s="36"/>
      <c r="T457" s="36"/>
    </row>
    <row r="458" spans="1:20" s="38" customFormat="1" x14ac:dyDescent="0.3">
      <c r="A458" s="36" t="str">
        <f xml:space="preserve"> IF( 'From SvanPC++'!A448= "", "", ('From SvanPC++'!A448))</f>
        <v/>
      </c>
      <c r="B458" s="36"/>
      <c r="C458" s="36"/>
      <c r="D458" s="36"/>
      <c r="E458" s="47"/>
      <c r="F458" s="19"/>
      <c r="I458" s="36"/>
      <c r="S458" s="36"/>
      <c r="T458" s="36"/>
    </row>
    <row r="459" spans="1:20" s="38" customFormat="1" x14ac:dyDescent="0.3">
      <c r="A459" s="36" t="str">
        <f xml:space="preserve"> IF( 'From SvanPC++'!A449= "", "", ('From SvanPC++'!A449))</f>
        <v/>
      </c>
      <c r="B459" s="36"/>
      <c r="C459" s="36"/>
      <c r="D459" s="36"/>
      <c r="E459" s="47"/>
      <c r="F459" s="19"/>
      <c r="I459" s="36"/>
      <c r="S459" s="36"/>
      <c r="T459" s="36"/>
    </row>
    <row r="460" spans="1:20" s="38" customFormat="1" x14ac:dyDescent="0.3">
      <c r="A460" s="36" t="str">
        <f xml:space="preserve"> IF( 'From SvanPC++'!A450= "", "", ('From SvanPC++'!A450))</f>
        <v/>
      </c>
      <c r="B460" s="36"/>
      <c r="C460" s="36"/>
      <c r="D460" s="36"/>
      <c r="E460" s="47"/>
      <c r="F460" s="19"/>
      <c r="I460" s="36"/>
      <c r="S460" s="36"/>
      <c r="T460" s="36"/>
    </row>
    <row r="461" spans="1:20" s="38" customFormat="1" x14ac:dyDescent="0.3">
      <c r="A461" s="36" t="str">
        <f xml:space="preserve"> IF( 'From SvanPC++'!A451= "", "", ('From SvanPC++'!A451))</f>
        <v/>
      </c>
      <c r="B461" s="36"/>
      <c r="C461" s="36"/>
      <c r="D461" s="36"/>
      <c r="E461" s="47"/>
      <c r="F461" s="19"/>
      <c r="I461" s="36"/>
      <c r="S461" s="36"/>
      <c r="T461" s="36"/>
    </row>
    <row r="462" spans="1:20" s="38" customFormat="1" x14ac:dyDescent="0.3">
      <c r="A462" s="36" t="str">
        <f xml:space="preserve"> IF( 'From SvanPC++'!A452= "", "", ('From SvanPC++'!A452))</f>
        <v/>
      </c>
      <c r="B462" s="36"/>
      <c r="C462" s="36"/>
      <c r="D462" s="36"/>
      <c r="E462" s="47"/>
      <c r="F462" s="19"/>
      <c r="I462" s="36"/>
      <c r="S462" s="36"/>
      <c r="T462" s="36"/>
    </row>
    <row r="463" spans="1:20" s="38" customFormat="1" x14ac:dyDescent="0.3">
      <c r="A463" s="36" t="str">
        <f xml:space="preserve"> IF( 'From SvanPC++'!A453= "", "", ('From SvanPC++'!A453))</f>
        <v/>
      </c>
      <c r="B463" s="36"/>
      <c r="C463" s="36"/>
      <c r="D463" s="36"/>
      <c r="E463" s="47"/>
      <c r="F463" s="19"/>
      <c r="I463" s="36"/>
      <c r="S463" s="36"/>
      <c r="T463" s="36"/>
    </row>
    <row r="464" spans="1:20" s="38" customFormat="1" x14ac:dyDescent="0.3">
      <c r="A464" s="36" t="str">
        <f xml:space="preserve"> IF( 'From SvanPC++'!A454= "", "", ('From SvanPC++'!A454))</f>
        <v/>
      </c>
      <c r="B464" s="36"/>
      <c r="C464" s="36"/>
      <c r="D464" s="36"/>
      <c r="E464" s="47"/>
      <c r="F464" s="19"/>
      <c r="I464" s="36"/>
      <c r="S464" s="36"/>
      <c r="T464" s="36"/>
    </row>
    <row r="465" spans="1:20" s="38" customFormat="1" x14ac:dyDescent="0.3">
      <c r="A465" s="36" t="str">
        <f xml:space="preserve"> IF( 'From SvanPC++'!A455= "", "", ('From SvanPC++'!A455))</f>
        <v/>
      </c>
      <c r="B465" s="36"/>
      <c r="C465" s="36"/>
      <c r="D465" s="36"/>
      <c r="E465" s="47"/>
      <c r="F465" s="19"/>
      <c r="I465" s="36"/>
      <c r="S465" s="36"/>
      <c r="T465" s="36"/>
    </row>
    <row r="466" spans="1:20" s="38" customFormat="1" x14ac:dyDescent="0.3">
      <c r="A466" s="36" t="str">
        <f xml:space="preserve"> IF( 'From SvanPC++'!A456= "", "", ('From SvanPC++'!A456))</f>
        <v/>
      </c>
      <c r="B466" s="36"/>
      <c r="C466" s="36"/>
      <c r="D466" s="36"/>
      <c r="E466" s="47"/>
      <c r="F466" s="19"/>
      <c r="I466" s="36"/>
      <c r="S466" s="36"/>
      <c r="T466" s="36"/>
    </row>
    <row r="467" spans="1:20" s="38" customFormat="1" x14ac:dyDescent="0.3">
      <c r="A467" s="36" t="str">
        <f xml:space="preserve"> IF( 'From SvanPC++'!A457= "", "", ('From SvanPC++'!A457))</f>
        <v/>
      </c>
      <c r="B467" s="36"/>
      <c r="C467" s="36"/>
      <c r="D467" s="36"/>
      <c r="E467" s="47"/>
      <c r="F467" s="19"/>
      <c r="I467" s="36"/>
      <c r="S467" s="36"/>
      <c r="T467" s="36"/>
    </row>
    <row r="468" spans="1:20" s="38" customFormat="1" x14ac:dyDescent="0.3">
      <c r="A468" s="36" t="str">
        <f xml:space="preserve"> IF( 'From SvanPC++'!A458= "", "", ('From SvanPC++'!A458))</f>
        <v/>
      </c>
      <c r="B468" s="36"/>
      <c r="C468" s="36"/>
      <c r="D468" s="36"/>
      <c r="E468" s="47"/>
      <c r="F468" s="19"/>
      <c r="I468" s="36"/>
      <c r="S468" s="36"/>
      <c r="T468" s="36"/>
    </row>
    <row r="469" spans="1:20" s="38" customFormat="1" x14ac:dyDescent="0.3">
      <c r="A469" s="36" t="str">
        <f xml:space="preserve"> IF( 'From SvanPC++'!A459= "", "", ('From SvanPC++'!A459))</f>
        <v/>
      </c>
      <c r="B469" s="36"/>
      <c r="C469" s="36"/>
      <c r="D469" s="36"/>
      <c r="E469" s="47"/>
      <c r="F469" s="19"/>
      <c r="I469" s="36"/>
      <c r="S469" s="36"/>
      <c r="T469" s="36"/>
    </row>
    <row r="470" spans="1:20" s="38" customFormat="1" x14ac:dyDescent="0.3">
      <c r="A470" s="36" t="str">
        <f xml:space="preserve"> IF( 'From SvanPC++'!A460= "", "", ('From SvanPC++'!A460))</f>
        <v/>
      </c>
      <c r="B470" s="36"/>
      <c r="C470" s="36"/>
      <c r="D470" s="36"/>
      <c r="E470" s="47"/>
      <c r="F470" s="19"/>
      <c r="I470" s="36"/>
      <c r="S470" s="36"/>
      <c r="T470" s="36"/>
    </row>
    <row r="471" spans="1:20" s="38" customFormat="1" x14ac:dyDescent="0.3">
      <c r="A471" s="36" t="str">
        <f xml:space="preserve"> IF( 'From SvanPC++'!A461= "", "", ('From SvanPC++'!A461))</f>
        <v/>
      </c>
      <c r="B471" s="36"/>
      <c r="C471" s="36"/>
      <c r="D471" s="36"/>
      <c r="E471" s="47"/>
      <c r="F471" s="19"/>
      <c r="I471" s="36"/>
      <c r="S471" s="36"/>
      <c r="T471" s="36"/>
    </row>
    <row r="472" spans="1:20" s="38" customFormat="1" x14ac:dyDescent="0.3">
      <c r="A472" s="36" t="str">
        <f xml:space="preserve"> IF( 'From SvanPC++'!A462= "", "", ('From SvanPC++'!A462))</f>
        <v/>
      </c>
      <c r="B472" s="36"/>
      <c r="C472" s="36"/>
      <c r="D472" s="36"/>
      <c r="E472" s="47"/>
      <c r="F472" s="19"/>
      <c r="I472" s="36"/>
      <c r="S472" s="36"/>
      <c r="T472" s="36"/>
    </row>
    <row r="473" spans="1:20" s="38" customFormat="1" x14ac:dyDescent="0.3">
      <c r="A473" s="36" t="str">
        <f xml:space="preserve"> IF( 'From SvanPC++'!A463= "", "", ('From SvanPC++'!A463))</f>
        <v/>
      </c>
      <c r="B473" s="36"/>
      <c r="C473" s="36"/>
      <c r="D473" s="36"/>
      <c r="E473" s="47"/>
      <c r="F473" s="19"/>
      <c r="I473" s="36"/>
      <c r="S473" s="36"/>
      <c r="T473" s="36"/>
    </row>
    <row r="474" spans="1:20" s="38" customFormat="1" x14ac:dyDescent="0.3">
      <c r="A474" s="36" t="str">
        <f xml:space="preserve"> IF( 'From SvanPC++'!A464= "", "", ('From SvanPC++'!A464))</f>
        <v/>
      </c>
      <c r="B474" s="36"/>
      <c r="C474" s="36"/>
      <c r="D474" s="36"/>
      <c r="E474" s="47"/>
      <c r="F474" s="19"/>
      <c r="I474" s="36"/>
      <c r="S474" s="36"/>
      <c r="T474" s="36"/>
    </row>
    <row r="475" spans="1:20" s="38" customFormat="1" x14ac:dyDescent="0.3">
      <c r="A475" s="36" t="str">
        <f xml:space="preserve"> IF( 'From SvanPC++'!A465= "", "", ('From SvanPC++'!A465))</f>
        <v/>
      </c>
      <c r="B475" s="36"/>
      <c r="C475" s="36"/>
      <c r="D475" s="36"/>
      <c r="E475" s="47"/>
      <c r="F475" s="19"/>
      <c r="I475" s="36"/>
      <c r="S475" s="36"/>
      <c r="T475" s="36"/>
    </row>
    <row r="476" spans="1:20" s="38" customFormat="1" x14ac:dyDescent="0.3">
      <c r="A476" s="36" t="str">
        <f xml:space="preserve"> IF( 'From SvanPC++'!A466= "", "", ('From SvanPC++'!A466))</f>
        <v/>
      </c>
      <c r="B476" s="36"/>
      <c r="C476" s="36"/>
      <c r="D476" s="36"/>
      <c r="E476" s="47"/>
      <c r="F476" s="19"/>
      <c r="I476" s="36"/>
      <c r="S476" s="36"/>
      <c r="T476" s="36"/>
    </row>
    <row r="477" spans="1:20" s="38" customFormat="1" x14ac:dyDescent="0.3">
      <c r="A477" s="36" t="str">
        <f xml:space="preserve"> IF( 'From SvanPC++'!A467= "", "", ('From SvanPC++'!A467))</f>
        <v/>
      </c>
      <c r="B477" s="36"/>
      <c r="C477" s="36"/>
      <c r="D477" s="36"/>
      <c r="E477" s="47"/>
      <c r="F477" s="19"/>
      <c r="I477" s="36"/>
      <c r="S477" s="36"/>
      <c r="T477" s="36"/>
    </row>
    <row r="478" spans="1:20" s="38" customFormat="1" x14ac:dyDescent="0.3">
      <c r="A478" s="36" t="str">
        <f xml:space="preserve"> IF( 'From SvanPC++'!A468= "", "", ('From SvanPC++'!A468))</f>
        <v/>
      </c>
      <c r="B478" s="36"/>
      <c r="C478" s="36"/>
      <c r="D478" s="36"/>
      <c r="E478" s="47"/>
      <c r="F478" s="19"/>
      <c r="I478" s="36"/>
      <c r="S478" s="36"/>
      <c r="T478" s="36"/>
    </row>
    <row r="479" spans="1:20" s="38" customFormat="1" x14ac:dyDescent="0.3">
      <c r="A479" s="36" t="str">
        <f xml:space="preserve"> IF( 'From SvanPC++'!A469= "", "", ('From SvanPC++'!A469))</f>
        <v/>
      </c>
      <c r="B479" s="36"/>
      <c r="C479" s="36"/>
      <c r="D479" s="36"/>
      <c r="E479" s="47"/>
      <c r="F479" s="19"/>
      <c r="I479" s="36"/>
      <c r="S479" s="36"/>
      <c r="T479" s="36"/>
    </row>
    <row r="480" spans="1:20" s="38" customFormat="1" x14ac:dyDescent="0.3">
      <c r="A480" s="36" t="str">
        <f xml:space="preserve"> IF( 'From SvanPC++'!A470= "", "", ('From SvanPC++'!A470))</f>
        <v/>
      </c>
      <c r="B480" s="36"/>
      <c r="C480" s="36"/>
      <c r="D480" s="36"/>
      <c r="E480" s="47"/>
      <c r="F480" s="19"/>
      <c r="I480" s="36"/>
      <c r="S480" s="36"/>
      <c r="T480" s="36"/>
    </row>
    <row r="481" spans="1:20" s="38" customFormat="1" x14ac:dyDescent="0.3">
      <c r="A481" s="36" t="str">
        <f xml:space="preserve"> IF( 'From SvanPC++'!A471= "", "", ('From SvanPC++'!A471))</f>
        <v/>
      </c>
      <c r="B481" s="36"/>
      <c r="C481" s="36"/>
      <c r="D481" s="36"/>
      <c r="E481" s="47"/>
      <c r="F481" s="19"/>
      <c r="I481" s="36"/>
      <c r="S481" s="36"/>
      <c r="T481" s="36"/>
    </row>
    <row r="482" spans="1:20" s="38" customFormat="1" x14ac:dyDescent="0.3">
      <c r="A482" s="36" t="str">
        <f xml:space="preserve"> IF( 'From SvanPC++'!A472= "", "", ('From SvanPC++'!A472))</f>
        <v/>
      </c>
      <c r="B482" s="36"/>
      <c r="C482" s="36"/>
      <c r="D482" s="36"/>
      <c r="E482" s="47"/>
      <c r="F482" s="19"/>
      <c r="I482" s="36"/>
      <c r="S482" s="36"/>
      <c r="T482" s="36"/>
    </row>
    <row r="483" spans="1:20" s="38" customFormat="1" x14ac:dyDescent="0.3">
      <c r="A483" s="36" t="str">
        <f xml:space="preserve"> IF( 'From SvanPC++'!A473= "", "", ('From SvanPC++'!A473))</f>
        <v/>
      </c>
      <c r="B483" s="36"/>
      <c r="C483" s="36"/>
      <c r="D483" s="36"/>
      <c r="E483" s="47"/>
      <c r="F483" s="19"/>
      <c r="I483" s="36"/>
      <c r="S483" s="36"/>
      <c r="T483" s="36"/>
    </row>
    <row r="484" spans="1:20" s="38" customFormat="1" x14ac:dyDescent="0.3">
      <c r="A484" s="36" t="str">
        <f xml:space="preserve"> IF( 'From SvanPC++'!A474= "", "", ('From SvanPC++'!A474))</f>
        <v/>
      </c>
      <c r="B484" s="36"/>
      <c r="C484" s="36"/>
      <c r="D484" s="36"/>
      <c r="E484" s="47"/>
      <c r="F484" s="19"/>
      <c r="I484" s="36"/>
      <c r="S484" s="36"/>
      <c r="T484" s="36"/>
    </row>
    <row r="485" spans="1:20" s="38" customFormat="1" x14ac:dyDescent="0.3">
      <c r="A485" s="36" t="str">
        <f xml:space="preserve"> IF( 'From SvanPC++'!A475= "", "", ('From SvanPC++'!A475))</f>
        <v/>
      </c>
      <c r="B485" s="36"/>
      <c r="C485" s="36"/>
      <c r="D485" s="36"/>
      <c r="E485" s="47"/>
      <c r="F485" s="19"/>
      <c r="I485" s="36"/>
      <c r="S485" s="36"/>
      <c r="T485" s="36"/>
    </row>
    <row r="486" spans="1:20" s="38" customFormat="1" x14ac:dyDescent="0.3">
      <c r="A486" s="36" t="str">
        <f xml:space="preserve"> IF( 'From SvanPC++'!A476= "", "", ('From SvanPC++'!A476))</f>
        <v/>
      </c>
      <c r="B486" s="36"/>
      <c r="C486" s="36"/>
      <c r="D486" s="36"/>
      <c r="E486" s="47"/>
      <c r="F486" s="19"/>
      <c r="I486" s="36"/>
      <c r="S486" s="36"/>
      <c r="T486" s="36"/>
    </row>
    <row r="487" spans="1:20" s="38" customFormat="1" x14ac:dyDescent="0.3">
      <c r="A487" s="36" t="str">
        <f xml:space="preserve"> IF( 'From SvanPC++'!A477= "", "", ('From SvanPC++'!A477))</f>
        <v/>
      </c>
      <c r="B487" s="36"/>
      <c r="C487" s="36"/>
      <c r="D487" s="36"/>
      <c r="E487" s="47"/>
      <c r="F487" s="19"/>
      <c r="I487" s="36"/>
      <c r="S487" s="36"/>
      <c r="T487" s="36"/>
    </row>
    <row r="488" spans="1:20" s="38" customFormat="1" x14ac:dyDescent="0.3">
      <c r="A488" s="36" t="str">
        <f xml:space="preserve"> IF( 'From SvanPC++'!A478= "", "", ('From SvanPC++'!A478))</f>
        <v/>
      </c>
      <c r="B488" s="36"/>
      <c r="C488" s="36"/>
      <c r="D488" s="36"/>
      <c r="E488" s="47"/>
      <c r="F488" s="19"/>
      <c r="I488" s="36"/>
      <c r="S488" s="36"/>
      <c r="T488" s="36"/>
    </row>
    <row r="489" spans="1:20" s="38" customFormat="1" x14ac:dyDescent="0.3">
      <c r="A489" s="36" t="str">
        <f xml:space="preserve"> IF( 'From SvanPC++'!A479= "", "", ('From SvanPC++'!A479))</f>
        <v/>
      </c>
      <c r="B489" s="36"/>
      <c r="C489" s="36"/>
      <c r="D489" s="36"/>
      <c r="E489" s="47"/>
      <c r="F489" s="19"/>
      <c r="I489" s="36"/>
      <c r="S489" s="36"/>
      <c r="T489" s="36"/>
    </row>
    <row r="490" spans="1:20" s="38" customFormat="1" x14ac:dyDescent="0.3">
      <c r="A490" s="36" t="str">
        <f xml:space="preserve"> IF( 'From SvanPC++'!A480= "", "", ('From SvanPC++'!A480))</f>
        <v/>
      </c>
      <c r="B490" s="36"/>
      <c r="C490" s="36"/>
      <c r="D490" s="36"/>
      <c r="E490" s="47"/>
      <c r="F490" s="19"/>
      <c r="I490" s="36"/>
      <c r="S490" s="36"/>
      <c r="T490" s="36"/>
    </row>
    <row r="491" spans="1:20" s="38" customFormat="1" x14ac:dyDescent="0.3">
      <c r="A491" s="36" t="str">
        <f xml:space="preserve"> IF( 'From SvanPC++'!A481= "", "", ('From SvanPC++'!A481))</f>
        <v/>
      </c>
      <c r="B491" s="36"/>
      <c r="C491" s="36"/>
      <c r="D491" s="36"/>
      <c r="E491" s="47"/>
      <c r="F491" s="19"/>
      <c r="I491" s="36"/>
      <c r="S491" s="36"/>
      <c r="T491" s="36"/>
    </row>
    <row r="492" spans="1:20" s="38" customFormat="1" x14ac:dyDescent="0.3">
      <c r="A492" s="36" t="str">
        <f xml:space="preserve"> IF( 'From SvanPC++'!A482= "", "", ('From SvanPC++'!A482))</f>
        <v/>
      </c>
      <c r="B492" s="36"/>
      <c r="C492" s="36"/>
      <c r="D492" s="36"/>
      <c r="E492" s="47"/>
      <c r="F492" s="19"/>
      <c r="I492" s="36"/>
      <c r="S492" s="36"/>
      <c r="T492" s="36"/>
    </row>
    <row r="493" spans="1:20" s="38" customFormat="1" x14ac:dyDescent="0.3">
      <c r="A493" s="36" t="str">
        <f xml:space="preserve"> IF( 'From SvanPC++'!A483= "", "", ('From SvanPC++'!A483))</f>
        <v/>
      </c>
      <c r="B493" s="36"/>
      <c r="C493" s="36"/>
      <c r="D493" s="36"/>
      <c r="E493" s="47"/>
      <c r="F493" s="19"/>
      <c r="I493" s="36"/>
      <c r="S493" s="36"/>
      <c r="T493" s="36"/>
    </row>
    <row r="494" spans="1:20" s="38" customFormat="1" x14ac:dyDescent="0.3">
      <c r="A494" s="36" t="str">
        <f xml:space="preserve"> IF( 'From SvanPC++'!A484= "", "", ('From SvanPC++'!A484))</f>
        <v/>
      </c>
      <c r="B494" s="36"/>
      <c r="C494" s="36"/>
      <c r="D494" s="36"/>
      <c r="E494" s="47"/>
      <c r="F494" s="19"/>
      <c r="I494" s="36"/>
      <c r="S494" s="36"/>
      <c r="T494" s="36"/>
    </row>
    <row r="495" spans="1:20" s="38" customFormat="1" x14ac:dyDescent="0.3">
      <c r="A495" s="36" t="str">
        <f xml:space="preserve"> IF( 'From SvanPC++'!A485= "", "", ('From SvanPC++'!A485))</f>
        <v/>
      </c>
      <c r="B495" s="36"/>
      <c r="C495" s="36"/>
      <c r="D495" s="36"/>
      <c r="E495" s="47"/>
      <c r="F495" s="19"/>
      <c r="I495" s="36"/>
      <c r="S495" s="36"/>
      <c r="T495" s="36"/>
    </row>
    <row r="496" spans="1:20" s="38" customFormat="1" x14ac:dyDescent="0.3">
      <c r="A496" s="36" t="str">
        <f xml:space="preserve"> IF( 'From SvanPC++'!A486= "", "", ('From SvanPC++'!A486))</f>
        <v/>
      </c>
      <c r="B496" s="36"/>
      <c r="C496" s="36"/>
      <c r="D496" s="36"/>
      <c r="E496" s="47"/>
      <c r="F496" s="19"/>
      <c r="I496" s="36"/>
      <c r="S496" s="36"/>
      <c r="T496" s="36"/>
    </row>
    <row r="497" spans="1:20" s="38" customFormat="1" x14ac:dyDescent="0.3">
      <c r="A497" s="36" t="str">
        <f xml:space="preserve"> IF( 'From SvanPC++'!A487= "", "", ('From SvanPC++'!A487))</f>
        <v/>
      </c>
      <c r="B497" s="36"/>
      <c r="C497" s="36"/>
      <c r="D497" s="36"/>
      <c r="E497" s="47"/>
      <c r="F497" s="19"/>
      <c r="I497" s="36"/>
      <c r="S497" s="36"/>
      <c r="T497" s="36"/>
    </row>
    <row r="498" spans="1:20" s="38" customFormat="1" x14ac:dyDescent="0.3">
      <c r="A498" s="36" t="str">
        <f xml:space="preserve"> IF( 'From SvanPC++'!A488= "", "", ('From SvanPC++'!A488))</f>
        <v/>
      </c>
      <c r="B498" s="36"/>
      <c r="C498" s="36"/>
      <c r="D498" s="36"/>
      <c r="E498" s="47"/>
      <c r="F498" s="19"/>
      <c r="I498" s="36"/>
      <c r="S498" s="36"/>
      <c r="T498" s="36"/>
    </row>
    <row r="499" spans="1:20" s="38" customFormat="1" x14ac:dyDescent="0.3">
      <c r="A499" s="36" t="str">
        <f xml:space="preserve"> IF( 'From SvanPC++'!A489= "", "", ('From SvanPC++'!A489))</f>
        <v/>
      </c>
      <c r="B499" s="36"/>
      <c r="C499" s="36"/>
      <c r="D499" s="36"/>
      <c r="E499" s="47"/>
      <c r="F499" s="19"/>
      <c r="I499" s="36"/>
      <c r="S499" s="36"/>
      <c r="T499" s="36"/>
    </row>
    <row r="500" spans="1:20" s="38" customFormat="1" x14ac:dyDescent="0.3">
      <c r="A500" s="36" t="str">
        <f xml:space="preserve"> IF( 'From SvanPC++'!A490= "", "", ('From SvanPC++'!A490))</f>
        <v/>
      </c>
      <c r="B500" s="36"/>
      <c r="C500" s="36"/>
      <c r="D500" s="36"/>
      <c r="E500" s="47"/>
      <c r="F500" s="19"/>
      <c r="I500" s="36"/>
      <c r="S500" s="36"/>
      <c r="T500" s="36"/>
    </row>
    <row r="501" spans="1:20" s="38" customFormat="1" x14ac:dyDescent="0.3">
      <c r="A501" s="36" t="str">
        <f xml:space="preserve"> IF( 'From SvanPC++'!A491= "", "", ('From SvanPC++'!A491))</f>
        <v/>
      </c>
      <c r="B501" s="36"/>
      <c r="C501" s="36"/>
      <c r="D501" s="36"/>
      <c r="E501" s="47"/>
      <c r="F501" s="19"/>
      <c r="I501" s="36"/>
      <c r="S501" s="36"/>
      <c r="T501" s="36"/>
    </row>
    <row r="502" spans="1:20" s="38" customFormat="1" x14ac:dyDescent="0.3">
      <c r="A502" s="36" t="str">
        <f xml:space="preserve"> IF( 'From SvanPC++'!A492= "", "", ('From SvanPC++'!A492))</f>
        <v/>
      </c>
      <c r="B502" s="36"/>
      <c r="C502" s="36"/>
      <c r="D502" s="36"/>
      <c r="E502" s="47"/>
      <c r="F502" s="19"/>
      <c r="I502" s="36"/>
      <c r="S502" s="36"/>
      <c r="T502" s="36"/>
    </row>
    <row r="503" spans="1:20" s="38" customFormat="1" x14ac:dyDescent="0.3">
      <c r="A503" s="36" t="str">
        <f xml:space="preserve"> IF( 'From SvanPC++'!A493= "", "", ('From SvanPC++'!A493))</f>
        <v/>
      </c>
      <c r="B503" s="36"/>
      <c r="C503" s="36"/>
      <c r="D503" s="36"/>
      <c r="E503" s="47"/>
      <c r="F503" s="19"/>
      <c r="I503" s="36"/>
      <c r="S503" s="36"/>
      <c r="T503" s="36"/>
    </row>
    <row r="504" spans="1:20" s="38" customFormat="1" x14ac:dyDescent="0.3">
      <c r="A504" s="36" t="str">
        <f xml:space="preserve"> IF( 'From SvanPC++'!A494= "", "", ('From SvanPC++'!A494))</f>
        <v/>
      </c>
      <c r="B504" s="36"/>
      <c r="C504" s="36"/>
      <c r="D504" s="36"/>
      <c r="E504" s="47"/>
      <c r="F504" s="19"/>
      <c r="I504" s="36"/>
      <c r="S504" s="36"/>
      <c r="T504" s="36"/>
    </row>
    <row r="505" spans="1:20" s="38" customFormat="1" x14ac:dyDescent="0.3">
      <c r="A505" s="36" t="str">
        <f xml:space="preserve"> IF( 'From SvanPC++'!A495= "", "", ('From SvanPC++'!A495))</f>
        <v/>
      </c>
      <c r="B505" s="36"/>
      <c r="C505" s="36"/>
      <c r="D505" s="36"/>
      <c r="E505" s="47"/>
      <c r="F505" s="19"/>
      <c r="I505" s="36"/>
      <c r="S505" s="36"/>
      <c r="T505" s="36"/>
    </row>
    <row r="506" spans="1:20" s="38" customFormat="1" x14ac:dyDescent="0.3">
      <c r="A506" s="36" t="str">
        <f xml:space="preserve"> IF( 'From SvanPC++'!A496= "", "", ('From SvanPC++'!A496))</f>
        <v/>
      </c>
      <c r="B506" s="36"/>
      <c r="C506" s="36"/>
      <c r="D506" s="36"/>
      <c r="E506" s="47"/>
      <c r="F506" s="19"/>
      <c r="I506" s="36"/>
      <c r="S506" s="36"/>
      <c r="T506" s="36"/>
    </row>
    <row r="507" spans="1:20" s="38" customFormat="1" x14ac:dyDescent="0.3">
      <c r="A507" s="36" t="str">
        <f xml:space="preserve"> IF( 'From SvanPC++'!A497= "", "", ('From SvanPC++'!A497))</f>
        <v/>
      </c>
      <c r="B507" s="36"/>
      <c r="C507" s="36"/>
      <c r="D507" s="36"/>
      <c r="E507" s="47"/>
      <c r="F507" s="19"/>
      <c r="I507" s="36"/>
      <c r="S507" s="36"/>
      <c r="T507" s="36"/>
    </row>
    <row r="508" spans="1:20" s="38" customFormat="1" x14ac:dyDescent="0.3">
      <c r="A508" s="36" t="str">
        <f xml:space="preserve"> IF( 'From SvanPC++'!A498= "", "", ('From SvanPC++'!A498))</f>
        <v/>
      </c>
      <c r="B508" s="36"/>
      <c r="C508" s="36"/>
      <c r="D508" s="36"/>
      <c r="E508" s="47"/>
      <c r="F508" s="19"/>
      <c r="I508" s="36"/>
      <c r="S508" s="36"/>
      <c r="T508" s="36"/>
    </row>
    <row r="509" spans="1:20" s="38" customFormat="1" x14ac:dyDescent="0.3">
      <c r="A509" s="36" t="str">
        <f xml:space="preserve"> IF( 'From SvanPC++'!A499= "", "", ('From SvanPC++'!A499))</f>
        <v/>
      </c>
      <c r="B509" s="36"/>
      <c r="C509" s="36"/>
      <c r="D509" s="36"/>
      <c r="E509" s="47"/>
      <c r="F509" s="19"/>
      <c r="I509" s="36"/>
      <c r="S509" s="36"/>
      <c r="T509" s="36"/>
    </row>
    <row r="510" spans="1:20" s="38" customFormat="1" x14ac:dyDescent="0.3">
      <c r="A510" s="36" t="str">
        <f xml:space="preserve"> IF( 'From SvanPC++'!A500= "", "", ('From SvanPC++'!A500))</f>
        <v/>
      </c>
      <c r="B510" s="36"/>
      <c r="C510" s="36"/>
      <c r="D510" s="36"/>
      <c r="E510" s="47"/>
      <c r="F510" s="19"/>
      <c r="I510" s="36"/>
      <c r="S510" s="36"/>
      <c r="T510" s="36"/>
    </row>
    <row r="511" spans="1:20" s="38" customFormat="1" x14ac:dyDescent="0.3">
      <c r="A511" s="36" t="str">
        <f xml:space="preserve"> IF( 'From SvanPC++'!A501= "", "", ('From SvanPC++'!A501))</f>
        <v/>
      </c>
      <c r="B511" s="36"/>
      <c r="C511" s="36"/>
      <c r="D511" s="36"/>
      <c r="E511" s="47"/>
      <c r="F511" s="19"/>
      <c r="I511" s="36"/>
      <c r="S511" s="36"/>
      <c r="T511" s="36"/>
    </row>
    <row r="512" spans="1:20" s="38" customFormat="1" x14ac:dyDescent="0.3">
      <c r="A512" s="36" t="str">
        <f xml:space="preserve"> IF( 'From SvanPC++'!A502= "", "", ('From SvanPC++'!A502))</f>
        <v/>
      </c>
      <c r="B512" s="36"/>
      <c r="C512" s="36"/>
      <c r="D512" s="36"/>
      <c r="E512" s="47"/>
      <c r="F512" s="19"/>
      <c r="I512" s="36"/>
      <c r="S512" s="36"/>
      <c r="T512" s="36"/>
    </row>
    <row r="513" spans="1:20" s="38" customFormat="1" x14ac:dyDescent="0.3">
      <c r="A513" s="36" t="str">
        <f xml:space="preserve"> IF( 'From SvanPC++'!A503= "", "", ('From SvanPC++'!A503))</f>
        <v/>
      </c>
      <c r="B513" s="36"/>
      <c r="C513" s="36"/>
      <c r="D513" s="36"/>
      <c r="E513" s="47"/>
      <c r="F513" s="19"/>
      <c r="I513" s="36"/>
      <c r="S513" s="36"/>
      <c r="T513" s="36"/>
    </row>
    <row r="514" spans="1:20" s="38" customFormat="1" x14ac:dyDescent="0.3">
      <c r="A514" s="36" t="str">
        <f xml:space="preserve"> IF( 'From SvanPC++'!A504= "", "", ('From SvanPC++'!A504))</f>
        <v/>
      </c>
      <c r="B514" s="36"/>
      <c r="C514" s="36"/>
      <c r="D514" s="36"/>
      <c r="E514" s="47"/>
      <c r="F514" s="19"/>
      <c r="I514" s="36"/>
      <c r="S514" s="36"/>
      <c r="T514" s="36"/>
    </row>
    <row r="515" spans="1:20" s="38" customFormat="1" x14ac:dyDescent="0.3">
      <c r="A515" s="36" t="str">
        <f xml:space="preserve"> IF( 'From SvanPC++'!A505= "", "", ('From SvanPC++'!A505))</f>
        <v/>
      </c>
      <c r="B515" s="36"/>
      <c r="C515" s="36"/>
      <c r="D515" s="36"/>
      <c r="E515" s="47"/>
      <c r="F515" s="19"/>
      <c r="I515" s="36"/>
      <c r="S515" s="36"/>
      <c r="T515" s="36"/>
    </row>
    <row r="516" spans="1:20" s="38" customFormat="1" x14ac:dyDescent="0.3">
      <c r="A516" s="36" t="str">
        <f xml:space="preserve"> IF( 'From SvanPC++'!A506= "", "", ('From SvanPC++'!A506))</f>
        <v/>
      </c>
      <c r="B516" s="36"/>
      <c r="C516" s="36"/>
      <c r="D516" s="36"/>
      <c r="E516" s="47"/>
      <c r="F516" s="19"/>
      <c r="I516" s="36"/>
      <c r="S516" s="36"/>
      <c r="T516" s="36"/>
    </row>
    <row r="517" spans="1:20" s="38" customFormat="1" x14ac:dyDescent="0.3">
      <c r="A517" s="36" t="str">
        <f xml:space="preserve"> IF( 'From SvanPC++'!A507= "", "", ('From SvanPC++'!A507))</f>
        <v/>
      </c>
      <c r="B517" s="36"/>
      <c r="C517" s="36"/>
      <c r="D517" s="36"/>
      <c r="E517" s="47"/>
      <c r="F517" s="19"/>
      <c r="I517" s="36"/>
      <c r="S517" s="36"/>
      <c r="T517" s="36"/>
    </row>
    <row r="518" spans="1:20" s="38" customFormat="1" x14ac:dyDescent="0.3">
      <c r="A518" s="36" t="str">
        <f xml:space="preserve"> IF( 'From SvanPC++'!A508= "", "", ('From SvanPC++'!A508))</f>
        <v/>
      </c>
      <c r="B518" s="36"/>
      <c r="C518" s="36"/>
      <c r="D518" s="36"/>
      <c r="E518" s="47"/>
      <c r="F518" s="19"/>
      <c r="I518" s="36"/>
      <c r="S518" s="36"/>
      <c r="T518" s="36"/>
    </row>
    <row r="519" spans="1:20" s="38" customFormat="1" x14ac:dyDescent="0.3">
      <c r="A519" s="36" t="str">
        <f xml:space="preserve"> IF( 'From SvanPC++'!A509= "", "", ('From SvanPC++'!A509))</f>
        <v/>
      </c>
      <c r="B519" s="36"/>
      <c r="C519" s="36"/>
      <c r="D519" s="36"/>
      <c r="E519" s="47"/>
      <c r="F519" s="19"/>
      <c r="I519" s="36"/>
      <c r="S519" s="36"/>
      <c r="T519" s="36"/>
    </row>
    <row r="520" spans="1:20" s="38" customFormat="1" x14ac:dyDescent="0.3">
      <c r="A520" s="36" t="str">
        <f xml:space="preserve"> IF( 'From SvanPC++'!A510= "", "", ('From SvanPC++'!A510))</f>
        <v/>
      </c>
      <c r="B520" s="36"/>
      <c r="C520" s="36"/>
      <c r="D520" s="36"/>
      <c r="E520" s="47"/>
      <c r="F520" s="19"/>
      <c r="I520" s="36"/>
      <c r="S520" s="36"/>
      <c r="T520" s="36"/>
    </row>
    <row r="521" spans="1:20" s="38" customFormat="1" x14ac:dyDescent="0.3">
      <c r="A521" s="36" t="str">
        <f xml:space="preserve"> IF( 'From SvanPC++'!A511= "", "", ('From SvanPC++'!A511))</f>
        <v/>
      </c>
      <c r="B521" s="36"/>
      <c r="C521" s="36"/>
      <c r="D521" s="36"/>
      <c r="E521" s="47"/>
      <c r="F521" s="19"/>
      <c r="I521" s="36"/>
      <c r="S521" s="36"/>
      <c r="T521" s="36"/>
    </row>
    <row r="522" spans="1:20" s="38" customFormat="1" x14ac:dyDescent="0.3">
      <c r="A522" s="36" t="str">
        <f xml:space="preserve"> IF( 'From SvanPC++'!A512= "", "", ('From SvanPC++'!A512))</f>
        <v/>
      </c>
      <c r="B522" s="36"/>
      <c r="C522" s="36"/>
      <c r="D522" s="36"/>
      <c r="E522" s="47"/>
      <c r="F522" s="19"/>
      <c r="I522" s="36"/>
      <c r="S522" s="36"/>
      <c r="T522" s="36"/>
    </row>
    <row r="523" spans="1:20" s="38" customFormat="1" x14ac:dyDescent="0.3">
      <c r="A523" s="36" t="str">
        <f xml:space="preserve"> IF( 'From SvanPC++'!A513= "", "", ('From SvanPC++'!A513))</f>
        <v/>
      </c>
      <c r="B523" s="36"/>
      <c r="C523" s="36"/>
      <c r="D523" s="36"/>
      <c r="E523" s="47"/>
      <c r="F523" s="19"/>
      <c r="I523" s="36"/>
      <c r="S523" s="36"/>
      <c r="T523" s="36"/>
    </row>
    <row r="524" spans="1:20" s="38" customFormat="1" x14ac:dyDescent="0.3">
      <c r="A524" s="36" t="str">
        <f xml:space="preserve"> IF( 'From SvanPC++'!A514= "", "", ('From SvanPC++'!A514))</f>
        <v/>
      </c>
      <c r="B524" s="36"/>
      <c r="C524" s="36"/>
      <c r="D524" s="36"/>
      <c r="E524" s="47"/>
      <c r="F524" s="19"/>
      <c r="I524" s="36"/>
      <c r="S524" s="36"/>
      <c r="T524" s="36"/>
    </row>
    <row r="525" spans="1:20" s="38" customFormat="1" x14ac:dyDescent="0.3">
      <c r="A525" s="36" t="str">
        <f xml:space="preserve"> IF( 'From SvanPC++'!A515= "", "", ('From SvanPC++'!A515))</f>
        <v/>
      </c>
      <c r="B525" s="36"/>
      <c r="C525" s="36"/>
      <c r="D525" s="36"/>
      <c r="E525" s="47"/>
      <c r="F525" s="19"/>
      <c r="I525" s="36"/>
      <c r="S525" s="36"/>
      <c r="T525" s="36"/>
    </row>
    <row r="526" spans="1:20" s="38" customFormat="1" x14ac:dyDescent="0.3">
      <c r="A526" s="36" t="str">
        <f xml:space="preserve"> IF( 'From SvanPC++'!A516= "", "", ('From SvanPC++'!A516))</f>
        <v/>
      </c>
      <c r="B526" s="36"/>
      <c r="C526" s="36"/>
      <c r="D526" s="36"/>
      <c r="E526" s="47"/>
      <c r="F526" s="19"/>
      <c r="I526" s="36"/>
      <c r="S526" s="36"/>
      <c r="T526" s="36"/>
    </row>
    <row r="527" spans="1:20" s="38" customFormat="1" x14ac:dyDescent="0.3">
      <c r="A527" s="36" t="str">
        <f xml:space="preserve"> IF( 'From SvanPC++'!A517= "", "", ('From SvanPC++'!A517))</f>
        <v/>
      </c>
      <c r="B527" s="36"/>
      <c r="C527" s="36"/>
      <c r="D527" s="36"/>
      <c r="E527" s="47"/>
      <c r="F527" s="19"/>
      <c r="I527" s="36"/>
      <c r="S527" s="36"/>
      <c r="T527" s="36"/>
    </row>
    <row r="528" spans="1:20" s="38" customFormat="1" x14ac:dyDescent="0.3">
      <c r="A528" s="36" t="str">
        <f xml:space="preserve"> IF( 'From SvanPC++'!A518= "", "", ('From SvanPC++'!A518))</f>
        <v/>
      </c>
      <c r="B528" s="36"/>
      <c r="C528" s="36"/>
      <c r="D528" s="36"/>
      <c r="E528" s="47"/>
      <c r="F528" s="19"/>
      <c r="I528" s="36"/>
      <c r="S528" s="36"/>
      <c r="T528" s="36"/>
    </row>
    <row r="529" spans="1:20" s="38" customFormat="1" x14ac:dyDescent="0.3">
      <c r="A529" s="36" t="str">
        <f xml:space="preserve"> IF( 'From SvanPC++'!A519= "", "", ('From SvanPC++'!A519))</f>
        <v/>
      </c>
      <c r="B529" s="36"/>
      <c r="C529" s="36"/>
      <c r="D529" s="36"/>
      <c r="E529" s="47"/>
      <c r="F529" s="19"/>
      <c r="I529" s="36"/>
      <c r="S529" s="36"/>
      <c r="T529" s="36"/>
    </row>
    <row r="530" spans="1:20" s="38" customFormat="1" x14ac:dyDescent="0.3">
      <c r="A530" s="36" t="str">
        <f xml:space="preserve"> IF( 'From SvanPC++'!A520= "", "", ('From SvanPC++'!A520))</f>
        <v/>
      </c>
      <c r="B530" s="36"/>
      <c r="C530" s="36"/>
      <c r="D530" s="36"/>
      <c r="E530" s="47"/>
      <c r="F530" s="19"/>
      <c r="I530" s="36"/>
      <c r="S530" s="36"/>
      <c r="T530" s="36"/>
    </row>
    <row r="531" spans="1:20" s="38" customFormat="1" x14ac:dyDescent="0.3">
      <c r="A531" s="36" t="str">
        <f xml:space="preserve"> IF( 'From SvanPC++'!A521= "", "", ('From SvanPC++'!A521))</f>
        <v/>
      </c>
      <c r="B531" s="36"/>
      <c r="C531" s="36"/>
      <c r="D531" s="36"/>
      <c r="E531" s="47"/>
      <c r="F531" s="19"/>
      <c r="I531" s="36"/>
      <c r="S531" s="36"/>
      <c r="T531" s="36"/>
    </row>
    <row r="532" spans="1:20" s="38" customFormat="1" x14ac:dyDescent="0.3">
      <c r="A532" s="36" t="str">
        <f xml:space="preserve"> IF( 'From SvanPC++'!A522= "", "", ('From SvanPC++'!A522))</f>
        <v/>
      </c>
      <c r="B532" s="36"/>
      <c r="C532" s="36"/>
      <c r="D532" s="36"/>
      <c r="E532" s="47"/>
      <c r="F532" s="19"/>
      <c r="I532" s="36"/>
      <c r="S532" s="36"/>
      <c r="T532" s="36"/>
    </row>
    <row r="533" spans="1:20" s="38" customFormat="1" x14ac:dyDescent="0.3">
      <c r="A533" s="36" t="str">
        <f xml:space="preserve"> IF( 'From SvanPC++'!A523= "", "", ('From SvanPC++'!A523))</f>
        <v/>
      </c>
      <c r="B533" s="36"/>
      <c r="C533" s="36"/>
      <c r="D533" s="36"/>
      <c r="E533" s="47"/>
      <c r="F533" s="19"/>
      <c r="I533" s="36"/>
      <c r="S533" s="36"/>
      <c r="T533" s="36"/>
    </row>
    <row r="534" spans="1:20" s="38" customFormat="1" x14ac:dyDescent="0.3">
      <c r="A534" s="36" t="str">
        <f xml:space="preserve"> IF( 'From SvanPC++'!A524= "", "", ('From SvanPC++'!A524))</f>
        <v/>
      </c>
      <c r="B534" s="36"/>
      <c r="C534" s="36"/>
      <c r="D534" s="36"/>
      <c r="E534" s="47"/>
      <c r="F534" s="19"/>
      <c r="I534" s="36"/>
      <c r="S534" s="36"/>
      <c r="T534" s="36"/>
    </row>
    <row r="535" spans="1:20" s="38" customFormat="1" x14ac:dyDescent="0.3">
      <c r="A535" s="36" t="str">
        <f xml:space="preserve"> IF( 'From SvanPC++'!A525= "", "", ('From SvanPC++'!A525))</f>
        <v/>
      </c>
      <c r="B535" s="36"/>
      <c r="C535" s="36"/>
      <c r="D535" s="36"/>
      <c r="E535" s="47"/>
      <c r="F535" s="19"/>
      <c r="I535" s="36"/>
      <c r="S535" s="36"/>
      <c r="T535" s="36"/>
    </row>
    <row r="536" spans="1:20" s="38" customFormat="1" x14ac:dyDescent="0.3">
      <c r="A536" s="36" t="str">
        <f xml:space="preserve"> IF( 'From SvanPC++'!A526= "", "", ('From SvanPC++'!A526))</f>
        <v/>
      </c>
      <c r="B536" s="36"/>
      <c r="C536" s="36"/>
      <c r="D536" s="36"/>
      <c r="E536" s="47"/>
      <c r="F536" s="19"/>
      <c r="I536" s="36"/>
      <c r="S536" s="36"/>
      <c r="T536" s="36"/>
    </row>
    <row r="537" spans="1:20" s="38" customFormat="1" x14ac:dyDescent="0.3">
      <c r="A537" s="36" t="str">
        <f xml:space="preserve"> IF( 'From SvanPC++'!A527= "", "", ('From SvanPC++'!A527))</f>
        <v/>
      </c>
      <c r="B537" s="36"/>
      <c r="C537" s="36"/>
      <c r="D537" s="36"/>
      <c r="E537" s="47"/>
      <c r="F537" s="19"/>
      <c r="I537" s="36"/>
      <c r="S537" s="36"/>
      <c r="T537" s="36"/>
    </row>
    <row r="538" spans="1:20" s="38" customFormat="1" x14ac:dyDescent="0.3">
      <c r="A538" s="36" t="str">
        <f xml:space="preserve"> IF( 'From SvanPC++'!A528= "", "", ('From SvanPC++'!A528))</f>
        <v/>
      </c>
      <c r="B538" s="36"/>
      <c r="C538" s="36"/>
      <c r="D538" s="36"/>
      <c r="E538" s="47"/>
      <c r="F538" s="19"/>
      <c r="I538" s="36"/>
      <c r="S538" s="36"/>
      <c r="T538" s="36"/>
    </row>
    <row r="539" spans="1:20" s="38" customFormat="1" x14ac:dyDescent="0.3">
      <c r="A539" s="36" t="str">
        <f xml:space="preserve"> IF( 'From SvanPC++'!A529= "", "", ('From SvanPC++'!A529))</f>
        <v/>
      </c>
      <c r="B539" s="36"/>
      <c r="C539" s="36"/>
      <c r="D539" s="36"/>
      <c r="E539" s="47"/>
      <c r="F539" s="19"/>
      <c r="I539" s="36"/>
      <c r="S539" s="36"/>
      <c r="T539" s="36"/>
    </row>
    <row r="540" spans="1:20" s="38" customFormat="1" x14ac:dyDescent="0.3">
      <c r="A540" s="36" t="str">
        <f xml:space="preserve"> IF( 'From SvanPC++'!A530= "", "", ('From SvanPC++'!A530))</f>
        <v/>
      </c>
      <c r="B540" s="36"/>
      <c r="C540" s="36"/>
      <c r="D540" s="36"/>
      <c r="E540" s="47"/>
      <c r="F540" s="19"/>
      <c r="I540" s="36"/>
      <c r="S540" s="36"/>
      <c r="T540" s="36"/>
    </row>
    <row r="541" spans="1:20" s="38" customFormat="1" x14ac:dyDescent="0.3">
      <c r="A541" s="36" t="str">
        <f xml:space="preserve"> IF( 'From SvanPC++'!A531= "", "", ('From SvanPC++'!A531))</f>
        <v/>
      </c>
      <c r="B541" s="36"/>
      <c r="C541" s="36"/>
      <c r="D541" s="36"/>
      <c r="E541" s="47"/>
      <c r="F541" s="19"/>
      <c r="I541" s="36"/>
      <c r="S541" s="36"/>
      <c r="T541" s="36"/>
    </row>
    <row r="542" spans="1:20" s="38" customFormat="1" x14ac:dyDescent="0.3">
      <c r="A542" s="36" t="str">
        <f xml:space="preserve"> IF( 'From SvanPC++'!A532= "", "", ('From SvanPC++'!A532))</f>
        <v/>
      </c>
      <c r="B542" s="36"/>
      <c r="C542" s="36"/>
      <c r="D542" s="36"/>
      <c r="E542" s="47"/>
      <c r="F542" s="19"/>
      <c r="I542" s="36"/>
      <c r="S542" s="36"/>
      <c r="T542" s="36"/>
    </row>
    <row r="543" spans="1:20" s="38" customFormat="1" x14ac:dyDescent="0.3">
      <c r="A543" s="36" t="str">
        <f xml:space="preserve"> IF( 'From SvanPC++'!A533= "", "", ('From SvanPC++'!A533))</f>
        <v/>
      </c>
      <c r="B543" s="36"/>
      <c r="C543" s="36"/>
      <c r="D543" s="36"/>
      <c r="E543" s="47"/>
      <c r="F543" s="19"/>
      <c r="I543" s="36"/>
      <c r="S543" s="36"/>
      <c r="T543" s="36"/>
    </row>
    <row r="544" spans="1:20" s="38" customFormat="1" x14ac:dyDescent="0.3">
      <c r="A544" s="36" t="str">
        <f xml:space="preserve"> IF( 'From SvanPC++'!A534= "", "", ('From SvanPC++'!A534))</f>
        <v/>
      </c>
      <c r="B544" s="36"/>
      <c r="C544" s="36"/>
      <c r="D544" s="36"/>
      <c r="E544" s="47"/>
      <c r="F544" s="19"/>
      <c r="I544" s="36"/>
      <c r="S544" s="36"/>
      <c r="T544" s="36"/>
    </row>
    <row r="545" spans="1:20" s="38" customFormat="1" x14ac:dyDescent="0.3">
      <c r="A545" s="36" t="str">
        <f xml:space="preserve"> IF( 'From SvanPC++'!A535= "", "", ('From SvanPC++'!A535))</f>
        <v/>
      </c>
      <c r="B545" s="36"/>
      <c r="C545" s="36"/>
      <c r="D545" s="36"/>
      <c r="E545" s="47"/>
      <c r="F545" s="19"/>
      <c r="I545" s="36"/>
      <c r="S545" s="36"/>
      <c r="T545" s="36"/>
    </row>
    <row r="546" spans="1:20" s="38" customFormat="1" x14ac:dyDescent="0.3">
      <c r="A546" s="36" t="str">
        <f xml:space="preserve"> IF( 'From SvanPC++'!A536= "", "", ('From SvanPC++'!A536))</f>
        <v/>
      </c>
      <c r="B546" s="36"/>
      <c r="C546" s="36"/>
      <c r="D546" s="36"/>
      <c r="E546" s="47"/>
      <c r="F546" s="19"/>
      <c r="I546" s="36"/>
      <c r="S546" s="36"/>
      <c r="T546" s="36"/>
    </row>
    <row r="547" spans="1:20" s="38" customFormat="1" x14ac:dyDescent="0.3">
      <c r="A547" s="36" t="str">
        <f xml:space="preserve"> IF( 'From SvanPC++'!A537= "", "", ('From SvanPC++'!A537))</f>
        <v/>
      </c>
      <c r="B547" s="36"/>
      <c r="C547" s="36"/>
      <c r="D547" s="36"/>
      <c r="E547" s="47"/>
      <c r="F547" s="19"/>
      <c r="I547" s="36"/>
      <c r="S547" s="36"/>
      <c r="T547" s="36"/>
    </row>
    <row r="548" spans="1:20" s="38" customFormat="1" x14ac:dyDescent="0.3">
      <c r="A548" s="36" t="str">
        <f xml:space="preserve"> IF( 'From SvanPC++'!A538= "", "", ('From SvanPC++'!A538))</f>
        <v/>
      </c>
      <c r="B548" s="36"/>
      <c r="C548" s="36"/>
      <c r="D548" s="36"/>
      <c r="E548" s="47"/>
      <c r="F548" s="19"/>
      <c r="I548" s="36"/>
      <c r="S548" s="36"/>
      <c r="T548" s="36"/>
    </row>
    <row r="549" spans="1:20" s="38" customFormat="1" x14ac:dyDescent="0.3">
      <c r="A549" s="36" t="str">
        <f xml:space="preserve"> IF( 'From SvanPC++'!A539= "", "", ('From SvanPC++'!A539))</f>
        <v/>
      </c>
      <c r="B549" s="36"/>
      <c r="C549" s="36"/>
      <c r="D549" s="36"/>
      <c r="E549" s="47"/>
      <c r="F549" s="19"/>
      <c r="I549" s="36"/>
      <c r="S549" s="36"/>
      <c r="T549" s="36"/>
    </row>
    <row r="550" spans="1:20" s="38" customFormat="1" x14ac:dyDescent="0.3">
      <c r="A550" s="36" t="str">
        <f xml:space="preserve"> IF( 'From SvanPC++'!A540= "", "", ('From SvanPC++'!A540))</f>
        <v/>
      </c>
      <c r="B550" s="36"/>
      <c r="C550" s="36"/>
      <c r="D550" s="36"/>
      <c r="E550" s="47"/>
      <c r="F550" s="19"/>
      <c r="I550" s="36"/>
      <c r="S550" s="36"/>
      <c r="T550" s="36"/>
    </row>
    <row r="551" spans="1:20" s="38" customFormat="1" x14ac:dyDescent="0.3">
      <c r="A551" s="36" t="str">
        <f xml:space="preserve"> IF( 'From SvanPC++'!A541= "", "", ('From SvanPC++'!A541))</f>
        <v/>
      </c>
      <c r="B551" s="36"/>
      <c r="C551" s="36"/>
      <c r="D551" s="36"/>
      <c r="E551" s="47"/>
      <c r="F551" s="19"/>
      <c r="I551" s="36"/>
      <c r="S551" s="36"/>
      <c r="T551" s="36"/>
    </row>
    <row r="552" spans="1:20" s="38" customFormat="1" x14ac:dyDescent="0.3">
      <c r="A552" s="36" t="str">
        <f xml:space="preserve"> IF( 'From SvanPC++'!A542= "", "", ('From SvanPC++'!A542))</f>
        <v/>
      </c>
      <c r="B552" s="36"/>
      <c r="C552" s="36"/>
      <c r="D552" s="36"/>
      <c r="E552" s="47"/>
      <c r="F552" s="19"/>
      <c r="I552" s="36"/>
      <c r="S552" s="36"/>
      <c r="T552" s="36"/>
    </row>
    <row r="553" spans="1:20" s="38" customFormat="1" x14ac:dyDescent="0.3">
      <c r="A553" s="36" t="str">
        <f xml:space="preserve"> IF( 'From SvanPC++'!A543= "", "", ('From SvanPC++'!A543))</f>
        <v/>
      </c>
      <c r="B553" s="36"/>
      <c r="C553" s="36"/>
      <c r="D553" s="36"/>
      <c r="E553" s="47"/>
      <c r="F553" s="19"/>
      <c r="I553" s="36"/>
      <c r="S553" s="36"/>
      <c r="T553" s="36"/>
    </row>
    <row r="554" spans="1:20" s="38" customFormat="1" x14ac:dyDescent="0.3">
      <c r="A554" s="36" t="str">
        <f xml:space="preserve"> IF( 'From SvanPC++'!A544= "", "", ('From SvanPC++'!A544))</f>
        <v/>
      </c>
      <c r="B554" s="36"/>
      <c r="C554" s="36"/>
      <c r="D554" s="36"/>
      <c r="E554" s="47"/>
      <c r="F554" s="19"/>
      <c r="I554" s="36"/>
      <c r="S554" s="36"/>
      <c r="T554" s="36"/>
    </row>
    <row r="555" spans="1:20" s="38" customFormat="1" x14ac:dyDescent="0.3">
      <c r="A555" s="36" t="str">
        <f xml:space="preserve"> IF( 'From SvanPC++'!A545= "", "", ('From SvanPC++'!A545))</f>
        <v/>
      </c>
      <c r="B555" s="36"/>
      <c r="C555" s="36"/>
      <c r="D555" s="36"/>
      <c r="E555" s="47"/>
      <c r="F555" s="19"/>
      <c r="I555" s="36"/>
      <c r="S555" s="36"/>
      <c r="T555" s="36"/>
    </row>
    <row r="556" spans="1:20" s="38" customFormat="1" x14ac:dyDescent="0.3">
      <c r="A556" s="36" t="str">
        <f xml:space="preserve"> IF( 'From SvanPC++'!A546= "", "", ('From SvanPC++'!A546))</f>
        <v/>
      </c>
      <c r="B556" s="36"/>
      <c r="C556" s="36"/>
      <c r="D556" s="36"/>
      <c r="E556" s="47"/>
      <c r="F556" s="19"/>
      <c r="I556" s="36"/>
      <c r="S556" s="36"/>
      <c r="T556" s="36"/>
    </row>
    <row r="557" spans="1:20" s="38" customFormat="1" x14ac:dyDescent="0.3">
      <c r="A557" s="36" t="str">
        <f xml:space="preserve"> IF( 'From SvanPC++'!A547= "", "", ('From SvanPC++'!A547))</f>
        <v/>
      </c>
      <c r="B557" s="36"/>
      <c r="C557" s="36"/>
      <c r="D557" s="36"/>
      <c r="E557" s="47"/>
      <c r="F557" s="19"/>
      <c r="I557" s="36"/>
      <c r="S557" s="36"/>
      <c r="T557" s="36"/>
    </row>
    <row r="558" spans="1:20" s="38" customFormat="1" x14ac:dyDescent="0.3">
      <c r="A558" s="36" t="str">
        <f xml:space="preserve"> IF( 'From SvanPC++'!A548= "", "", ('From SvanPC++'!A548))</f>
        <v/>
      </c>
      <c r="B558" s="36"/>
      <c r="C558" s="36"/>
      <c r="D558" s="36"/>
      <c r="E558" s="47"/>
      <c r="F558" s="19"/>
      <c r="I558" s="36"/>
      <c r="S558" s="36"/>
      <c r="T558" s="36"/>
    </row>
    <row r="559" spans="1:20" s="38" customFormat="1" x14ac:dyDescent="0.3">
      <c r="A559" s="36" t="str">
        <f xml:space="preserve"> IF( 'From SvanPC++'!A549= "", "", ('From SvanPC++'!A549))</f>
        <v/>
      </c>
      <c r="B559" s="36"/>
      <c r="C559" s="36"/>
      <c r="D559" s="36"/>
      <c r="E559" s="47"/>
      <c r="F559" s="19"/>
      <c r="I559" s="36"/>
      <c r="S559" s="36"/>
      <c r="T559" s="36"/>
    </row>
    <row r="560" spans="1:20" s="38" customFormat="1" x14ac:dyDescent="0.3">
      <c r="A560" s="36" t="str">
        <f xml:space="preserve"> IF( 'From SvanPC++'!A550= "", "", ('From SvanPC++'!A550))</f>
        <v/>
      </c>
      <c r="B560" s="36"/>
      <c r="C560" s="36"/>
      <c r="D560" s="36"/>
      <c r="E560" s="47"/>
      <c r="F560" s="19"/>
      <c r="I560" s="36"/>
      <c r="S560" s="36"/>
      <c r="T560" s="36"/>
    </row>
    <row r="561" spans="1:20" s="38" customFormat="1" x14ac:dyDescent="0.3">
      <c r="A561" s="36" t="str">
        <f xml:space="preserve"> IF( 'From SvanPC++'!A551= "", "", ('From SvanPC++'!A551))</f>
        <v/>
      </c>
      <c r="B561" s="36"/>
      <c r="C561" s="36"/>
      <c r="D561" s="36"/>
      <c r="E561" s="47"/>
      <c r="F561" s="19"/>
      <c r="I561" s="36"/>
      <c r="S561" s="36"/>
      <c r="T561" s="36"/>
    </row>
    <row r="562" spans="1:20" s="38" customFormat="1" x14ac:dyDescent="0.3">
      <c r="A562" s="36" t="str">
        <f xml:space="preserve"> IF( 'From SvanPC++'!A552= "", "", ('From SvanPC++'!A552))</f>
        <v/>
      </c>
      <c r="B562" s="36"/>
      <c r="C562" s="36"/>
      <c r="D562" s="36"/>
      <c r="E562" s="47"/>
      <c r="F562" s="19"/>
      <c r="I562" s="36"/>
      <c r="S562" s="36"/>
      <c r="T562" s="36"/>
    </row>
    <row r="563" spans="1:20" s="38" customFormat="1" x14ac:dyDescent="0.3">
      <c r="A563" s="36" t="str">
        <f xml:space="preserve"> IF( 'From SvanPC++'!A553= "", "", ('From SvanPC++'!A553))</f>
        <v/>
      </c>
      <c r="B563" s="36"/>
      <c r="C563" s="36"/>
      <c r="D563" s="36"/>
      <c r="E563" s="47"/>
      <c r="F563" s="19"/>
      <c r="I563" s="36"/>
      <c r="S563" s="36"/>
      <c r="T563" s="36"/>
    </row>
    <row r="564" spans="1:20" s="38" customFormat="1" x14ac:dyDescent="0.3">
      <c r="A564" s="36" t="str">
        <f xml:space="preserve"> IF( 'From SvanPC++'!A554= "", "", ('From SvanPC++'!A554))</f>
        <v/>
      </c>
      <c r="B564" s="36"/>
      <c r="C564" s="36"/>
      <c r="D564" s="36"/>
      <c r="E564" s="47"/>
      <c r="F564" s="19"/>
      <c r="I564" s="36"/>
      <c r="S564" s="36"/>
      <c r="T564" s="36"/>
    </row>
    <row r="565" spans="1:20" s="38" customFormat="1" x14ac:dyDescent="0.3">
      <c r="A565" s="36" t="str">
        <f xml:space="preserve"> IF( 'From SvanPC++'!A555= "", "", ('From SvanPC++'!A555))</f>
        <v/>
      </c>
      <c r="B565" s="36"/>
      <c r="C565" s="36"/>
      <c r="D565" s="36"/>
      <c r="E565" s="47"/>
      <c r="F565" s="19"/>
      <c r="I565" s="36"/>
      <c r="S565" s="36"/>
      <c r="T565" s="36"/>
    </row>
    <row r="566" spans="1:20" s="38" customFormat="1" x14ac:dyDescent="0.3">
      <c r="A566" s="36" t="str">
        <f xml:space="preserve"> IF( 'From SvanPC++'!A556= "", "", ('From SvanPC++'!A556))</f>
        <v/>
      </c>
      <c r="B566" s="36"/>
      <c r="C566" s="36"/>
      <c r="D566" s="36"/>
      <c r="E566" s="47"/>
      <c r="F566" s="19"/>
      <c r="I566" s="36"/>
      <c r="S566" s="36"/>
      <c r="T566" s="36"/>
    </row>
    <row r="567" spans="1:20" s="38" customFormat="1" x14ac:dyDescent="0.3">
      <c r="A567" s="36" t="str">
        <f xml:space="preserve"> IF( 'From SvanPC++'!A557= "", "", ('From SvanPC++'!A557))</f>
        <v/>
      </c>
      <c r="B567" s="36"/>
      <c r="C567" s="36"/>
      <c r="D567" s="36"/>
      <c r="E567" s="47"/>
      <c r="F567" s="19"/>
      <c r="I567" s="36"/>
      <c r="S567" s="36"/>
      <c r="T567" s="36"/>
    </row>
    <row r="568" spans="1:20" s="38" customFormat="1" x14ac:dyDescent="0.3">
      <c r="A568" s="36" t="str">
        <f xml:space="preserve"> IF( 'From SvanPC++'!A558= "", "", ('From SvanPC++'!A558))</f>
        <v/>
      </c>
      <c r="B568" s="36"/>
      <c r="C568" s="36"/>
      <c r="D568" s="36"/>
      <c r="E568" s="47"/>
      <c r="F568" s="19"/>
      <c r="I568" s="36"/>
      <c r="S568" s="36"/>
      <c r="T568" s="36"/>
    </row>
    <row r="569" spans="1:20" s="38" customFormat="1" x14ac:dyDescent="0.3">
      <c r="A569" s="36" t="str">
        <f xml:space="preserve"> IF( 'From SvanPC++'!A559= "", "", ('From SvanPC++'!A559))</f>
        <v/>
      </c>
      <c r="B569" s="36"/>
      <c r="C569" s="36"/>
      <c r="D569" s="36"/>
      <c r="E569" s="47"/>
      <c r="F569" s="19"/>
      <c r="I569" s="36"/>
      <c r="S569" s="36"/>
      <c r="T569" s="36"/>
    </row>
    <row r="570" spans="1:20" s="38" customFormat="1" x14ac:dyDescent="0.3">
      <c r="A570" s="36" t="str">
        <f xml:space="preserve"> IF( 'From SvanPC++'!A560= "", "", ('From SvanPC++'!A560))</f>
        <v/>
      </c>
      <c r="B570" s="36"/>
      <c r="C570" s="36"/>
      <c r="D570" s="36"/>
      <c r="E570" s="47"/>
      <c r="F570" s="19"/>
      <c r="I570" s="36"/>
      <c r="S570" s="36"/>
      <c r="T570" s="36"/>
    </row>
    <row r="571" spans="1:20" s="38" customFormat="1" x14ac:dyDescent="0.3">
      <c r="A571" s="36" t="str">
        <f xml:space="preserve"> IF( 'From SvanPC++'!A561= "", "", ('From SvanPC++'!A561))</f>
        <v/>
      </c>
      <c r="B571" s="36"/>
      <c r="C571" s="36"/>
      <c r="D571" s="36"/>
      <c r="E571" s="47"/>
      <c r="F571" s="19"/>
      <c r="I571" s="36"/>
      <c r="S571" s="36"/>
      <c r="T571" s="36"/>
    </row>
    <row r="572" spans="1:20" s="38" customFormat="1" x14ac:dyDescent="0.3">
      <c r="A572" s="36" t="str">
        <f xml:space="preserve"> IF( 'From SvanPC++'!A562= "", "", ('From SvanPC++'!A562))</f>
        <v/>
      </c>
      <c r="B572" s="36"/>
      <c r="C572" s="36"/>
      <c r="D572" s="36"/>
      <c r="E572" s="47"/>
      <c r="F572" s="19"/>
      <c r="I572" s="36"/>
      <c r="S572" s="36"/>
      <c r="T572" s="36"/>
    </row>
    <row r="573" spans="1:20" s="38" customFormat="1" x14ac:dyDescent="0.3">
      <c r="A573" s="36" t="str">
        <f xml:space="preserve"> IF( 'From SvanPC++'!A563= "", "", ('From SvanPC++'!A563))</f>
        <v/>
      </c>
      <c r="B573" s="36"/>
      <c r="C573" s="36"/>
      <c r="D573" s="36"/>
      <c r="E573" s="47"/>
      <c r="F573" s="19"/>
      <c r="I573" s="36"/>
      <c r="S573" s="36"/>
      <c r="T573" s="36"/>
    </row>
    <row r="574" spans="1:20" s="38" customFormat="1" x14ac:dyDescent="0.3">
      <c r="A574" s="36" t="str">
        <f xml:space="preserve"> IF( 'From SvanPC++'!A564= "", "", ('From SvanPC++'!A564))</f>
        <v/>
      </c>
      <c r="B574" s="36"/>
      <c r="C574" s="36"/>
      <c r="D574" s="36"/>
      <c r="E574" s="47"/>
      <c r="F574" s="19"/>
      <c r="I574" s="36"/>
      <c r="S574" s="36"/>
      <c r="T574" s="36"/>
    </row>
    <row r="575" spans="1:20" s="38" customFormat="1" x14ac:dyDescent="0.3">
      <c r="A575" s="36" t="str">
        <f xml:space="preserve"> IF( 'From SvanPC++'!A565= "", "", ('From SvanPC++'!A565))</f>
        <v/>
      </c>
      <c r="B575" s="36"/>
      <c r="C575" s="36"/>
      <c r="D575" s="36"/>
      <c r="E575" s="47"/>
      <c r="F575" s="19"/>
      <c r="I575" s="36"/>
      <c r="S575" s="36"/>
      <c r="T575" s="36"/>
    </row>
    <row r="576" spans="1:20" s="38" customFormat="1" x14ac:dyDescent="0.3">
      <c r="A576" s="36" t="str">
        <f xml:space="preserve"> IF( 'From SvanPC++'!A566= "", "", ('From SvanPC++'!A566))</f>
        <v/>
      </c>
      <c r="B576" s="36"/>
      <c r="C576" s="36"/>
      <c r="D576" s="36"/>
      <c r="E576" s="47"/>
      <c r="F576" s="19"/>
      <c r="I576" s="36"/>
      <c r="S576" s="36"/>
      <c r="T576" s="36"/>
    </row>
    <row r="577" spans="1:20" s="38" customFormat="1" x14ac:dyDescent="0.3">
      <c r="A577" s="36" t="str">
        <f xml:space="preserve"> IF( 'From SvanPC++'!A567= "", "", ('From SvanPC++'!A567))</f>
        <v/>
      </c>
      <c r="B577" s="36"/>
      <c r="C577" s="36"/>
      <c r="D577" s="36"/>
      <c r="E577" s="47"/>
      <c r="F577" s="19"/>
      <c r="I577" s="36"/>
      <c r="S577" s="36"/>
      <c r="T577" s="36"/>
    </row>
    <row r="578" spans="1:20" s="38" customFormat="1" x14ac:dyDescent="0.3">
      <c r="A578" s="36" t="str">
        <f xml:space="preserve"> IF( 'From SvanPC++'!A568= "", "", ('From SvanPC++'!A568))</f>
        <v/>
      </c>
      <c r="B578" s="36"/>
      <c r="C578" s="36"/>
      <c r="D578" s="36"/>
      <c r="E578" s="47"/>
      <c r="F578" s="19"/>
      <c r="I578" s="36"/>
      <c r="S578" s="36"/>
      <c r="T578" s="36"/>
    </row>
    <row r="579" spans="1:20" s="38" customFormat="1" x14ac:dyDescent="0.3">
      <c r="A579" s="36" t="str">
        <f xml:space="preserve"> IF( 'From SvanPC++'!A569= "", "", ('From SvanPC++'!A569))</f>
        <v/>
      </c>
      <c r="B579" s="36"/>
      <c r="C579" s="36"/>
      <c r="D579" s="36"/>
      <c r="E579" s="47"/>
      <c r="F579" s="19"/>
      <c r="I579" s="36"/>
      <c r="S579" s="36"/>
      <c r="T579" s="36"/>
    </row>
    <row r="580" spans="1:20" s="38" customFormat="1" x14ac:dyDescent="0.3">
      <c r="A580" s="36" t="str">
        <f xml:space="preserve"> IF( 'From SvanPC++'!A570= "", "", ('From SvanPC++'!A570))</f>
        <v/>
      </c>
      <c r="B580" s="36"/>
      <c r="C580" s="36"/>
      <c r="D580" s="36"/>
      <c r="E580" s="47"/>
      <c r="F580" s="19"/>
      <c r="I580" s="36"/>
      <c r="S580" s="36"/>
      <c r="T580" s="36"/>
    </row>
    <row r="581" spans="1:20" s="38" customFormat="1" x14ac:dyDescent="0.3">
      <c r="A581" s="36" t="str">
        <f xml:space="preserve"> IF( 'From SvanPC++'!A571= "", "", ('From SvanPC++'!A571))</f>
        <v/>
      </c>
      <c r="B581" s="36"/>
      <c r="C581" s="36"/>
      <c r="D581" s="36"/>
      <c r="E581" s="47"/>
      <c r="F581" s="19"/>
      <c r="I581" s="36"/>
      <c r="S581" s="36"/>
      <c r="T581" s="36"/>
    </row>
    <row r="582" spans="1:20" s="38" customFormat="1" x14ac:dyDescent="0.3">
      <c r="A582" s="36" t="str">
        <f xml:space="preserve"> IF( 'From SvanPC++'!A572= "", "", ('From SvanPC++'!A572))</f>
        <v/>
      </c>
      <c r="B582" s="36"/>
      <c r="C582" s="36"/>
      <c r="D582" s="36"/>
      <c r="E582" s="47"/>
      <c r="F582" s="19"/>
      <c r="I582" s="36"/>
      <c r="S582" s="36"/>
      <c r="T582" s="36"/>
    </row>
    <row r="583" spans="1:20" s="38" customFormat="1" x14ac:dyDescent="0.3">
      <c r="A583" s="36" t="str">
        <f xml:space="preserve"> IF( 'From SvanPC++'!A573= "", "", ('From SvanPC++'!A573))</f>
        <v/>
      </c>
      <c r="B583" s="36"/>
      <c r="C583" s="36"/>
      <c r="D583" s="36"/>
      <c r="E583" s="47"/>
      <c r="F583" s="19"/>
      <c r="I583" s="36"/>
      <c r="S583" s="36"/>
      <c r="T583" s="36"/>
    </row>
    <row r="584" spans="1:20" s="38" customFormat="1" x14ac:dyDescent="0.3">
      <c r="A584" s="36" t="str">
        <f xml:space="preserve"> IF( 'From SvanPC++'!A574= "", "", ('From SvanPC++'!A574))</f>
        <v/>
      </c>
      <c r="B584" s="36"/>
      <c r="C584" s="36"/>
      <c r="D584" s="36"/>
      <c r="E584" s="47"/>
      <c r="F584" s="19"/>
      <c r="I584" s="36"/>
      <c r="S584" s="36"/>
      <c r="T584" s="36"/>
    </row>
    <row r="585" spans="1:20" s="38" customFormat="1" x14ac:dyDescent="0.3">
      <c r="A585" s="36" t="str">
        <f xml:space="preserve"> IF( 'From SvanPC++'!A575= "", "", ('From SvanPC++'!A575))</f>
        <v/>
      </c>
      <c r="B585" s="36"/>
      <c r="C585" s="36"/>
      <c r="D585" s="36"/>
      <c r="E585" s="47"/>
      <c r="F585" s="19"/>
      <c r="I585" s="36"/>
      <c r="S585" s="36"/>
      <c r="T585" s="36"/>
    </row>
    <row r="586" spans="1:20" s="38" customFormat="1" x14ac:dyDescent="0.3">
      <c r="A586" s="36" t="str">
        <f xml:space="preserve"> IF( 'From SvanPC++'!A576= "", "", ('From SvanPC++'!A576))</f>
        <v/>
      </c>
      <c r="B586" s="36"/>
      <c r="C586" s="36"/>
      <c r="D586" s="36"/>
      <c r="E586" s="47"/>
      <c r="F586" s="19"/>
      <c r="I586" s="36"/>
      <c r="S586" s="36"/>
      <c r="T586" s="36"/>
    </row>
    <row r="587" spans="1:20" s="38" customFormat="1" x14ac:dyDescent="0.3">
      <c r="A587" s="36" t="str">
        <f xml:space="preserve"> IF( 'From SvanPC++'!A577= "", "", ('From SvanPC++'!A577))</f>
        <v/>
      </c>
      <c r="B587" s="36"/>
      <c r="C587" s="36"/>
      <c r="D587" s="36"/>
      <c r="E587" s="47"/>
      <c r="F587" s="19"/>
      <c r="I587" s="36"/>
      <c r="S587" s="36"/>
      <c r="T587" s="36"/>
    </row>
    <row r="588" spans="1:20" s="38" customFormat="1" x14ac:dyDescent="0.3">
      <c r="A588" s="36" t="str">
        <f xml:space="preserve"> IF( 'From SvanPC++'!A578= "", "", ('From SvanPC++'!A578))</f>
        <v/>
      </c>
      <c r="B588" s="36"/>
      <c r="C588" s="36"/>
      <c r="D588" s="36"/>
      <c r="E588" s="47"/>
      <c r="F588" s="19"/>
      <c r="I588" s="36"/>
      <c r="S588" s="36"/>
      <c r="T588" s="36"/>
    </row>
    <row r="589" spans="1:20" s="38" customFormat="1" x14ac:dyDescent="0.3">
      <c r="A589" s="36" t="str">
        <f xml:space="preserve"> IF( 'From SvanPC++'!A579= "", "", ('From SvanPC++'!A579))</f>
        <v/>
      </c>
      <c r="B589" s="36"/>
      <c r="C589" s="36"/>
      <c r="D589" s="36"/>
      <c r="E589" s="47"/>
      <c r="F589" s="19"/>
      <c r="I589" s="36"/>
      <c r="S589" s="36"/>
      <c r="T589" s="36"/>
    </row>
    <row r="590" spans="1:20" s="38" customFormat="1" x14ac:dyDescent="0.3">
      <c r="A590" s="36" t="str">
        <f xml:space="preserve"> IF( 'From SvanPC++'!A580= "", "", ('From SvanPC++'!A580))</f>
        <v/>
      </c>
      <c r="B590" s="36"/>
      <c r="C590" s="36"/>
      <c r="D590" s="36"/>
      <c r="E590" s="47"/>
      <c r="F590" s="19"/>
      <c r="I590" s="36"/>
      <c r="S590" s="36"/>
      <c r="T590" s="36"/>
    </row>
    <row r="591" spans="1:20" s="38" customFormat="1" x14ac:dyDescent="0.3">
      <c r="A591" s="36" t="str">
        <f xml:space="preserve"> IF( 'From SvanPC++'!A581= "", "", ('From SvanPC++'!A581))</f>
        <v/>
      </c>
      <c r="B591" s="36"/>
      <c r="C591" s="36"/>
      <c r="D591" s="36"/>
      <c r="E591" s="47"/>
      <c r="F591" s="19"/>
      <c r="I591" s="36"/>
      <c r="S591" s="36"/>
      <c r="T591" s="36"/>
    </row>
    <row r="592" spans="1:20" s="38" customFormat="1" x14ac:dyDescent="0.3">
      <c r="A592" s="36" t="str">
        <f xml:space="preserve"> IF( 'From SvanPC++'!A582= "", "", ('From SvanPC++'!A582))</f>
        <v/>
      </c>
      <c r="B592" s="36"/>
      <c r="C592" s="36"/>
      <c r="D592" s="36"/>
      <c r="E592" s="47"/>
      <c r="F592" s="19"/>
      <c r="I592" s="36"/>
      <c r="S592" s="36"/>
      <c r="T592" s="36"/>
    </row>
    <row r="593" spans="1:20" s="38" customFormat="1" x14ac:dyDescent="0.3">
      <c r="A593" s="36" t="str">
        <f xml:space="preserve"> IF( 'From SvanPC++'!A583= "", "", ('From SvanPC++'!A583))</f>
        <v/>
      </c>
      <c r="B593" s="36"/>
      <c r="C593" s="36"/>
      <c r="D593" s="36"/>
      <c r="E593" s="47"/>
      <c r="F593" s="19"/>
      <c r="I593" s="36"/>
      <c r="S593" s="36"/>
      <c r="T593" s="36"/>
    </row>
    <row r="594" spans="1:20" s="38" customFormat="1" x14ac:dyDescent="0.3">
      <c r="A594" s="36" t="str">
        <f xml:space="preserve"> IF( 'From SvanPC++'!A584= "", "", ('From SvanPC++'!A584))</f>
        <v/>
      </c>
      <c r="B594" s="36"/>
      <c r="C594" s="36"/>
      <c r="D594" s="36"/>
      <c r="E594" s="47"/>
      <c r="F594" s="19"/>
      <c r="I594" s="36"/>
      <c r="S594" s="36"/>
      <c r="T594" s="36"/>
    </row>
    <row r="595" spans="1:20" s="38" customFormat="1" x14ac:dyDescent="0.3">
      <c r="A595" s="36" t="str">
        <f xml:space="preserve"> IF( 'From SvanPC++'!A585= "", "", ('From SvanPC++'!A585))</f>
        <v/>
      </c>
      <c r="B595" s="36"/>
      <c r="C595" s="36"/>
      <c r="D595" s="36"/>
      <c r="E595" s="47"/>
      <c r="F595" s="19"/>
      <c r="I595" s="36"/>
      <c r="S595" s="36"/>
      <c r="T595" s="36"/>
    </row>
    <row r="596" spans="1:20" s="38" customFormat="1" x14ac:dyDescent="0.3">
      <c r="A596" s="36" t="str">
        <f xml:space="preserve"> IF( 'From SvanPC++'!A586= "", "", ('From SvanPC++'!A586))</f>
        <v/>
      </c>
      <c r="B596" s="36"/>
      <c r="C596" s="36"/>
      <c r="D596" s="36"/>
      <c r="E596" s="47"/>
      <c r="F596" s="19"/>
      <c r="I596" s="36"/>
      <c r="S596" s="36"/>
      <c r="T596" s="36"/>
    </row>
    <row r="597" spans="1:20" s="38" customFormat="1" x14ac:dyDescent="0.3">
      <c r="A597" s="36" t="str">
        <f xml:space="preserve"> IF( 'From SvanPC++'!A587= "", "", ('From SvanPC++'!A587))</f>
        <v/>
      </c>
      <c r="B597" s="36"/>
      <c r="C597" s="36"/>
      <c r="D597" s="36"/>
      <c r="E597" s="47"/>
      <c r="F597" s="19"/>
      <c r="I597" s="36"/>
      <c r="S597" s="36"/>
      <c r="T597" s="36"/>
    </row>
    <row r="598" spans="1:20" s="38" customFormat="1" x14ac:dyDescent="0.3">
      <c r="A598" s="36" t="str">
        <f xml:space="preserve"> IF( 'From SvanPC++'!A588= "", "", ('From SvanPC++'!A588))</f>
        <v/>
      </c>
      <c r="B598" s="36"/>
      <c r="C598" s="36"/>
      <c r="D598" s="36"/>
      <c r="E598" s="47"/>
      <c r="F598" s="19"/>
      <c r="I598" s="36"/>
      <c r="S598" s="36"/>
      <c r="T598" s="36"/>
    </row>
    <row r="599" spans="1:20" s="38" customFormat="1" x14ac:dyDescent="0.3">
      <c r="A599" s="36" t="str">
        <f xml:space="preserve"> IF( 'From SvanPC++'!A589= "", "", ('From SvanPC++'!A589))</f>
        <v/>
      </c>
      <c r="B599" s="36"/>
      <c r="C599" s="36"/>
      <c r="D599" s="36"/>
      <c r="E599" s="47"/>
      <c r="F599" s="19"/>
      <c r="I599" s="36"/>
      <c r="S599" s="36"/>
      <c r="T599" s="36"/>
    </row>
    <row r="600" spans="1:20" s="38" customFormat="1" x14ac:dyDescent="0.3">
      <c r="A600" s="36" t="str">
        <f xml:space="preserve"> IF( 'From SvanPC++'!A590= "", "", ('From SvanPC++'!A590))</f>
        <v/>
      </c>
      <c r="B600" s="36"/>
      <c r="C600" s="36"/>
      <c r="D600" s="36"/>
      <c r="E600" s="47"/>
      <c r="F600" s="19"/>
      <c r="I600" s="36"/>
      <c r="S600" s="36"/>
      <c r="T600" s="36"/>
    </row>
    <row r="601" spans="1:20" s="38" customFormat="1" x14ac:dyDescent="0.3">
      <c r="A601" s="36" t="str">
        <f xml:space="preserve"> IF( 'From SvanPC++'!A591= "", "", ('From SvanPC++'!A591))</f>
        <v/>
      </c>
      <c r="B601" s="36"/>
      <c r="C601" s="36"/>
      <c r="D601" s="36"/>
      <c r="E601" s="47"/>
      <c r="F601" s="19"/>
      <c r="I601" s="36"/>
      <c r="S601" s="36"/>
      <c r="T601" s="36"/>
    </row>
    <row r="602" spans="1:20" s="38" customFormat="1" x14ac:dyDescent="0.3">
      <c r="A602" s="36" t="str">
        <f xml:space="preserve"> IF( 'From SvanPC++'!A592= "", "", ('From SvanPC++'!A592))</f>
        <v/>
      </c>
      <c r="B602" s="36"/>
      <c r="C602" s="36"/>
      <c r="D602" s="36"/>
      <c r="E602" s="47"/>
      <c r="F602" s="19"/>
      <c r="I602" s="36"/>
      <c r="S602" s="36"/>
      <c r="T602" s="36"/>
    </row>
    <row r="603" spans="1:20" s="38" customFormat="1" x14ac:dyDescent="0.3">
      <c r="A603" s="36" t="str">
        <f xml:space="preserve"> IF( 'From SvanPC++'!A593= "", "", ('From SvanPC++'!A593))</f>
        <v/>
      </c>
      <c r="B603" s="36"/>
      <c r="C603" s="36"/>
      <c r="D603" s="36"/>
      <c r="E603" s="47"/>
      <c r="F603" s="19"/>
      <c r="I603" s="36"/>
      <c r="S603" s="36"/>
      <c r="T603" s="36"/>
    </row>
    <row r="604" spans="1:20" s="38" customFormat="1" x14ac:dyDescent="0.3">
      <c r="A604" s="36" t="str">
        <f xml:space="preserve"> IF( 'From SvanPC++'!A594= "", "", ('From SvanPC++'!A594))</f>
        <v/>
      </c>
      <c r="B604" s="36"/>
      <c r="C604" s="36"/>
      <c r="D604" s="36"/>
      <c r="E604" s="47"/>
      <c r="F604" s="19"/>
      <c r="I604" s="36"/>
      <c r="S604" s="36"/>
      <c r="T604" s="36"/>
    </row>
    <row r="605" spans="1:20" s="38" customFormat="1" x14ac:dyDescent="0.3">
      <c r="A605" s="36" t="str">
        <f xml:space="preserve"> IF( 'From SvanPC++'!A595= "", "", ('From SvanPC++'!A595))</f>
        <v/>
      </c>
      <c r="B605" s="36"/>
      <c r="C605" s="36"/>
      <c r="D605" s="36"/>
      <c r="E605" s="47"/>
      <c r="F605" s="19"/>
      <c r="I605" s="36"/>
      <c r="S605" s="36"/>
      <c r="T605" s="36"/>
    </row>
    <row r="606" spans="1:20" s="38" customFormat="1" x14ac:dyDescent="0.3">
      <c r="A606" s="36" t="str">
        <f xml:space="preserve"> IF( 'From SvanPC++'!A596= "", "", ('From SvanPC++'!A596))</f>
        <v/>
      </c>
      <c r="B606" s="36"/>
      <c r="C606" s="36"/>
      <c r="D606" s="36"/>
      <c r="E606" s="47"/>
      <c r="F606" s="19"/>
      <c r="I606" s="36"/>
      <c r="S606" s="36"/>
      <c r="T606" s="36"/>
    </row>
    <row r="607" spans="1:20" s="38" customFormat="1" x14ac:dyDescent="0.3">
      <c r="A607" s="36" t="str">
        <f xml:space="preserve"> IF( 'From SvanPC++'!A597= "", "", ('From SvanPC++'!A597))</f>
        <v/>
      </c>
      <c r="B607" s="36"/>
      <c r="C607" s="36"/>
      <c r="D607" s="36"/>
      <c r="E607" s="47"/>
      <c r="F607" s="19"/>
      <c r="I607" s="36"/>
      <c r="S607" s="36"/>
      <c r="T607" s="36"/>
    </row>
    <row r="608" spans="1:20" s="38" customFormat="1" x14ac:dyDescent="0.3">
      <c r="A608" s="36" t="str">
        <f xml:space="preserve"> IF( 'From SvanPC++'!A598= "", "", ('From SvanPC++'!A598))</f>
        <v/>
      </c>
      <c r="B608" s="36"/>
      <c r="C608" s="36"/>
      <c r="D608" s="36"/>
      <c r="E608" s="47"/>
      <c r="F608" s="19"/>
      <c r="I608" s="36"/>
      <c r="S608" s="36"/>
      <c r="T608" s="36"/>
    </row>
    <row r="609" spans="1:20" s="38" customFormat="1" x14ac:dyDescent="0.3">
      <c r="A609" s="36" t="str">
        <f xml:space="preserve"> IF( 'From SvanPC++'!A599= "", "", ('From SvanPC++'!A599))</f>
        <v/>
      </c>
      <c r="B609" s="36"/>
      <c r="C609" s="36"/>
      <c r="D609" s="36"/>
      <c r="E609" s="47"/>
      <c r="F609" s="19"/>
      <c r="I609" s="36"/>
      <c r="S609" s="36"/>
      <c r="T609" s="36"/>
    </row>
    <row r="610" spans="1:20" s="38" customFormat="1" x14ac:dyDescent="0.3">
      <c r="A610" s="36" t="str">
        <f xml:space="preserve"> IF( 'From SvanPC++'!A600= "", "", ('From SvanPC++'!A600))</f>
        <v/>
      </c>
      <c r="B610" s="36"/>
      <c r="C610" s="36"/>
      <c r="D610" s="36"/>
      <c r="E610" s="47"/>
      <c r="F610" s="19"/>
      <c r="I610" s="36"/>
      <c r="S610" s="36"/>
      <c r="T610" s="36"/>
    </row>
    <row r="611" spans="1:20" s="38" customFormat="1" x14ac:dyDescent="0.3">
      <c r="A611" s="36" t="str">
        <f xml:space="preserve"> IF( 'From SvanPC++'!A601= "", "", ('From SvanPC++'!A601))</f>
        <v/>
      </c>
      <c r="B611" s="36"/>
      <c r="C611" s="36"/>
      <c r="D611" s="36"/>
      <c r="E611" s="47"/>
      <c r="F611" s="19"/>
      <c r="I611" s="36"/>
      <c r="S611" s="36"/>
      <c r="T611" s="36"/>
    </row>
    <row r="612" spans="1:20" s="38" customFormat="1" x14ac:dyDescent="0.3">
      <c r="A612" s="36" t="str">
        <f xml:space="preserve"> IF( 'From SvanPC++'!A602= "", "", ('From SvanPC++'!A602))</f>
        <v/>
      </c>
      <c r="B612" s="36"/>
      <c r="C612" s="36"/>
      <c r="D612" s="36"/>
      <c r="E612" s="47"/>
      <c r="F612" s="19"/>
      <c r="I612" s="36"/>
      <c r="S612" s="36"/>
      <c r="T612" s="36"/>
    </row>
    <row r="613" spans="1:20" s="38" customFormat="1" x14ac:dyDescent="0.3">
      <c r="A613" s="36" t="str">
        <f xml:space="preserve"> IF( 'From SvanPC++'!A603= "", "", ('From SvanPC++'!A603))</f>
        <v/>
      </c>
      <c r="B613" s="36"/>
      <c r="C613" s="36"/>
      <c r="D613" s="36"/>
      <c r="E613" s="47"/>
      <c r="F613" s="19"/>
      <c r="I613" s="36"/>
      <c r="S613" s="36"/>
      <c r="T613" s="36"/>
    </row>
    <row r="614" spans="1:20" s="38" customFormat="1" x14ac:dyDescent="0.3">
      <c r="A614" s="36" t="str">
        <f xml:space="preserve"> IF( 'From SvanPC++'!A604= "", "", ('From SvanPC++'!A604))</f>
        <v/>
      </c>
      <c r="B614" s="36"/>
      <c r="C614" s="36"/>
      <c r="D614" s="36"/>
      <c r="E614" s="47"/>
      <c r="F614" s="19"/>
      <c r="I614" s="36"/>
      <c r="S614" s="36"/>
      <c r="T614" s="36"/>
    </row>
    <row r="615" spans="1:20" s="38" customFormat="1" x14ac:dyDescent="0.3">
      <c r="A615" s="36" t="str">
        <f xml:space="preserve"> IF( 'From SvanPC++'!A605= "", "", ('From SvanPC++'!A605))</f>
        <v/>
      </c>
      <c r="B615" s="36"/>
      <c r="C615" s="36"/>
      <c r="D615" s="36"/>
      <c r="E615" s="47"/>
      <c r="F615" s="19"/>
      <c r="I615" s="36"/>
      <c r="S615" s="36"/>
      <c r="T615" s="36"/>
    </row>
    <row r="616" spans="1:20" s="38" customFormat="1" x14ac:dyDescent="0.3">
      <c r="A616" s="36" t="str">
        <f xml:space="preserve"> IF( 'From SvanPC++'!A606= "", "", ('From SvanPC++'!A606))</f>
        <v/>
      </c>
      <c r="B616" s="36"/>
      <c r="C616" s="36"/>
      <c r="D616" s="36"/>
      <c r="E616" s="47"/>
      <c r="F616" s="19"/>
      <c r="I616" s="36"/>
      <c r="S616" s="36"/>
      <c r="T616" s="36"/>
    </row>
    <row r="617" spans="1:20" s="38" customFormat="1" x14ac:dyDescent="0.3">
      <c r="A617" s="36" t="str">
        <f xml:space="preserve"> IF( 'From SvanPC++'!A607= "", "", ('From SvanPC++'!A607))</f>
        <v/>
      </c>
      <c r="B617" s="36"/>
      <c r="C617" s="36"/>
      <c r="D617" s="36"/>
      <c r="E617" s="47"/>
      <c r="F617" s="19"/>
      <c r="I617" s="36"/>
      <c r="S617" s="36"/>
      <c r="T617" s="36"/>
    </row>
    <row r="618" spans="1:20" s="38" customFormat="1" x14ac:dyDescent="0.3">
      <c r="A618" s="36" t="str">
        <f xml:space="preserve"> IF( 'From SvanPC++'!A608= "", "", ('From SvanPC++'!A608))</f>
        <v/>
      </c>
      <c r="B618" s="36"/>
      <c r="C618" s="36"/>
      <c r="D618" s="36"/>
      <c r="E618" s="47"/>
      <c r="F618" s="19"/>
      <c r="I618" s="36"/>
      <c r="S618" s="36"/>
      <c r="T618" s="36"/>
    </row>
    <row r="619" spans="1:20" s="38" customFormat="1" x14ac:dyDescent="0.3">
      <c r="A619" s="36" t="str">
        <f xml:space="preserve"> IF( 'From SvanPC++'!A609= "", "", ('From SvanPC++'!A609))</f>
        <v/>
      </c>
      <c r="B619" s="36"/>
      <c r="C619" s="36"/>
      <c r="D619" s="36"/>
      <c r="E619" s="47"/>
      <c r="F619" s="19"/>
      <c r="I619" s="36"/>
      <c r="S619" s="36"/>
      <c r="T619" s="36"/>
    </row>
    <row r="620" spans="1:20" s="38" customFormat="1" x14ac:dyDescent="0.3">
      <c r="A620" s="36" t="str">
        <f xml:space="preserve"> IF( 'From SvanPC++'!A610= "", "", ('From SvanPC++'!A610))</f>
        <v/>
      </c>
      <c r="B620" s="36"/>
      <c r="C620" s="36"/>
      <c r="D620" s="36"/>
      <c r="E620" s="47"/>
      <c r="F620" s="19"/>
      <c r="I620" s="36"/>
      <c r="S620" s="36"/>
      <c r="T620" s="36"/>
    </row>
    <row r="621" spans="1:20" s="38" customFormat="1" x14ac:dyDescent="0.3">
      <c r="A621" s="36" t="str">
        <f xml:space="preserve"> IF( 'From SvanPC++'!A611= "", "", ('From SvanPC++'!A611))</f>
        <v/>
      </c>
      <c r="B621" s="36"/>
      <c r="C621" s="36"/>
      <c r="D621" s="36"/>
      <c r="E621" s="47"/>
      <c r="F621" s="19"/>
      <c r="I621" s="36"/>
      <c r="S621" s="36"/>
      <c r="T621" s="36"/>
    </row>
    <row r="622" spans="1:20" s="38" customFormat="1" x14ac:dyDescent="0.3">
      <c r="A622" s="36" t="str">
        <f xml:space="preserve"> IF( 'From SvanPC++'!A612= "", "", ('From SvanPC++'!A612))</f>
        <v/>
      </c>
      <c r="B622" s="36"/>
      <c r="C622" s="36"/>
      <c r="D622" s="36"/>
      <c r="E622" s="47"/>
      <c r="F622" s="19"/>
      <c r="I622" s="36"/>
      <c r="S622" s="36"/>
      <c r="T622" s="36"/>
    </row>
    <row r="623" spans="1:20" s="38" customFormat="1" x14ac:dyDescent="0.3">
      <c r="A623" s="36" t="str">
        <f xml:space="preserve"> IF( 'From SvanPC++'!A613= "", "", ('From SvanPC++'!A613))</f>
        <v/>
      </c>
      <c r="B623" s="36"/>
      <c r="C623" s="36"/>
      <c r="D623" s="36"/>
      <c r="E623" s="47"/>
      <c r="F623" s="19"/>
      <c r="I623" s="36"/>
      <c r="S623" s="36"/>
      <c r="T623" s="36"/>
    </row>
    <row r="624" spans="1:20" s="38" customFormat="1" x14ac:dyDescent="0.3">
      <c r="A624" s="36" t="str">
        <f xml:space="preserve"> IF( 'From SvanPC++'!A614= "", "", ('From SvanPC++'!A614))</f>
        <v/>
      </c>
      <c r="B624" s="36"/>
      <c r="C624" s="36"/>
      <c r="D624" s="36"/>
      <c r="E624" s="47"/>
      <c r="F624" s="19"/>
      <c r="I624" s="36"/>
      <c r="S624" s="36"/>
      <c r="T624" s="36"/>
    </row>
    <row r="625" spans="1:20" s="38" customFormat="1" x14ac:dyDescent="0.3">
      <c r="A625" s="36" t="str">
        <f xml:space="preserve"> IF( 'From SvanPC++'!A615= "", "", ('From SvanPC++'!A615))</f>
        <v/>
      </c>
      <c r="B625" s="36"/>
      <c r="C625" s="36"/>
      <c r="D625" s="36"/>
      <c r="E625" s="47"/>
      <c r="F625" s="19"/>
      <c r="I625" s="36"/>
      <c r="S625" s="36"/>
      <c r="T625" s="36"/>
    </row>
    <row r="626" spans="1:20" s="38" customFormat="1" x14ac:dyDescent="0.3">
      <c r="A626" s="36" t="str">
        <f xml:space="preserve"> IF( 'From SvanPC++'!A616= "", "", ('From SvanPC++'!A616))</f>
        <v/>
      </c>
      <c r="B626" s="36"/>
      <c r="C626" s="36"/>
      <c r="D626" s="36"/>
      <c r="E626" s="47"/>
      <c r="F626" s="19"/>
      <c r="I626" s="36"/>
      <c r="S626" s="36"/>
      <c r="T626" s="36"/>
    </row>
    <row r="627" spans="1:20" s="38" customFormat="1" x14ac:dyDescent="0.3">
      <c r="A627" s="36" t="str">
        <f xml:space="preserve"> IF( 'From SvanPC++'!A617= "", "", ('From SvanPC++'!A617))</f>
        <v/>
      </c>
      <c r="B627" s="36"/>
      <c r="C627" s="36"/>
      <c r="D627" s="36"/>
      <c r="E627" s="47"/>
      <c r="F627" s="19"/>
      <c r="I627" s="36"/>
      <c r="S627" s="36"/>
      <c r="T627" s="36"/>
    </row>
    <row r="628" spans="1:20" s="38" customFormat="1" x14ac:dyDescent="0.3">
      <c r="A628" s="36" t="str">
        <f xml:space="preserve"> IF( 'From SvanPC++'!A618= "", "", ('From SvanPC++'!A618))</f>
        <v/>
      </c>
      <c r="B628" s="36"/>
      <c r="C628" s="36"/>
      <c r="D628" s="36"/>
      <c r="E628" s="47"/>
      <c r="F628" s="19"/>
      <c r="I628" s="36"/>
      <c r="S628" s="36"/>
      <c r="T628" s="36"/>
    </row>
    <row r="629" spans="1:20" s="38" customFormat="1" x14ac:dyDescent="0.3">
      <c r="A629" s="36" t="str">
        <f xml:space="preserve"> IF( 'From SvanPC++'!A619= "", "", ('From SvanPC++'!A619))</f>
        <v/>
      </c>
      <c r="B629" s="36"/>
      <c r="C629" s="36"/>
      <c r="D629" s="36"/>
      <c r="E629" s="47"/>
      <c r="F629" s="19"/>
      <c r="I629" s="36"/>
      <c r="S629" s="36"/>
      <c r="T629" s="36"/>
    </row>
    <row r="630" spans="1:20" s="38" customFormat="1" x14ac:dyDescent="0.3">
      <c r="A630" s="36" t="str">
        <f xml:space="preserve"> IF( 'From SvanPC++'!A620= "", "", ('From SvanPC++'!A620))</f>
        <v/>
      </c>
      <c r="B630" s="36"/>
      <c r="C630" s="36"/>
      <c r="D630" s="36"/>
      <c r="E630" s="47"/>
      <c r="F630" s="19"/>
      <c r="I630" s="36"/>
      <c r="S630" s="36"/>
      <c r="T630" s="36"/>
    </row>
    <row r="631" spans="1:20" s="38" customFormat="1" x14ac:dyDescent="0.3">
      <c r="A631" s="36" t="str">
        <f xml:space="preserve"> IF( 'From SvanPC++'!A621= "", "", ('From SvanPC++'!A621))</f>
        <v/>
      </c>
      <c r="B631" s="36"/>
      <c r="C631" s="36"/>
      <c r="D631" s="36"/>
      <c r="E631" s="47"/>
      <c r="F631" s="19"/>
      <c r="I631" s="36"/>
      <c r="S631" s="36"/>
      <c r="T631" s="36"/>
    </row>
    <row r="632" spans="1:20" s="38" customFormat="1" x14ac:dyDescent="0.3">
      <c r="A632" s="36" t="str">
        <f xml:space="preserve"> IF( 'From SvanPC++'!A622= "", "", ('From SvanPC++'!A622))</f>
        <v/>
      </c>
      <c r="B632" s="36"/>
      <c r="C632" s="36"/>
      <c r="D632" s="36"/>
      <c r="E632" s="47"/>
      <c r="F632" s="19"/>
      <c r="I632" s="36"/>
      <c r="S632" s="36"/>
      <c r="T632" s="36"/>
    </row>
    <row r="633" spans="1:20" s="38" customFormat="1" x14ac:dyDescent="0.3">
      <c r="A633" s="36" t="str">
        <f xml:space="preserve"> IF( 'From SvanPC++'!A623= "", "", ('From SvanPC++'!A623))</f>
        <v/>
      </c>
      <c r="B633" s="36"/>
      <c r="C633" s="36"/>
      <c r="D633" s="36"/>
      <c r="E633" s="47"/>
      <c r="F633" s="19"/>
      <c r="I633" s="36"/>
      <c r="S633" s="36"/>
      <c r="T633" s="36"/>
    </row>
    <row r="634" spans="1:20" s="38" customFormat="1" x14ac:dyDescent="0.3">
      <c r="A634" s="36" t="str">
        <f xml:space="preserve"> IF( 'From SvanPC++'!A624= "", "", ('From SvanPC++'!A624))</f>
        <v/>
      </c>
      <c r="B634" s="36"/>
      <c r="C634" s="36"/>
      <c r="D634" s="36"/>
      <c r="E634" s="47"/>
      <c r="F634" s="19"/>
      <c r="I634" s="36"/>
      <c r="S634" s="36"/>
      <c r="T634" s="36"/>
    </row>
    <row r="635" spans="1:20" s="38" customFormat="1" x14ac:dyDescent="0.3">
      <c r="A635" s="36" t="str">
        <f xml:space="preserve"> IF( 'From SvanPC++'!A625= "", "", ('From SvanPC++'!A625))</f>
        <v/>
      </c>
      <c r="B635" s="36"/>
      <c r="C635" s="36"/>
      <c r="D635" s="36"/>
      <c r="E635" s="47"/>
      <c r="F635" s="19"/>
      <c r="I635" s="36"/>
      <c r="S635" s="36"/>
      <c r="T635" s="36"/>
    </row>
    <row r="636" spans="1:20" s="38" customFormat="1" x14ac:dyDescent="0.3">
      <c r="A636" s="36" t="str">
        <f xml:space="preserve"> IF( 'From SvanPC++'!A626= "", "", ('From SvanPC++'!A626))</f>
        <v/>
      </c>
      <c r="B636" s="36"/>
      <c r="C636" s="36"/>
      <c r="D636" s="36"/>
      <c r="E636" s="47"/>
      <c r="F636" s="19"/>
      <c r="I636" s="36"/>
      <c r="S636" s="36"/>
      <c r="T636" s="36"/>
    </row>
    <row r="637" spans="1:20" s="38" customFormat="1" x14ac:dyDescent="0.3">
      <c r="A637" s="36" t="str">
        <f xml:space="preserve"> IF( 'From SvanPC++'!A627= "", "", ('From SvanPC++'!A627))</f>
        <v/>
      </c>
      <c r="B637" s="36"/>
      <c r="C637" s="36"/>
      <c r="D637" s="36"/>
      <c r="E637" s="47"/>
      <c r="F637" s="19"/>
      <c r="I637" s="36"/>
      <c r="S637" s="36"/>
      <c r="T637" s="36"/>
    </row>
    <row r="638" spans="1:20" s="38" customFormat="1" x14ac:dyDescent="0.3">
      <c r="A638" s="36" t="str">
        <f xml:space="preserve"> IF( 'From SvanPC++'!A628= "", "", ('From SvanPC++'!A628))</f>
        <v/>
      </c>
      <c r="B638" s="36"/>
      <c r="C638" s="36"/>
      <c r="D638" s="36"/>
      <c r="E638" s="47"/>
      <c r="F638" s="19"/>
      <c r="I638" s="36"/>
      <c r="S638" s="36"/>
      <c r="T638" s="36"/>
    </row>
    <row r="639" spans="1:20" s="38" customFormat="1" x14ac:dyDescent="0.3">
      <c r="A639" s="36" t="str">
        <f xml:space="preserve"> IF( 'From SvanPC++'!A629= "", "", ('From SvanPC++'!A629))</f>
        <v/>
      </c>
      <c r="B639" s="36"/>
      <c r="C639" s="36"/>
      <c r="D639" s="36"/>
      <c r="E639" s="47"/>
      <c r="F639" s="19"/>
      <c r="I639" s="36"/>
      <c r="S639" s="36"/>
      <c r="T639" s="36"/>
    </row>
    <row r="640" spans="1:20" s="38" customFormat="1" x14ac:dyDescent="0.3">
      <c r="A640" s="36" t="str">
        <f xml:space="preserve"> IF( 'From SvanPC++'!A630= "", "", ('From SvanPC++'!A630))</f>
        <v/>
      </c>
      <c r="B640" s="36"/>
      <c r="C640" s="36"/>
      <c r="D640" s="36"/>
      <c r="E640" s="47"/>
      <c r="F640" s="19"/>
      <c r="I640" s="36"/>
      <c r="S640" s="36"/>
      <c r="T640" s="36"/>
    </row>
    <row r="641" spans="1:20" s="38" customFormat="1" x14ac:dyDescent="0.3">
      <c r="A641" s="36" t="str">
        <f xml:space="preserve"> IF( 'From SvanPC++'!A631= "", "", ('From SvanPC++'!A631))</f>
        <v/>
      </c>
      <c r="B641" s="36"/>
      <c r="C641" s="36"/>
      <c r="D641" s="36"/>
      <c r="E641" s="47"/>
      <c r="F641" s="19"/>
      <c r="I641" s="36"/>
      <c r="S641" s="36"/>
      <c r="T641" s="36"/>
    </row>
    <row r="642" spans="1:20" s="38" customFormat="1" x14ac:dyDescent="0.3">
      <c r="A642" s="36" t="str">
        <f xml:space="preserve"> IF( 'From SvanPC++'!A632= "", "", ('From SvanPC++'!A632))</f>
        <v/>
      </c>
      <c r="B642" s="36"/>
      <c r="C642" s="36"/>
      <c r="D642" s="36"/>
      <c r="E642" s="47"/>
      <c r="F642" s="19"/>
      <c r="I642" s="36"/>
      <c r="S642" s="36"/>
      <c r="T642" s="36"/>
    </row>
    <row r="643" spans="1:20" s="38" customFormat="1" x14ac:dyDescent="0.3">
      <c r="A643" s="36" t="str">
        <f xml:space="preserve"> IF( 'From SvanPC++'!A633= "", "", ('From SvanPC++'!A633))</f>
        <v/>
      </c>
      <c r="B643" s="36"/>
      <c r="C643" s="36"/>
      <c r="D643" s="36"/>
      <c r="E643" s="47"/>
      <c r="F643" s="19"/>
      <c r="I643" s="36"/>
      <c r="S643" s="36"/>
      <c r="T643" s="36"/>
    </row>
    <row r="644" spans="1:20" s="38" customFormat="1" x14ac:dyDescent="0.3">
      <c r="A644" s="36" t="str">
        <f xml:space="preserve"> IF( 'From SvanPC++'!A634= "", "", ('From SvanPC++'!A634))</f>
        <v/>
      </c>
      <c r="B644" s="36"/>
      <c r="C644" s="36"/>
      <c r="D644" s="36"/>
      <c r="E644" s="47"/>
      <c r="F644" s="19"/>
      <c r="I644" s="36"/>
      <c r="S644" s="36"/>
      <c r="T644" s="36"/>
    </row>
    <row r="645" spans="1:20" s="38" customFormat="1" x14ac:dyDescent="0.3">
      <c r="A645" s="36" t="str">
        <f xml:space="preserve"> IF( 'From SvanPC++'!A635= "", "", ('From SvanPC++'!A635))</f>
        <v/>
      </c>
      <c r="B645" s="36"/>
      <c r="C645" s="36"/>
      <c r="D645" s="36"/>
      <c r="E645" s="47"/>
      <c r="F645" s="19"/>
      <c r="I645" s="36"/>
      <c r="S645" s="36"/>
      <c r="T645" s="36"/>
    </row>
    <row r="646" spans="1:20" s="38" customFormat="1" x14ac:dyDescent="0.3">
      <c r="A646" s="36" t="str">
        <f xml:space="preserve"> IF( 'From SvanPC++'!A636= "", "", ('From SvanPC++'!A636))</f>
        <v/>
      </c>
      <c r="B646" s="36"/>
      <c r="C646" s="36"/>
      <c r="D646" s="36"/>
      <c r="E646" s="47"/>
      <c r="F646" s="19"/>
      <c r="I646" s="36"/>
      <c r="S646" s="36"/>
      <c r="T646" s="36"/>
    </row>
    <row r="647" spans="1:20" s="38" customFormat="1" x14ac:dyDescent="0.3">
      <c r="A647" s="36" t="str">
        <f xml:space="preserve"> IF( 'From SvanPC++'!A637= "", "", ('From SvanPC++'!A637))</f>
        <v/>
      </c>
      <c r="B647" s="36"/>
      <c r="C647" s="36"/>
      <c r="D647" s="36"/>
      <c r="E647" s="47"/>
      <c r="F647" s="19"/>
      <c r="I647" s="36"/>
      <c r="S647" s="36"/>
      <c r="T647" s="36"/>
    </row>
    <row r="648" spans="1:20" s="38" customFormat="1" x14ac:dyDescent="0.3">
      <c r="A648" s="36" t="str">
        <f xml:space="preserve"> IF( 'From SvanPC++'!A638= "", "", ('From SvanPC++'!A638))</f>
        <v/>
      </c>
      <c r="B648" s="36"/>
      <c r="C648" s="36"/>
      <c r="D648" s="36"/>
      <c r="E648" s="47"/>
      <c r="F648" s="19"/>
      <c r="I648" s="36"/>
      <c r="S648" s="36"/>
      <c r="T648" s="36"/>
    </row>
    <row r="649" spans="1:20" s="38" customFormat="1" x14ac:dyDescent="0.3">
      <c r="A649" s="36" t="str">
        <f xml:space="preserve"> IF( 'From SvanPC++'!A639= "", "", ('From SvanPC++'!A639))</f>
        <v/>
      </c>
      <c r="B649" s="36"/>
      <c r="C649" s="36"/>
      <c r="D649" s="36"/>
      <c r="E649" s="47"/>
      <c r="F649" s="19"/>
      <c r="I649" s="36"/>
      <c r="S649" s="36"/>
      <c r="T649" s="36"/>
    </row>
    <row r="650" spans="1:20" s="38" customFormat="1" x14ac:dyDescent="0.3">
      <c r="A650" s="36" t="str">
        <f xml:space="preserve"> IF( 'From SvanPC++'!A640= "", "", ('From SvanPC++'!A640))</f>
        <v/>
      </c>
      <c r="B650" s="36"/>
      <c r="C650" s="36"/>
      <c r="D650" s="36"/>
      <c r="E650" s="47"/>
      <c r="F650" s="19"/>
      <c r="I650" s="36"/>
      <c r="S650" s="36"/>
      <c r="T650" s="36"/>
    </row>
    <row r="651" spans="1:20" s="38" customFormat="1" x14ac:dyDescent="0.3">
      <c r="A651" s="36" t="str">
        <f xml:space="preserve"> IF( 'From SvanPC++'!A641= "", "", ('From SvanPC++'!A641))</f>
        <v/>
      </c>
      <c r="B651" s="36"/>
      <c r="C651" s="36"/>
      <c r="D651" s="36"/>
      <c r="E651" s="47"/>
      <c r="F651" s="19"/>
      <c r="I651" s="36"/>
      <c r="S651" s="36"/>
      <c r="T651" s="36"/>
    </row>
    <row r="652" spans="1:20" s="38" customFormat="1" x14ac:dyDescent="0.3">
      <c r="A652" s="36" t="str">
        <f xml:space="preserve"> IF( 'From SvanPC++'!A642= "", "", ('From SvanPC++'!A642))</f>
        <v/>
      </c>
      <c r="B652" s="36"/>
      <c r="C652" s="36"/>
      <c r="D652" s="36"/>
      <c r="E652" s="47"/>
      <c r="F652" s="19"/>
      <c r="I652" s="36"/>
      <c r="S652" s="36"/>
      <c r="T652" s="36"/>
    </row>
    <row r="653" spans="1:20" s="38" customFormat="1" x14ac:dyDescent="0.3">
      <c r="A653" s="36" t="str">
        <f xml:space="preserve"> IF( 'From SvanPC++'!A643= "", "", ('From SvanPC++'!A643))</f>
        <v/>
      </c>
      <c r="B653" s="36"/>
      <c r="C653" s="36"/>
      <c r="D653" s="36"/>
      <c r="E653" s="47"/>
      <c r="F653" s="19"/>
      <c r="I653" s="36"/>
      <c r="S653" s="36"/>
      <c r="T653" s="36"/>
    </row>
    <row r="654" spans="1:20" s="38" customFormat="1" x14ac:dyDescent="0.3">
      <c r="A654" s="36" t="str">
        <f xml:space="preserve"> IF( 'From SvanPC++'!A644= "", "", ('From SvanPC++'!A644))</f>
        <v/>
      </c>
      <c r="B654" s="36"/>
      <c r="C654" s="36"/>
      <c r="D654" s="36"/>
      <c r="E654" s="47"/>
      <c r="F654" s="19"/>
      <c r="I654" s="36"/>
      <c r="S654" s="36"/>
      <c r="T654" s="36"/>
    </row>
    <row r="655" spans="1:20" s="38" customFormat="1" x14ac:dyDescent="0.3">
      <c r="A655" s="36" t="str">
        <f xml:space="preserve"> IF( 'From SvanPC++'!A645= "", "", ('From SvanPC++'!A645))</f>
        <v/>
      </c>
      <c r="B655" s="36"/>
      <c r="C655" s="36"/>
      <c r="D655" s="36"/>
      <c r="E655" s="47"/>
      <c r="F655" s="19"/>
      <c r="I655" s="36"/>
      <c r="S655" s="36"/>
      <c r="T655" s="36"/>
    </row>
    <row r="656" spans="1:20" s="38" customFormat="1" x14ac:dyDescent="0.3">
      <c r="A656" s="36" t="str">
        <f xml:space="preserve"> IF( 'From SvanPC++'!A646= "", "", ('From SvanPC++'!A646))</f>
        <v/>
      </c>
      <c r="B656" s="36"/>
      <c r="C656" s="36"/>
      <c r="D656" s="36"/>
      <c r="E656" s="47"/>
      <c r="F656" s="19"/>
      <c r="I656" s="36"/>
      <c r="S656" s="36"/>
      <c r="T656" s="36"/>
    </row>
    <row r="657" spans="1:20" s="38" customFormat="1" x14ac:dyDescent="0.3">
      <c r="A657" s="36" t="str">
        <f xml:space="preserve"> IF( 'From SvanPC++'!A647= "", "", ('From SvanPC++'!A647))</f>
        <v/>
      </c>
      <c r="B657" s="36"/>
      <c r="C657" s="36"/>
      <c r="D657" s="36"/>
      <c r="E657" s="47"/>
      <c r="F657" s="19"/>
      <c r="I657" s="36"/>
      <c r="S657" s="36"/>
      <c r="T657" s="36"/>
    </row>
    <row r="658" spans="1:20" s="38" customFormat="1" x14ac:dyDescent="0.3">
      <c r="A658" s="36" t="str">
        <f xml:space="preserve"> IF( 'From SvanPC++'!A648= "", "", ('From SvanPC++'!A648))</f>
        <v/>
      </c>
      <c r="B658" s="36"/>
      <c r="C658" s="36"/>
      <c r="D658" s="36"/>
      <c r="E658" s="47"/>
      <c r="F658" s="19"/>
      <c r="I658" s="36"/>
      <c r="S658" s="36"/>
      <c r="T658" s="36"/>
    </row>
    <row r="659" spans="1:20" s="38" customFormat="1" x14ac:dyDescent="0.3">
      <c r="A659" s="36" t="str">
        <f xml:space="preserve"> IF( 'From SvanPC++'!A649= "", "", ('From SvanPC++'!A649))</f>
        <v/>
      </c>
      <c r="B659" s="36"/>
      <c r="C659" s="36"/>
      <c r="D659" s="36"/>
      <c r="E659" s="47"/>
      <c r="F659" s="19"/>
      <c r="I659" s="36"/>
      <c r="S659" s="36"/>
      <c r="T659" s="36"/>
    </row>
    <row r="660" spans="1:20" s="38" customFormat="1" x14ac:dyDescent="0.3">
      <c r="A660" s="36" t="str">
        <f xml:space="preserve"> IF( 'From SvanPC++'!A650= "", "", ('From SvanPC++'!A650))</f>
        <v/>
      </c>
      <c r="B660" s="36"/>
      <c r="C660" s="36"/>
      <c r="D660" s="36"/>
      <c r="E660" s="47"/>
      <c r="F660" s="19"/>
      <c r="I660" s="36"/>
      <c r="S660" s="36"/>
      <c r="T660" s="36"/>
    </row>
    <row r="661" spans="1:20" s="38" customFormat="1" x14ac:dyDescent="0.3">
      <c r="A661" s="36" t="str">
        <f xml:space="preserve"> IF( 'From SvanPC++'!A651= "", "", ('From SvanPC++'!A651))</f>
        <v/>
      </c>
      <c r="B661" s="36"/>
      <c r="C661" s="36"/>
      <c r="D661" s="36"/>
      <c r="E661" s="47"/>
      <c r="F661" s="19"/>
      <c r="I661" s="36"/>
      <c r="S661" s="36"/>
      <c r="T661" s="36"/>
    </row>
    <row r="662" spans="1:20" s="38" customFormat="1" x14ac:dyDescent="0.3">
      <c r="A662" s="36" t="str">
        <f xml:space="preserve"> IF( 'From SvanPC++'!A652= "", "", ('From SvanPC++'!A652))</f>
        <v/>
      </c>
      <c r="B662" s="36"/>
      <c r="C662" s="36"/>
      <c r="D662" s="36"/>
      <c r="E662" s="47"/>
      <c r="F662" s="19"/>
      <c r="I662" s="36"/>
      <c r="S662" s="36"/>
      <c r="T662" s="36"/>
    </row>
    <row r="663" spans="1:20" s="38" customFormat="1" x14ac:dyDescent="0.3">
      <c r="A663" s="36" t="str">
        <f xml:space="preserve"> IF( 'From SvanPC++'!A653= "", "", ('From SvanPC++'!A653))</f>
        <v/>
      </c>
      <c r="B663" s="36"/>
      <c r="C663" s="36"/>
      <c r="D663" s="36"/>
      <c r="E663" s="47"/>
      <c r="F663" s="19"/>
      <c r="I663" s="36"/>
      <c r="S663" s="36"/>
      <c r="T663" s="36"/>
    </row>
    <row r="664" spans="1:20" s="38" customFormat="1" x14ac:dyDescent="0.3">
      <c r="A664" s="36" t="str">
        <f xml:space="preserve"> IF( 'From SvanPC++'!A654= "", "", ('From SvanPC++'!A654))</f>
        <v/>
      </c>
      <c r="B664" s="36"/>
      <c r="C664" s="36"/>
      <c r="D664" s="36"/>
      <c r="E664" s="47"/>
      <c r="F664" s="19"/>
      <c r="I664" s="36"/>
      <c r="S664" s="36"/>
      <c r="T664" s="36"/>
    </row>
    <row r="665" spans="1:20" s="38" customFormat="1" x14ac:dyDescent="0.3">
      <c r="A665" s="36" t="str">
        <f xml:space="preserve"> IF( 'From SvanPC++'!A655= "", "", ('From SvanPC++'!A655))</f>
        <v/>
      </c>
      <c r="B665" s="36"/>
      <c r="C665" s="36"/>
      <c r="D665" s="36"/>
      <c r="E665" s="47"/>
      <c r="F665" s="19"/>
      <c r="I665" s="36"/>
      <c r="S665" s="36"/>
      <c r="T665" s="36"/>
    </row>
    <row r="666" spans="1:20" s="38" customFormat="1" x14ac:dyDescent="0.3">
      <c r="A666" s="36" t="str">
        <f xml:space="preserve"> IF( 'From SvanPC++'!A656= "", "", ('From SvanPC++'!A656))</f>
        <v/>
      </c>
      <c r="B666" s="36"/>
      <c r="C666" s="36"/>
      <c r="D666" s="36"/>
      <c r="E666" s="47"/>
      <c r="F666" s="19"/>
      <c r="I666" s="36"/>
      <c r="S666" s="36"/>
      <c r="T666" s="36"/>
    </row>
    <row r="667" spans="1:20" s="38" customFormat="1" x14ac:dyDescent="0.3">
      <c r="A667" s="36" t="str">
        <f xml:space="preserve"> IF( 'From SvanPC++'!A657= "", "", ('From SvanPC++'!A657))</f>
        <v/>
      </c>
      <c r="B667" s="36"/>
      <c r="C667" s="36"/>
      <c r="D667" s="36"/>
      <c r="E667" s="47"/>
      <c r="F667" s="19"/>
      <c r="I667" s="36"/>
      <c r="S667" s="36"/>
      <c r="T667" s="36"/>
    </row>
    <row r="668" spans="1:20" s="38" customFormat="1" x14ac:dyDescent="0.3">
      <c r="A668" s="36" t="str">
        <f xml:space="preserve"> IF( 'From SvanPC++'!A658= "", "", ('From SvanPC++'!A658))</f>
        <v/>
      </c>
      <c r="B668" s="36"/>
      <c r="C668" s="36"/>
      <c r="D668" s="36"/>
      <c r="E668" s="47"/>
      <c r="F668" s="19"/>
      <c r="I668" s="36"/>
      <c r="S668" s="36"/>
      <c r="T668" s="36"/>
    </row>
    <row r="669" spans="1:20" s="38" customFormat="1" x14ac:dyDescent="0.3">
      <c r="A669" s="36" t="str">
        <f xml:space="preserve"> IF( 'From SvanPC++'!A659= "", "", ('From SvanPC++'!A659))</f>
        <v/>
      </c>
      <c r="B669" s="36"/>
      <c r="C669" s="36"/>
      <c r="D669" s="36"/>
      <c r="E669" s="47"/>
      <c r="F669" s="19"/>
      <c r="I669" s="36"/>
      <c r="S669" s="36"/>
      <c r="T669" s="36"/>
    </row>
    <row r="670" spans="1:20" s="38" customFormat="1" x14ac:dyDescent="0.3">
      <c r="A670" s="36" t="str">
        <f xml:space="preserve"> IF( 'From SvanPC++'!A660= "", "", ('From SvanPC++'!A660))</f>
        <v/>
      </c>
      <c r="B670" s="36"/>
      <c r="C670" s="36"/>
      <c r="D670" s="36"/>
      <c r="E670" s="47"/>
      <c r="F670" s="19"/>
      <c r="I670" s="36"/>
      <c r="S670" s="36"/>
      <c r="T670" s="36"/>
    </row>
    <row r="671" spans="1:20" s="38" customFormat="1" x14ac:dyDescent="0.3">
      <c r="A671" s="36" t="str">
        <f xml:space="preserve"> IF( 'From SvanPC++'!A661= "", "", ('From SvanPC++'!A661))</f>
        <v/>
      </c>
      <c r="B671" s="36"/>
      <c r="C671" s="36"/>
      <c r="D671" s="36"/>
      <c r="E671" s="47"/>
      <c r="F671" s="19"/>
      <c r="I671" s="36"/>
      <c r="S671" s="36"/>
      <c r="T671" s="36"/>
    </row>
    <row r="672" spans="1:20" s="38" customFormat="1" x14ac:dyDescent="0.3">
      <c r="A672" s="36" t="str">
        <f xml:space="preserve"> IF( 'From SvanPC++'!A662= "", "", ('From SvanPC++'!A662))</f>
        <v/>
      </c>
      <c r="B672" s="36"/>
      <c r="C672" s="36"/>
      <c r="D672" s="36"/>
      <c r="E672" s="47"/>
      <c r="F672" s="19"/>
      <c r="I672" s="36"/>
      <c r="S672" s="36"/>
      <c r="T672" s="36"/>
    </row>
    <row r="673" spans="1:20" s="38" customFormat="1" x14ac:dyDescent="0.3">
      <c r="A673" s="36" t="str">
        <f xml:space="preserve"> IF( 'From SvanPC++'!A663= "", "", ('From SvanPC++'!A663))</f>
        <v/>
      </c>
      <c r="B673" s="36"/>
      <c r="C673" s="36"/>
      <c r="D673" s="36"/>
      <c r="E673" s="47"/>
      <c r="F673" s="19"/>
      <c r="I673" s="36"/>
      <c r="S673" s="36"/>
      <c r="T673" s="36"/>
    </row>
    <row r="674" spans="1:20" s="38" customFormat="1" x14ac:dyDescent="0.3">
      <c r="A674" s="36" t="str">
        <f xml:space="preserve"> IF( 'From SvanPC++'!A664= "", "", ('From SvanPC++'!A664))</f>
        <v/>
      </c>
      <c r="B674" s="36"/>
      <c r="C674" s="36"/>
      <c r="D674" s="36"/>
      <c r="E674" s="47"/>
      <c r="F674" s="19"/>
      <c r="I674" s="36"/>
      <c r="S674" s="36"/>
      <c r="T674" s="36"/>
    </row>
    <row r="675" spans="1:20" s="38" customFormat="1" x14ac:dyDescent="0.3">
      <c r="A675" s="36" t="str">
        <f xml:space="preserve"> IF( 'From SvanPC++'!A665= "", "", ('From SvanPC++'!A665))</f>
        <v/>
      </c>
      <c r="B675" s="36"/>
      <c r="C675" s="36"/>
      <c r="D675" s="36"/>
      <c r="E675" s="47"/>
      <c r="F675" s="19"/>
      <c r="I675" s="36"/>
      <c r="S675" s="36"/>
      <c r="T675" s="36"/>
    </row>
    <row r="676" spans="1:20" s="38" customFormat="1" x14ac:dyDescent="0.3">
      <c r="A676" s="36" t="str">
        <f xml:space="preserve"> IF( 'From SvanPC++'!A666= "", "", ('From SvanPC++'!A666))</f>
        <v/>
      </c>
      <c r="B676" s="36"/>
      <c r="C676" s="36"/>
      <c r="D676" s="36"/>
      <c r="E676" s="47"/>
      <c r="F676" s="19"/>
      <c r="I676" s="36"/>
      <c r="S676" s="36"/>
      <c r="T676" s="36"/>
    </row>
    <row r="677" spans="1:20" s="38" customFormat="1" x14ac:dyDescent="0.3">
      <c r="A677" s="36" t="str">
        <f xml:space="preserve"> IF( 'From SvanPC++'!A667= "", "", ('From SvanPC++'!A667))</f>
        <v/>
      </c>
      <c r="B677" s="36"/>
      <c r="C677" s="36"/>
      <c r="D677" s="36"/>
      <c r="E677" s="47"/>
      <c r="F677" s="19"/>
      <c r="I677" s="36"/>
      <c r="S677" s="36"/>
      <c r="T677" s="36"/>
    </row>
    <row r="678" spans="1:20" s="38" customFormat="1" x14ac:dyDescent="0.3">
      <c r="A678" s="36" t="str">
        <f xml:space="preserve"> IF( 'From SvanPC++'!A668= "", "", ('From SvanPC++'!A668))</f>
        <v/>
      </c>
      <c r="B678" s="36"/>
      <c r="C678" s="36"/>
      <c r="D678" s="36"/>
      <c r="E678" s="47"/>
      <c r="F678" s="19"/>
      <c r="I678" s="36"/>
      <c r="S678" s="36"/>
      <c r="T678" s="36"/>
    </row>
    <row r="679" spans="1:20" s="38" customFormat="1" x14ac:dyDescent="0.3">
      <c r="A679" s="36" t="str">
        <f xml:space="preserve"> IF( 'From SvanPC++'!A669= "", "", ('From SvanPC++'!A669))</f>
        <v/>
      </c>
      <c r="B679" s="36"/>
      <c r="C679" s="36"/>
      <c r="D679" s="36"/>
      <c r="E679" s="47"/>
      <c r="F679" s="19"/>
      <c r="I679" s="36"/>
      <c r="S679" s="36"/>
      <c r="T679" s="36"/>
    </row>
    <row r="680" spans="1:20" s="38" customFormat="1" x14ac:dyDescent="0.3">
      <c r="A680" s="36" t="str">
        <f xml:space="preserve"> IF( 'From SvanPC++'!A670= "", "", ('From SvanPC++'!A670))</f>
        <v/>
      </c>
      <c r="B680" s="36"/>
      <c r="C680" s="36"/>
      <c r="D680" s="36"/>
      <c r="E680" s="47"/>
      <c r="F680" s="19"/>
      <c r="I680" s="36"/>
      <c r="S680" s="36"/>
      <c r="T680" s="36"/>
    </row>
    <row r="681" spans="1:20" s="38" customFormat="1" x14ac:dyDescent="0.3">
      <c r="A681" s="36" t="str">
        <f xml:space="preserve"> IF( 'From SvanPC++'!A671= "", "", ('From SvanPC++'!A671))</f>
        <v/>
      </c>
      <c r="B681" s="36"/>
      <c r="C681" s="36"/>
      <c r="D681" s="36"/>
      <c r="E681" s="47"/>
      <c r="F681" s="19"/>
      <c r="I681" s="36"/>
      <c r="S681" s="36"/>
      <c r="T681" s="36"/>
    </row>
    <row r="682" spans="1:20" s="38" customFormat="1" x14ac:dyDescent="0.3">
      <c r="A682" s="36" t="str">
        <f xml:space="preserve"> IF( 'From SvanPC++'!A672= "", "", ('From SvanPC++'!A672))</f>
        <v/>
      </c>
      <c r="B682" s="36"/>
      <c r="C682" s="36"/>
      <c r="D682" s="36"/>
      <c r="E682" s="47"/>
      <c r="F682" s="19"/>
      <c r="I682" s="36"/>
      <c r="S682" s="36"/>
      <c r="T682" s="36"/>
    </row>
    <row r="683" spans="1:20" s="38" customFormat="1" x14ac:dyDescent="0.3">
      <c r="A683" s="36" t="str">
        <f xml:space="preserve"> IF( 'From SvanPC++'!A673= "", "", ('From SvanPC++'!A673))</f>
        <v/>
      </c>
      <c r="B683" s="36"/>
      <c r="C683" s="36"/>
      <c r="D683" s="36"/>
      <c r="E683" s="47"/>
      <c r="F683" s="19"/>
      <c r="I683" s="36"/>
      <c r="S683" s="36"/>
      <c r="T683" s="36"/>
    </row>
    <row r="684" spans="1:20" s="38" customFormat="1" x14ac:dyDescent="0.3">
      <c r="A684" s="36" t="str">
        <f xml:space="preserve"> IF( 'From SvanPC++'!A674= "", "", ('From SvanPC++'!A674))</f>
        <v/>
      </c>
      <c r="B684" s="36"/>
      <c r="C684" s="36"/>
      <c r="D684" s="36"/>
      <c r="E684" s="47"/>
      <c r="F684" s="19"/>
      <c r="I684" s="36"/>
      <c r="S684" s="36"/>
      <c r="T684" s="36"/>
    </row>
    <row r="685" spans="1:20" s="38" customFormat="1" x14ac:dyDescent="0.3">
      <c r="A685" s="36" t="str">
        <f xml:space="preserve"> IF( 'From SvanPC++'!A675= "", "", ('From SvanPC++'!A675))</f>
        <v/>
      </c>
      <c r="B685" s="36"/>
      <c r="C685" s="36"/>
      <c r="D685" s="36"/>
      <c r="E685" s="47"/>
      <c r="F685" s="19"/>
      <c r="I685" s="36"/>
      <c r="S685" s="36"/>
      <c r="T685" s="36"/>
    </row>
    <row r="686" spans="1:20" s="38" customFormat="1" x14ac:dyDescent="0.3">
      <c r="A686" s="36" t="str">
        <f xml:space="preserve"> IF( 'From SvanPC++'!A676= "", "", ('From SvanPC++'!A676))</f>
        <v/>
      </c>
      <c r="B686" s="36"/>
      <c r="C686" s="36"/>
      <c r="D686" s="36"/>
      <c r="E686" s="47"/>
      <c r="F686" s="19"/>
      <c r="I686" s="36"/>
      <c r="S686" s="36"/>
      <c r="T686" s="36"/>
    </row>
    <row r="687" spans="1:20" s="38" customFormat="1" x14ac:dyDescent="0.3">
      <c r="A687" s="36" t="str">
        <f xml:space="preserve"> IF( 'From SvanPC++'!A677= "", "", ('From SvanPC++'!A677))</f>
        <v/>
      </c>
      <c r="B687" s="36"/>
      <c r="C687" s="36"/>
      <c r="D687" s="36"/>
      <c r="E687" s="47"/>
      <c r="F687" s="19"/>
      <c r="I687" s="36"/>
      <c r="S687" s="36"/>
      <c r="T687" s="36"/>
    </row>
    <row r="688" spans="1:20" s="38" customFormat="1" x14ac:dyDescent="0.3">
      <c r="A688" s="36" t="str">
        <f xml:space="preserve"> IF( 'From SvanPC++'!A678= "", "", ('From SvanPC++'!A678))</f>
        <v/>
      </c>
      <c r="B688" s="36"/>
      <c r="C688" s="36"/>
      <c r="D688" s="36"/>
      <c r="E688" s="47"/>
      <c r="F688" s="19"/>
      <c r="I688" s="36"/>
      <c r="S688" s="36"/>
      <c r="T688" s="36"/>
    </row>
    <row r="689" spans="1:20" s="38" customFormat="1" x14ac:dyDescent="0.3">
      <c r="A689" s="36" t="str">
        <f xml:space="preserve"> IF( 'From SvanPC++'!A679= "", "", ('From SvanPC++'!A679))</f>
        <v/>
      </c>
      <c r="B689" s="36"/>
      <c r="C689" s="36"/>
      <c r="D689" s="36"/>
      <c r="E689" s="47"/>
      <c r="F689" s="19"/>
      <c r="I689" s="36"/>
      <c r="S689" s="36"/>
      <c r="T689" s="36"/>
    </row>
    <row r="690" spans="1:20" s="38" customFormat="1" x14ac:dyDescent="0.3">
      <c r="A690" s="36" t="str">
        <f xml:space="preserve"> IF( 'From SvanPC++'!A680= "", "", ('From SvanPC++'!A680))</f>
        <v/>
      </c>
      <c r="B690" s="36"/>
      <c r="C690" s="36"/>
      <c r="D690" s="36"/>
      <c r="E690" s="47"/>
      <c r="F690" s="19"/>
      <c r="I690" s="36"/>
      <c r="S690" s="36"/>
      <c r="T690" s="36"/>
    </row>
    <row r="691" spans="1:20" s="38" customFormat="1" x14ac:dyDescent="0.3">
      <c r="A691" s="36" t="str">
        <f xml:space="preserve"> IF( 'From SvanPC++'!A681= "", "", ('From SvanPC++'!A681))</f>
        <v/>
      </c>
      <c r="B691" s="36"/>
      <c r="C691" s="36"/>
      <c r="D691" s="36"/>
      <c r="E691" s="47"/>
      <c r="F691" s="19"/>
      <c r="I691" s="36"/>
      <c r="S691" s="36"/>
      <c r="T691" s="36"/>
    </row>
    <row r="692" spans="1:20" s="38" customFormat="1" x14ac:dyDescent="0.3">
      <c r="A692" s="36" t="str">
        <f xml:space="preserve"> IF( 'From SvanPC++'!A682= "", "", ('From SvanPC++'!A682))</f>
        <v/>
      </c>
      <c r="B692" s="36"/>
      <c r="C692" s="36"/>
      <c r="D692" s="36"/>
      <c r="E692" s="47"/>
      <c r="F692" s="19"/>
      <c r="I692" s="36"/>
      <c r="S692" s="36"/>
      <c r="T692" s="36"/>
    </row>
    <row r="693" spans="1:20" s="38" customFormat="1" x14ac:dyDescent="0.3">
      <c r="A693" s="36" t="str">
        <f xml:space="preserve"> IF( 'From SvanPC++'!A683= "", "", ('From SvanPC++'!A683))</f>
        <v/>
      </c>
      <c r="B693" s="36"/>
      <c r="C693" s="36"/>
      <c r="D693" s="36"/>
      <c r="E693" s="47"/>
      <c r="F693" s="19"/>
      <c r="I693" s="36"/>
      <c r="S693" s="36"/>
      <c r="T693" s="36"/>
    </row>
    <row r="694" spans="1:20" s="38" customFormat="1" x14ac:dyDescent="0.3">
      <c r="A694" s="36" t="str">
        <f xml:space="preserve"> IF( 'From SvanPC++'!A684= "", "", ('From SvanPC++'!A684))</f>
        <v/>
      </c>
      <c r="B694" s="36"/>
      <c r="C694" s="36"/>
      <c r="D694" s="36"/>
      <c r="E694" s="47"/>
      <c r="F694" s="19"/>
      <c r="I694" s="36"/>
      <c r="S694" s="36"/>
      <c r="T694" s="36"/>
    </row>
    <row r="695" spans="1:20" s="38" customFormat="1" x14ac:dyDescent="0.3">
      <c r="A695" s="36" t="str">
        <f xml:space="preserve"> IF( 'From SvanPC++'!A685= "", "", ('From SvanPC++'!A685))</f>
        <v/>
      </c>
      <c r="B695" s="36"/>
      <c r="C695" s="36"/>
      <c r="D695" s="36"/>
      <c r="E695" s="47"/>
      <c r="F695" s="19"/>
      <c r="I695" s="36"/>
      <c r="S695" s="36"/>
      <c r="T695" s="36"/>
    </row>
    <row r="696" spans="1:20" s="38" customFormat="1" x14ac:dyDescent="0.3">
      <c r="A696" s="36" t="str">
        <f xml:space="preserve"> IF( 'From SvanPC++'!A686= "", "", ('From SvanPC++'!A686))</f>
        <v/>
      </c>
      <c r="B696" s="36"/>
      <c r="C696" s="36"/>
      <c r="D696" s="36"/>
      <c r="E696" s="47"/>
      <c r="F696" s="19"/>
      <c r="I696" s="36"/>
      <c r="S696" s="36"/>
      <c r="T696" s="36"/>
    </row>
    <row r="697" spans="1:20" s="38" customFormat="1" x14ac:dyDescent="0.3">
      <c r="A697" s="36" t="str">
        <f xml:space="preserve"> IF( 'From SvanPC++'!A687= "", "", ('From SvanPC++'!A687))</f>
        <v/>
      </c>
      <c r="B697" s="36"/>
      <c r="C697" s="36"/>
      <c r="D697" s="36"/>
      <c r="E697" s="47"/>
      <c r="F697" s="19"/>
      <c r="I697" s="36"/>
      <c r="S697" s="36"/>
      <c r="T697" s="36"/>
    </row>
    <row r="698" spans="1:20" s="38" customFormat="1" x14ac:dyDescent="0.3">
      <c r="A698" s="36" t="str">
        <f xml:space="preserve"> IF( 'From SvanPC++'!A688= "", "", ('From SvanPC++'!A688))</f>
        <v/>
      </c>
      <c r="B698" s="36"/>
      <c r="C698" s="36"/>
      <c r="D698" s="36"/>
      <c r="E698" s="47"/>
      <c r="F698" s="19"/>
      <c r="I698" s="36"/>
      <c r="S698" s="36"/>
      <c r="T698" s="36"/>
    </row>
    <row r="699" spans="1:20" s="38" customFormat="1" x14ac:dyDescent="0.3">
      <c r="A699" s="36" t="str">
        <f xml:space="preserve"> IF( 'From SvanPC++'!A689= "", "", ('From SvanPC++'!A689))</f>
        <v/>
      </c>
      <c r="B699" s="36"/>
      <c r="C699" s="36"/>
      <c r="D699" s="36"/>
      <c r="E699" s="47"/>
      <c r="F699" s="19"/>
      <c r="I699" s="36"/>
      <c r="S699" s="36"/>
      <c r="T699" s="36"/>
    </row>
    <row r="700" spans="1:20" s="38" customFormat="1" x14ac:dyDescent="0.3">
      <c r="A700" s="36" t="str">
        <f xml:space="preserve"> IF( 'From SvanPC++'!A690= "", "", ('From SvanPC++'!A690))</f>
        <v/>
      </c>
      <c r="B700" s="36"/>
      <c r="C700" s="36"/>
      <c r="D700" s="36"/>
      <c r="E700" s="47"/>
      <c r="F700" s="19"/>
      <c r="I700" s="36"/>
      <c r="S700" s="36"/>
      <c r="T700" s="36"/>
    </row>
    <row r="701" spans="1:20" s="38" customFormat="1" x14ac:dyDescent="0.3">
      <c r="A701" s="36" t="str">
        <f xml:space="preserve"> IF( 'From SvanPC++'!A691= "", "", ('From SvanPC++'!A691))</f>
        <v/>
      </c>
      <c r="B701" s="36"/>
      <c r="C701" s="36"/>
      <c r="D701" s="36"/>
      <c r="E701" s="47"/>
      <c r="F701" s="19"/>
      <c r="I701" s="36"/>
      <c r="S701" s="36"/>
      <c r="T701" s="36"/>
    </row>
    <row r="702" spans="1:20" s="38" customFormat="1" x14ac:dyDescent="0.3">
      <c r="A702" s="36" t="str">
        <f xml:space="preserve"> IF( 'From SvanPC++'!A692= "", "", ('From SvanPC++'!A692))</f>
        <v/>
      </c>
      <c r="B702" s="36"/>
      <c r="C702" s="36"/>
      <c r="D702" s="36"/>
      <c r="E702" s="47"/>
      <c r="F702" s="19"/>
      <c r="I702" s="36"/>
      <c r="S702" s="36"/>
      <c r="T702" s="36"/>
    </row>
    <row r="703" spans="1:20" s="38" customFormat="1" x14ac:dyDescent="0.3">
      <c r="A703" s="36" t="str">
        <f xml:space="preserve"> IF( 'From SvanPC++'!A693= "", "", ('From SvanPC++'!A693))</f>
        <v/>
      </c>
      <c r="B703" s="36"/>
      <c r="C703" s="36"/>
      <c r="D703" s="36"/>
      <c r="E703" s="47"/>
      <c r="F703" s="19"/>
      <c r="I703" s="36"/>
      <c r="S703" s="36"/>
      <c r="T703" s="36"/>
    </row>
    <row r="704" spans="1:20" s="38" customFormat="1" x14ac:dyDescent="0.3">
      <c r="A704" s="36" t="str">
        <f xml:space="preserve"> IF( 'From SvanPC++'!A694= "", "", ('From SvanPC++'!A694))</f>
        <v/>
      </c>
      <c r="B704" s="36"/>
      <c r="C704" s="36"/>
      <c r="D704" s="36"/>
      <c r="E704" s="47"/>
      <c r="F704" s="19"/>
      <c r="I704" s="36"/>
      <c r="S704" s="36"/>
      <c r="T704" s="36"/>
    </row>
    <row r="705" spans="1:20" s="38" customFormat="1" x14ac:dyDescent="0.3">
      <c r="A705" s="36" t="str">
        <f xml:space="preserve"> IF( 'From SvanPC++'!A695= "", "", ('From SvanPC++'!A695))</f>
        <v/>
      </c>
      <c r="B705" s="36"/>
      <c r="C705" s="36"/>
      <c r="D705" s="36"/>
      <c r="E705" s="47"/>
      <c r="F705" s="19"/>
      <c r="I705" s="36"/>
      <c r="S705" s="36"/>
      <c r="T705" s="36"/>
    </row>
    <row r="706" spans="1:20" s="38" customFormat="1" x14ac:dyDescent="0.3">
      <c r="A706" s="36" t="str">
        <f xml:space="preserve"> IF( 'From SvanPC++'!A696= "", "", ('From SvanPC++'!A696))</f>
        <v/>
      </c>
      <c r="B706" s="36"/>
      <c r="C706" s="36"/>
      <c r="D706" s="36"/>
      <c r="E706" s="47"/>
      <c r="F706" s="19"/>
      <c r="I706" s="36"/>
      <c r="S706" s="36"/>
      <c r="T706" s="36"/>
    </row>
    <row r="707" spans="1:20" s="38" customFormat="1" x14ac:dyDescent="0.3">
      <c r="A707" s="36" t="str">
        <f xml:space="preserve"> IF( 'From SvanPC++'!A697= "", "", ('From SvanPC++'!A697))</f>
        <v/>
      </c>
      <c r="B707" s="36"/>
      <c r="C707" s="36"/>
      <c r="D707" s="36"/>
      <c r="E707" s="47"/>
      <c r="F707" s="19"/>
      <c r="I707" s="36"/>
      <c r="S707" s="36"/>
      <c r="T707" s="36"/>
    </row>
    <row r="708" spans="1:20" s="38" customFormat="1" x14ac:dyDescent="0.3">
      <c r="A708" s="36" t="str">
        <f xml:space="preserve"> IF( 'From SvanPC++'!A698= "", "", ('From SvanPC++'!A698))</f>
        <v/>
      </c>
      <c r="B708" s="36"/>
      <c r="C708" s="36"/>
      <c r="D708" s="36"/>
      <c r="E708" s="47"/>
      <c r="F708" s="19"/>
      <c r="I708" s="36"/>
      <c r="S708" s="36"/>
      <c r="T708" s="36"/>
    </row>
    <row r="709" spans="1:20" s="38" customFormat="1" x14ac:dyDescent="0.3">
      <c r="A709" s="36" t="str">
        <f xml:space="preserve"> IF( 'From SvanPC++'!A699= "", "", ('From SvanPC++'!A699))</f>
        <v/>
      </c>
      <c r="B709" s="36"/>
      <c r="C709" s="36"/>
      <c r="D709" s="36"/>
      <c r="E709" s="47"/>
      <c r="F709" s="19"/>
      <c r="I709" s="36"/>
      <c r="S709" s="36"/>
      <c r="T709" s="36"/>
    </row>
    <row r="710" spans="1:20" s="38" customFormat="1" x14ac:dyDescent="0.3">
      <c r="A710" s="36" t="str">
        <f xml:space="preserve"> IF( 'From SvanPC++'!A700= "", "", ('From SvanPC++'!A700))</f>
        <v/>
      </c>
      <c r="B710" s="36"/>
      <c r="C710" s="36"/>
      <c r="D710" s="36"/>
      <c r="E710" s="47"/>
      <c r="F710" s="19"/>
      <c r="I710" s="36"/>
      <c r="S710" s="36"/>
      <c r="T710" s="36"/>
    </row>
    <row r="711" spans="1:20" s="38" customFormat="1" x14ac:dyDescent="0.3">
      <c r="A711" s="36" t="str">
        <f xml:space="preserve"> IF( 'From SvanPC++'!A701= "", "", ('From SvanPC++'!A701))</f>
        <v/>
      </c>
      <c r="B711" s="36"/>
      <c r="C711" s="36"/>
      <c r="D711" s="36"/>
      <c r="E711" s="47"/>
      <c r="F711" s="19"/>
      <c r="I711" s="36"/>
      <c r="S711" s="36"/>
      <c r="T711" s="36"/>
    </row>
    <row r="712" spans="1:20" s="38" customFormat="1" x14ac:dyDescent="0.3">
      <c r="A712" s="36" t="str">
        <f xml:space="preserve"> IF( 'From SvanPC++'!A702= "", "", ('From SvanPC++'!A702))</f>
        <v/>
      </c>
      <c r="B712" s="36"/>
      <c r="C712" s="36"/>
      <c r="D712" s="36"/>
      <c r="E712" s="47"/>
      <c r="F712" s="19"/>
      <c r="I712" s="36"/>
      <c r="S712" s="36"/>
      <c r="T712" s="36"/>
    </row>
    <row r="713" spans="1:20" s="38" customFormat="1" x14ac:dyDescent="0.3">
      <c r="A713" s="36" t="str">
        <f xml:space="preserve"> IF( 'From SvanPC++'!A703= "", "", ('From SvanPC++'!A703))</f>
        <v/>
      </c>
      <c r="B713" s="36"/>
      <c r="C713" s="36"/>
      <c r="D713" s="36"/>
      <c r="E713" s="47"/>
      <c r="F713" s="19"/>
      <c r="I713" s="36"/>
      <c r="S713" s="36"/>
      <c r="T713" s="36"/>
    </row>
    <row r="714" spans="1:20" s="38" customFormat="1" x14ac:dyDescent="0.3">
      <c r="A714" s="36" t="str">
        <f xml:space="preserve"> IF( 'From SvanPC++'!A704= "", "", ('From SvanPC++'!A704))</f>
        <v/>
      </c>
      <c r="B714" s="36"/>
      <c r="C714" s="36"/>
      <c r="D714" s="36"/>
      <c r="E714" s="47"/>
      <c r="F714" s="19"/>
      <c r="I714" s="36"/>
      <c r="S714" s="36"/>
      <c r="T714" s="36"/>
    </row>
    <row r="715" spans="1:20" s="38" customFormat="1" x14ac:dyDescent="0.3">
      <c r="A715" s="36" t="str">
        <f xml:space="preserve"> IF( 'From SvanPC++'!A705= "", "", ('From SvanPC++'!A705))</f>
        <v/>
      </c>
      <c r="B715" s="36"/>
      <c r="C715" s="36"/>
      <c r="D715" s="36"/>
      <c r="E715" s="47"/>
      <c r="F715" s="19"/>
      <c r="I715" s="36"/>
      <c r="S715" s="36"/>
      <c r="T715" s="36"/>
    </row>
    <row r="716" spans="1:20" s="38" customFormat="1" x14ac:dyDescent="0.3">
      <c r="A716" s="36" t="str">
        <f xml:space="preserve"> IF( 'From SvanPC++'!A706= "", "", ('From SvanPC++'!A706))</f>
        <v/>
      </c>
      <c r="B716" s="36"/>
      <c r="C716" s="36"/>
      <c r="D716" s="36"/>
      <c r="E716" s="47"/>
      <c r="F716" s="19"/>
      <c r="I716" s="36"/>
      <c r="S716" s="36"/>
      <c r="T716" s="36"/>
    </row>
    <row r="717" spans="1:20" s="38" customFormat="1" x14ac:dyDescent="0.3">
      <c r="A717" s="36" t="str">
        <f xml:space="preserve"> IF( 'From SvanPC++'!A707= "", "", ('From SvanPC++'!A707))</f>
        <v/>
      </c>
      <c r="B717" s="36"/>
      <c r="C717" s="36"/>
      <c r="D717" s="36"/>
      <c r="E717" s="47"/>
      <c r="F717" s="19"/>
      <c r="I717" s="36"/>
      <c r="S717" s="36"/>
      <c r="T717" s="36"/>
    </row>
    <row r="718" spans="1:20" s="38" customFormat="1" x14ac:dyDescent="0.3">
      <c r="A718" s="36" t="str">
        <f xml:space="preserve"> IF( 'From SvanPC++'!A708= "", "", ('From SvanPC++'!A708))</f>
        <v/>
      </c>
      <c r="B718" s="36"/>
      <c r="C718" s="36"/>
      <c r="D718" s="36"/>
      <c r="E718" s="47"/>
      <c r="F718" s="19"/>
      <c r="I718" s="36"/>
      <c r="S718" s="36"/>
      <c r="T718" s="36"/>
    </row>
    <row r="719" spans="1:20" s="38" customFormat="1" x14ac:dyDescent="0.3">
      <c r="A719" s="36" t="str">
        <f xml:space="preserve"> IF( 'From SvanPC++'!A709= "", "", ('From SvanPC++'!A709))</f>
        <v/>
      </c>
      <c r="B719" s="36"/>
      <c r="C719" s="36"/>
      <c r="D719" s="36"/>
      <c r="E719" s="47"/>
      <c r="F719" s="19"/>
      <c r="I719" s="36"/>
      <c r="S719" s="36"/>
      <c r="T719" s="36"/>
    </row>
    <row r="720" spans="1:20" s="38" customFormat="1" x14ac:dyDescent="0.3">
      <c r="A720" s="36" t="str">
        <f xml:space="preserve"> IF( 'From SvanPC++'!A710= "", "", ('From SvanPC++'!A710))</f>
        <v/>
      </c>
      <c r="B720" s="36"/>
      <c r="C720" s="36"/>
      <c r="D720" s="36"/>
      <c r="E720" s="47"/>
      <c r="F720" s="19"/>
      <c r="I720" s="36"/>
      <c r="S720" s="36"/>
      <c r="T720" s="36"/>
    </row>
    <row r="721" spans="1:20" s="38" customFormat="1" x14ac:dyDescent="0.3">
      <c r="A721" s="36" t="str">
        <f xml:space="preserve"> IF( 'From SvanPC++'!A711= "", "", ('From SvanPC++'!A711))</f>
        <v/>
      </c>
      <c r="B721" s="36"/>
      <c r="C721" s="36"/>
      <c r="D721" s="36"/>
      <c r="E721" s="47"/>
      <c r="F721" s="19"/>
      <c r="I721" s="36"/>
      <c r="S721" s="36"/>
      <c r="T721" s="36"/>
    </row>
    <row r="722" spans="1:20" s="38" customFormat="1" x14ac:dyDescent="0.3">
      <c r="A722" s="36" t="str">
        <f xml:space="preserve"> IF( 'From SvanPC++'!A712= "", "", ('From SvanPC++'!A712))</f>
        <v/>
      </c>
      <c r="B722" s="36"/>
      <c r="C722" s="36"/>
      <c r="D722" s="36"/>
      <c r="E722" s="47"/>
      <c r="F722" s="19"/>
      <c r="I722" s="36"/>
      <c r="S722" s="36"/>
      <c r="T722" s="36"/>
    </row>
    <row r="723" spans="1:20" s="38" customFormat="1" x14ac:dyDescent="0.3">
      <c r="A723" s="36" t="str">
        <f xml:space="preserve"> IF( 'From SvanPC++'!A713= "", "", ('From SvanPC++'!A713))</f>
        <v/>
      </c>
      <c r="B723" s="36"/>
      <c r="C723" s="36"/>
      <c r="D723" s="36"/>
      <c r="E723" s="47"/>
      <c r="F723" s="19"/>
      <c r="I723" s="36"/>
      <c r="S723" s="36"/>
      <c r="T723" s="36"/>
    </row>
    <row r="724" spans="1:20" s="38" customFormat="1" x14ac:dyDescent="0.3">
      <c r="A724" s="36" t="str">
        <f xml:space="preserve"> IF( 'From SvanPC++'!A714= "", "", ('From SvanPC++'!A714))</f>
        <v/>
      </c>
      <c r="B724" s="36"/>
      <c r="C724" s="36"/>
      <c r="D724" s="36"/>
      <c r="E724" s="47"/>
      <c r="F724" s="19"/>
      <c r="I724" s="36"/>
      <c r="S724" s="36"/>
      <c r="T724" s="36"/>
    </row>
    <row r="725" spans="1:20" s="38" customFormat="1" x14ac:dyDescent="0.3">
      <c r="A725" s="36" t="str">
        <f xml:space="preserve"> IF( 'From SvanPC++'!A715= "", "", ('From SvanPC++'!A715))</f>
        <v/>
      </c>
      <c r="B725" s="36"/>
      <c r="C725" s="36"/>
      <c r="D725" s="36"/>
      <c r="E725" s="47"/>
      <c r="F725" s="19"/>
      <c r="I725" s="36"/>
      <c r="S725" s="36"/>
      <c r="T725" s="36"/>
    </row>
    <row r="726" spans="1:20" s="38" customFormat="1" x14ac:dyDescent="0.3">
      <c r="A726" s="36" t="str">
        <f xml:space="preserve"> IF( 'From SvanPC++'!A716= "", "", ('From SvanPC++'!A716))</f>
        <v/>
      </c>
      <c r="B726" s="36"/>
      <c r="C726" s="36"/>
      <c r="D726" s="36"/>
      <c r="E726" s="47"/>
      <c r="F726" s="19"/>
      <c r="I726" s="36"/>
      <c r="S726" s="36"/>
      <c r="T726" s="36"/>
    </row>
    <row r="727" spans="1:20" s="38" customFormat="1" x14ac:dyDescent="0.3">
      <c r="A727" s="36" t="str">
        <f xml:space="preserve"> IF( 'From SvanPC++'!A717= "", "", ('From SvanPC++'!A717))</f>
        <v/>
      </c>
      <c r="B727" s="36"/>
      <c r="C727" s="36"/>
      <c r="D727" s="36"/>
      <c r="E727" s="47"/>
      <c r="F727" s="19"/>
      <c r="I727" s="36"/>
      <c r="S727" s="36"/>
      <c r="T727" s="36"/>
    </row>
    <row r="728" spans="1:20" s="38" customFormat="1" x14ac:dyDescent="0.3">
      <c r="A728" s="36" t="str">
        <f xml:space="preserve"> IF( 'From SvanPC++'!A718= "", "", ('From SvanPC++'!A718))</f>
        <v/>
      </c>
      <c r="B728" s="36"/>
      <c r="C728" s="36"/>
      <c r="D728" s="36"/>
      <c r="E728" s="47"/>
      <c r="F728" s="19"/>
      <c r="I728" s="36"/>
      <c r="S728" s="36"/>
      <c r="T728" s="36"/>
    </row>
    <row r="729" spans="1:20" s="38" customFormat="1" x14ac:dyDescent="0.3">
      <c r="A729" s="36" t="str">
        <f xml:space="preserve"> IF( 'From SvanPC++'!A719= "", "", ('From SvanPC++'!A719))</f>
        <v/>
      </c>
      <c r="B729" s="36"/>
      <c r="C729" s="36"/>
      <c r="D729" s="36"/>
      <c r="E729" s="47"/>
      <c r="F729" s="19"/>
      <c r="I729" s="36"/>
      <c r="S729" s="36"/>
      <c r="T729" s="36"/>
    </row>
    <row r="730" spans="1:20" s="38" customFormat="1" x14ac:dyDescent="0.3">
      <c r="A730" s="36" t="str">
        <f xml:space="preserve"> IF( 'From SvanPC++'!A720= "", "", ('From SvanPC++'!A720))</f>
        <v/>
      </c>
      <c r="B730" s="36"/>
      <c r="C730" s="36"/>
      <c r="D730" s="36"/>
      <c r="E730" s="47"/>
      <c r="F730" s="19"/>
      <c r="I730" s="36"/>
      <c r="S730" s="36"/>
      <c r="T730" s="36"/>
    </row>
    <row r="731" spans="1:20" s="38" customFormat="1" x14ac:dyDescent="0.3">
      <c r="A731" s="36" t="str">
        <f xml:space="preserve"> IF( 'From SvanPC++'!A721= "", "", ('From SvanPC++'!A721))</f>
        <v/>
      </c>
      <c r="B731" s="36"/>
      <c r="C731" s="36"/>
      <c r="D731" s="36"/>
      <c r="E731" s="47"/>
      <c r="F731" s="19"/>
      <c r="I731" s="36"/>
      <c r="S731" s="36"/>
      <c r="T731" s="36"/>
    </row>
    <row r="732" spans="1:20" s="38" customFormat="1" x14ac:dyDescent="0.3">
      <c r="A732" s="36" t="str">
        <f xml:space="preserve"> IF( 'From SvanPC++'!A722= "", "", ('From SvanPC++'!A722))</f>
        <v/>
      </c>
      <c r="B732" s="36"/>
      <c r="C732" s="36"/>
      <c r="D732" s="36"/>
      <c r="E732" s="47"/>
      <c r="F732" s="19"/>
      <c r="I732" s="36"/>
      <c r="S732" s="36"/>
      <c r="T732" s="36"/>
    </row>
    <row r="733" spans="1:20" s="38" customFormat="1" x14ac:dyDescent="0.3">
      <c r="A733" s="36" t="str">
        <f xml:space="preserve"> IF( 'From SvanPC++'!A723= "", "", ('From SvanPC++'!A723))</f>
        <v/>
      </c>
      <c r="B733" s="36"/>
      <c r="C733" s="36"/>
      <c r="D733" s="36"/>
      <c r="E733" s="47"/>
      <c r="F733" s="19"/>
      <c r="I733" s="36"/>
      <c r="S733" s="36"/>
      <c r="T733" s="36"/>
    </row>
    <row r="734" spans="1:20" s="38" customFormat="1" x14ac:dyDescent="0.3">
      <c r="A734" s="36" t="str">
        <f xml:space="preserve"> IF( 'From SvanPC++'!A724= "", "", ('From SvanPC++'!A724))</f>
        <v/>
      </c>
      <c r="B734" s="36"/>
      <c r="C734" s="36"/>
      <c r="D734" s="36"/>
      <c r="E734" s="47"/>
      <c r="F734" s="19"/>
      <c r="I734" s="36"/>
      <c r="S734" s="36"/>
      <c r="T734" s="36"/>
    </row>
    <row r="735" spans="1:20" s="38" customFormat="1" x14ac:dyDescent="0.3">
      <c r="A735" s="36" t="str">
        <f xml:space="preserve"> IF( 'From SvanPC++'!A725= "", "", ('From SvanPC++'!A725))</f>
        <v/>
      </c>
      <c r="B735" s="36"/>
      <c r="C735" s="36"/>
      <c r="D735" s="36"/>
      <c r="E735" s="47"/>
      <c r="F735" s="19"/>
      <c r="I735" s="36"/>
      <c r="S735" s="36"/>
      <c r="T735" s="36"/>
    </row>
    <row r="736" spans="1:20" s="38" customFormat="1" x14ac:dyDescent="0.3">
      <c r="A736" s="36" t="str">
        <f xml:space="preserve"> IF( 'From SvanPC++'!A726= "", "", ('From SvanPC++'!A726))</f>
        <v/>
      </c>
      <c r="B736" s="36"/>
      <c r="C736" s="36"/>
      <c r="D736" s="36"/>
      <c r="E736" s="47"/>
      <c r="F736" s="19"/>
      <c r="I736" s="36"/>
      <c r="S736" s="36"/>
      <c r="T736" s="36"/>
    </row>
    <row r="737" spans="1:20" s="38" customFormat="1" x14ac:dyDescent="0.3">
      <c r="A737" s="36" t="str">
        <f xml:space="preserve"> IF( 'From SvanPC++'!A727= "", "", ('From SvanPC++'!A727))</f>
        <v/>
      </c>
      <c r="B737" s="36"/>
      <c r="C737" s="36"/>
      <c r="D737" s="36"/>
      <c r="E737" s="47"/>
      <c r="F737" s="19"/>
      <c r="I737" s="36"/>
      <c r="S737" s="36"/>
      <c r="T737" s="36"/>
    </row>
    <row r="738" spans="1:20" s="38" customFormat="1" x14ac:dyDescent="0.3">
      <c r="A738" s="36" t="str">
        <f xml:space="preserve"> IF( 'From SvanPC++'!A728= "", "", ('From SvanPC++'!A728))</f>
        <v/>
      </c>
      <c r="B738" s="36"/>
      <c r="C738" s="36"/>
      <c r="D738" s="36"/>
      <c r="E738" s="47"/>
      <c r="F738" s="19"/>
      <c r="I738" s="36"/>
      <c r="S738" s="36"/>
      <c r="T738" s="36"/>
    </row>
    <row r="739" spans="1:20" s="38" customFormat="1" x14ac:dyDescent="0.3">
      <c r="A739" s="36" t="str">
        <f xml:space="preserve"> IF( 'From SvanPC++'!A729= "", "", ('From SvanPC++'!A729))</f>
        <v/>
      </c>
      <c r="B739" s="36"/>
      <c r="C739" s="36"/>
      <c r="D739" s="36"/>
      <c r="E739" s="47"/>
      <c r="F739" s="19"/>
      <c r="I739" s="36"/>
      <c r="S739" s="36"/>
      <c r="T739" s="36"/>
    </row>
    <row r="740" spans="1:20" s="38" customFormat="1" x14ac:dyDescent="0.3">
      <c r="A740" s="36" t="str">
        <f xml:space="preserve"> IF( 'From SvanPC++'!A730= "", "", ('From SvanPC++'!A730))</f>
        <v/>
      </c>
      <c r="B740" s="36"/>
      <c r="C740" s="36"/>
      <c r="D740" s="36"/>
      <c r="E740" s="47"/>
      <c r="F740" s="19"/>
      <c r="I740" s="36"/>
      <c r="S740" s="36"/>
      <c r="T740" s="36"/>
    </row>
    <row r="741" spans="1:20" s="38" customFormat="1" x14ac:dyDescent="0.3">
      <c r="A741" s="36" t="str">
        <f xml:space="preserve"> IF( 'From SvanPC++'!A731= "", "", ('From SvanPC++'!A731))</f>
        <v/>
      </c>
      <c r="B741" s="36"/>
      <c r="C741" s="36"/>
      <c r="D741" s="36"/>
      <c r="E741" s="47"/>
      <c r="F741" s="19"/>
      <c r="I741" s="36"/>
      <c r="S741" s="36"/>
      <c r="T741" s="36"/>
    </row>
    <row r="742" spans="1:20" s="38" customFormat="1" x14ac:dyDescent="0.3">
      <c r="A742" s="36" t="str">
        <f xml:space="preserve"> IF( 'From SvanPC++'!A732= "", "", ('From SvanPC++'!A732))</f>
        <v/>
      </c>
      <c r="B742" s="36"/>
      <c r="C742" s="36"/>
      <c r="D742" s="36"/>
      <c r="E742" s="47"/>
      <c r="F742" s="19"/>
      <c r="I742" s="36"/>
      <c r="S742" s="36"/>
      <c r="T742" s="36"/>
    </row>
    <row r="743" spans="1:20" s="38" customFormat="1" x14ac:dyDescent="0.3">
      <c r="A743" s="36" t="str">
        <f xml:space="preserve"> IF( 'From SvanPC++'!A733= "", "", ('From SvanPC++'!A733))</f>
        <v/>
      </c>
      <c r="B743" s="36"/>
      <c r="C743" s="36"/>
      <c r="D743" s="36"/>
      <c r="E743" s="47"/>
      <c r="F743" s="19"/>
      <c r="I743" s="36"/>
      <c r="S743" s="36"/>
      <c r="T743" s="36"/>
    </row>
    <row r="744" spans="1:20" s="38" customFormat="1" x14ac:dyDescent="0.3">
      <c r="A744" s="36" t="str">
        <f xml:space="preserve"> IF( 'From SvanPC++'!A734= "", "", ('From SvanPC++'!A734))</f>
        <v/>
      </c>
      <c r="B744" s="36"/>
      <c r="C744" s="36"/>
      <c r="D744" s="36"/>
      <c r="E744" s="47"/>
      <c r="F744" s="19"/>
      <c r="I744" s="36"/>
      <c r="S744" s="36"/>
      <c r="T744" s="36"/>
    </row>
    <row r="745" spans="1:20" s="38" customFormat="1" x14ac:dyDescent="0.3">
      <c r="A745" s="36" t="str">
        <f xml:space="preserve"> IF( 'From SvanPC++'!A735= "", "", ('From SvanPC++'!A735))</f>
        <v/>
      </c>
      <c r="B745" s="36"/>
      <c r="C745" s="36"/>
      <c r="D745" s="36"/>
      <c r="E745" s="47"/>
      <c r="F745" s="19"/>
      <c r="I745" s="36"/>
      <c r="S745" s="36"/>
      <c r="T745" s="36"/>
    </row>
    <row r="746" spans="1:20" s="38" customFormat="1" x14ac:dyDescent="0.3">
      <c r="A746" s="36" t="str">
        <f xml:space="preserve"> IF( 'From SvanPC++'!A736= "", "", ('From SvanPC++'!A736))</f>
        <v/>
      </c>
      <c r="B746" s="36"/>
      <c r="C746" s="36"/>
      <c r="D746" s="36"/>
      <c r="E746" s="47"/>
      <c r="F746" s="19"/>
      <c r="I746" s="36"/>
      <c r="S746" s="36"/>
      <c r="T746" s="36"/>
    </row>
    <row r="747" spans="1:20" s="38" customFormat="1" x14ac:dyDescent="0.3">
      <c r="A747" s="36" t="str">
        <f xml:space="preserve"> IF( 'From SvanPC++'!A737= "", "", ('From SvanPC++'!A737))</f>
        <v/>
      </c>
      <c r="B747" s="36"/>
      <c r="C747" s="36"/>
      <c r="D747" s="36"/>
      <c r="E747" s="47"/>
      <c r="F747" s="19"/>
      <c r="I747" s="36"/>
      <c r="S747" s="36"/>
      <c r="T747" s="36"/>
    </row>
    <row r="748" spans="1:20" s="38" customFormat="1" x14ac:dyDescent="0.3">
      <c r="A748" s="36" t="str">
        <f xml:space="preserve"> IF( 'From SvanPC++'!A738= "", "", ('From SvanPC++'!A738))</f>
        <v/>
      </c>
      <c r="B748" s="36"/>
      <c r="C748" s="36"/>
      <c r="D748" s="36"/>
      <c r="E748" s="47"/>
      <c r="F748" s="19"/>
      <c r="I748" s="36"/>
      <c r="S748" s="36"/>
      <c r="T748" s="36"/>
    </row>
    <row r="749" spans="1:20" s="38" customFormat="1" x14ac:dyDescent="0.3">
      <c r="A749" s="36" t="str">
        <f xml:space="preserve"> IF( 'From SvanPC++'!A739= "", "", ('From SvanPC++'!A739))</f>
        <v/>
      </c>
      <c r="B749" s="36"/>
      <c r="C749" s="36"/>
      <c r="D749" s="36"/>
      <c r="E749" s="47"/>
      <c r="F749" s="19"/>
      <c r="I749" s="36"/>
      <c r="S749" s="36"/>
      <c r="T749" s="36"/>
    </row>
    <row r="750" spans="1:20" s="38" customFormat="1" x14ac:dyDescent="0.3">
      <c r="A750" s="36" t="str">
        <f xml:space="preserve"> IF( 'From SvanPC++'!A740= "", "", ('From SvanPC++'!A740))</f>
        <v/>
      </c>
      <c r="B750" s="36"/>
      <c r="C750" s="36"/>
      <c r="D750" s="36"/>
      <c r="E750" s="47"/>
      <c r="F750" s="19"/>
      <c r="I750" s="36"/>
      <c r="S750" s="36"/>
      <c r="T750" s="36"/>
    </row>
    <row r="751" spans="1:20" s="38" customFormat="1" x14ac:dyDescent="0.3">
      <c r="A751" s="36" t="str">
        <f xml:space="preserve"> IF( 'From SvanPC++'!A741= "", "", ('From SvanPC++'!A741))</f>
        <v/>
      </c>
      <c r="B751" s="36"/>
      <c r="C751" s="36"/>
      <c r="D751" s="36"/>
      <c r="E751" s="47"/>
      <c r="F751" s="19"/>
      <c r="I751" s="36"/>
      <c r="S751" s="36"/>
      <c r="T751" s="36"/>
    </row>
    <row r="752" spans="1:20" s="38" customFormat="1" x14ac:dyDescent="0.3">
      <c r="A752" s="36" t="str">
        <f xml:space="preserve"> IF( 'From SvanPC++'!A742= "", "", ('From SvanPC++'!A742))</f>
        <v/>
      </c>
      <c r="B752" s="36"/>
      <c r="C752" s="36"/>
      <c r="D752" s="36"/>
      <c r="E752" s="47"/>
      <c r="F752" s="19"/>
      <c r="I752" s="36"/>
      <c r="S752" s="36"/>
      <c r="T752" s="36"/>
    </row>
    <row r="753" spans="1:20" s="38" customFormat="1" x14ac:dyDescent="0.3">
      <c r="A753" s="36" t="str">
        <f xml:space="preserve"> IF( 'From SvanPC++'!A743= "", "", ('From SvanPC++'!A743))</f>
        <v/>
      </c>
      <c r="B753" s="36"/>
      <c r="C753" s="36"/>
      <c r="D753" s="36"/>
      <c r="E753" s="47"/>
      <c r="F753" s="19"/>
      <c r="I753" s="36"/>
      <c r="S753" s="36"/>
      <c r="T753" s="36"/>
    </row>
    <row r="754" spans="1:20" s="38" customFormat="1" x14ac:dyDescent="0.3">
      <c r="A754" s="36" t="str">
        <f xml:space="preserve"> IF( 'From SvanPC++'!A744= "", "", ('From SvanPC++'!A744))</f>
        <v/>
      </c>
      <c r="B754" s="36"/>
      <c r="C754" s="36"/>
      <c r="D754" s="36"/>
      <c r="E754" s="47"/>
      <c r="F754" s="19"/>
      <c r="I754" s="36"/>
      <c r="S754" s="36"/>
      <c r="T754" s="36"/>
    </row>
    <row r="755" spans="1:20" s="38" customFormat="1" x14ac:dyDescent="0.3">
      <c r="A755" s="36" t="str">
        <f xml:space="preserve"> IF( 'From SvanPC++'!A745= "", "", ('From SvanPC++'!A745))</f>
        <v/>
      </c>
      <c r="B755" s="36"/>
      <c r="C755" s="36"/>
      <c r="D755" s="36"/>
      <c r="E755" s="47"/>
      <c r="F755" s="19"/>
      <c r="I755" s="36"/>
      <c r="S755" s="36"/>
      <c r="T755" s="36"/>
    </row>
    <row r="756" spans="1:20" s="38" customFormat="1" x14ac:dyDescent="0.3">
      <c r="A756" s="36" t="str">
        <f xml:space="preserve"> IF( 'From SvanPC++'!A746= "", "", ('From SvanPC++'!A746))</f>
        <v/>
      </c>
      <c r="B756" s="36"/>
      <c r="C756" s="36"/>
      <c r="D756" s="36"/>
      <c r="E756" s="47"/>
      <c r="F756" s="19"/>
      <c r="I756" s="36"/>
      <c r="S756" s="36"/>
      <c r="T756" s="36"/>
    </row>
    <row r="757" spans="1:20" s="38" customFormat="1" x14ac:dyDescent="0.3">
      <c r="A757" s="36" t="str">
        <f xml:space="preserve"> IF( 'From SvanPC++'!A747= "", "", ('From SvanPC++'!A747))</f>
        <v/>
      </c>
      <c r="B757" s="36"/>
      <c r="C757" s="36"/>
      <c r="D757" s="36"/>
      <c r="E757" s="47"/>
      <c r="F757" s="19"/>
      <c r="I757" s="36"/>
      <c r="S757" s="36"/>
      <c r="T757" s="36"/>
    </row>
    <row r="758" spans="1:20" s="38" customFormat="1" x14ac:dyDescent="0.3">
      <c r="A758" s="36" t="str">
        <f xml:space="preserve"> IF( 'From SvanPC++'!A748= "", "", ('From SvanPC++'!A748))</f>
        <v/>
      </c>
      <c r="B758" s="36"/>
      <c r="C758" s="36"/>
      <c r="D758" s="36"/>
      <c r="E758" s="47"/>
      <c r="F758" s="19"/>
      <c r="I758" s="36"/>
      <c r="S758" s="36"/>
      <c r="T758" s="36"/>
    </row>
    <row r="759" spans="1:20" s="38" customFormat="1" x14ac:dyDescent="0.3">
      <c r="A759" s="36" t="str">
        <f xml:space="preserve"> IF( 'From SvanPC++'!A749= "", "", ('From SvanPC++'!A749))</f>
        <v/>
      </c>
      <c r="B759" s="36"/>
      <c r="C759" s="36"/>
      <c r="D759" s="36"/>
      <c r="E759" s="47"/>
      <c r="F759" s="19"/>
      <c r="I759" s="36"/>
      <c r="S759" s="36"/>
      <c r="T759" s="36"/>
    </row>
    <row r="760" spans="1:20" s="38" customFormat="1" x14ac:dyDescent="0.3">
      <c r="A760" s="36" t="str">
        <f xml:space="preserve"> IF( 'From SvanPC++'!A750= "", "", ('From SvanPC++'!A750))</f>
        <v/>
      </c>
      <c r="B760" s="36"/>
      <c r="C760" s="36"/>
      <c r="D760" s="36"/>
      <c r="E760" s="47"/>
      <c r="F760" s="19"/>
      <c r="I760" s="36"/>
      <c r="S760" s="36"/>
      <c r="T760" s="36"/>
    </row>
    <row r="761" spans="1:20" s="38" customFormat="1" x14ac:dyDescent="0.3">
      <c r="A761" s="36" t="str">
        <f xml:space="preserve"> IF( 'From SvanPC++'!A751= "", "", ('From SvanPC++'!A751))</f>
        <v/>
      </c>
      <c r="B761" s="36"/>
      <c r="C761" s="36"/>
      <c r="D761" s="36"/>
      <c r="E761" s="47"/>
      <c r="F761" s="19"/>
      <c r="I761" s="36"/>
      <c r="S761" s="36"/>
      <c r="T761" s="36"/>
    </row>
    <row r="762" spans="1:20" s="38" customFormat="1" x14ac:dyDescent="0.3">
      <c r="A762" s="36" t="str">
        <f xml:space="preserve"> IF( 'From SvanPC++'!A752= "", "", ('From SvanPC++'!A752))</f>
        <v/>
      </c>
      <c r="B762" s="36"/>
      <c r="C762" s="36"/>
      <c r="D762" s="36"/>
      <c r="E762" s="47"/>
      <c r="F762" s="19"/>
      <c r="I762" s="36"/>
      <c r="S762" s="36"/>
      <c r="T762" s="36"/>
    </row>
    <row r="763" spans="1:20" s="38" customFormat="1" x14ac:dyDescent="0.3">
      <c r="A763" s="36" t="str">
        <f xml:space="preserve"> IF( 'From SvanPC++'!A753= "", "", ('From SvanPC++'!A753))</f>
        <v/>
      </c>
      <c r="B763" s="36"/>
      <c r="C763" s="36"/>
      <c r="D763" s="36"/>
      <c r="E763" s="47"/>
      <c r="F763" s="19"/>
      <c r="I763" s="36"/>
      <c r="S763" s="36"/>
      <c r="T763" s="36"/>
    </row>
    <row r="764" spans="1:20" s="38" customFormat="1" x14ac:dyDescent="0.3">
      <c r="A764" s="36" t="str">
        <f xml:space="preserve"> IF( 'From SvanPC++'!A754= "", "", ('From SvanPC++'!A754))</f>
        <v/>
      </c>
      <c r="B764" s="36"/>
      <c r="C764" s="36"/>
      <c r="D764" s="36"/>
      <c r="E764" s="47"/>
      <c r="F764" s="19"/>
      <c r="I764" s="36"/>
      <c r="S764" s="36"/>
      <c r="T764" s="36"/>
    </row>
    <row r="765" spans="1:20" s="38" customFormat="1" x14ac:dyDescent="0.3">
      <c r="A765" s="36" t="str">
        <f xml:space="preserve"> IF( 'From SvanPC++'!A755= "", "", ('From SvanPC++'!A755))</f>
        <v/>
      </c>
      <c r="B765" s="36"/>
      <c r="C765" s="36"/>
      <c r="D765" s="36"/>
      <c r="E765" s="47"/>
      <c r="F765" s="19"/>
      <c r="I765" s="36"/>
      <c r="S765" s="36"/>
      <c r="T765" s="36"/>
    </row>
    <row r="766" spans="1:20" s="38" customFormat="1" x14ac:dyDescent="0.3">
      <c r="A766" s="36" t="str">
        <f xml:space="preserve"> IF( 'From SvanPC++'!A756= "", "", ('From SvanPC++'!A756))</f>
        <v/>
      </c>
      <c r="B766" s="36"/>
      <c r="C766" s="36"/>
      <c r="D766" s="36"/>
      <c r="E766" s="47"/>
      <c r="F766" s="19"/>
      <c r="I766" s="36"/>
      <c r="S766" s="36"/>
      <c r="T766" s="36"/>
    </row>
    <row r="767" spans="1:20" s="38" customFormat="1" x14ac:dyDescent="0.3">
      <c r="A767" s="36" t="str">
        <f xml:space="preserve"> IF( 'From SvanPC++'!A757= "", "", ('From SvanPC++'!A757))</f>
        <v/>
      </c>
      <c r="B767" s="36"/>
      <c r="C767" s="36"/>
      <c r="D767" s="36"/>
      <c r="E767" s="47"/>
      <c r="F767" s="19"/>
      <c r="I767" s="36"/>
      <c r="S767" s="36"/>
      <c r="T767" s="36"/>
    </row>
    <row r="768" spans="1:20" s="38" customFormat="1" x14ac:dyDescent="0.3">
      <c r="A768" s="36" t="str">
        <f xml:space="preserve"> IF( 'From SvanPC++'!A758= "", "", ('From SvanPC++'!A758))</f>
        <v/>
      </c>
      <c r="B768" s="36"/>
      <c r="C768" s="36"/>
      <c r="D768" s="36"/>
      <c r="E768" s="47"/>
      <c r="F768" s="19"/>
      <c r="I768" s="36"/>
      <c r="S768" s="36"/>
      <c r="T768" s="36"/>
    </row>
    <row r="769" spans="1:20" s="38" customFormat="1" x14ac:dyDescent="0.3">
      <c r="A769" s="36" t="str">
        <f xml:space="preserve"> IF( 'From SvanPC++'!A759= "", "", ('From SvanPC++'!A759))</f>
        <v/>
      </c>
      <c r="B769" s="36"/>
      <c r="C769" s="36"/>
      <c r="D769" s="36"/>
      <c r="E769" s="47"/>
      <c r="F769" s="19"/>
      <c r="I769" s="36"/>
      <c r="S769" s="36"/>
      <c r="T769" s="36"/>
    </row>
    <row r="770" spans="1:20" s="38" customFormat="1" x14ac:dyDescent="0.3">
      <c r="A770" s="36" t="str">
        <f xml:space="preserve"> IF( 'From SvanPC++'!A760= "", "", ('From SvanPC++'!A760))</f>
        <v/>
      </c>
      <c r="B770" s="36"/>
      <c r="C770" s="36"/>
      <c r="D770" s="36"/>
      <c r="E770" s="47"/>
      <c r="F770" s="19"/>
      <c r="I770" s="36"/>
      <c r="S770" s="36"/>
      <c r="T770" s="36"/>
    </row>
    <row r="771" spans="1:20" s="38" customFormat="1" x14ac:dyDescent="0.3">
      <c r="A771" s="36" t="str">
        <f xml:space="preserve"> IF( 'From SvanPC++'!A761= "", "", ('From SvanPC++'!A761))</f>
        <v/>
      </c>
      <c r="B771" s="36"/>
      <c r="C771" s="36"/>
      <c r="D771" s="36"/>
      <c r="E771" s="47"/>
      <c r="F771" s="19"/>
      <c r="I771" s="36"/>
      <c r="S771" s="36"/>
      <c r="T771" s="36"/>
    </row>
    <row r="772" spans="1:20" s="38" customFormat="1" x14ac:dyDescent="0.3">
      <c r="A772" s="36" t="str">
        <f xml:space="preserve"> IF( 'From SvanPC++'!A762= "", "", ('From SvanPC++'!A762))</f>
        <v/>
      </c>
      <c r="B772" s="36"/>
      <c r="C772" s="36"/>
      <c r="D772" s="36"/>
      <c r="E772" s="47"/>
      <c r="F772" s="19"/>
      <c r="I772" s="36"/>
      <c r="S772" s="36"/>
      <c r="T772" s="36"/>
    </row>
    <row r="773" spans="1:20" s="38" customFormat="1" x14ac:dyDescent="0.3">
      <c r="A773" s="36" t="str">
        <f xml:space="preserve"> IF( 'From SvanPC++'!A763= "", "", ('From SvanPC++'!A763))</f>
        <v/>
      </c>
      <c r="B773" s="36"/>
      <c r="C773" s="36"/>
      <c r="D773" s="36"/>
      <c r="E773" s="47"/>
      <c r="F773" s="19"/>
      <c r="I773" s="36"/>
      <c r="S773" s="36"/>
      <c r="T773" s="36"/>
    </row>
    <row r="774" spans="1:20" s="38" customFormat="1" x14ac:dyDescent="0.3">
      <c r="A774" s="36" t="str">
        <f xml:space="preserve"> IF( 'From SvanPC++'!A764= "", "", ('From SvanPC++'!A764))</f>
        <v/>
      </c>
      <c r="B774" s="36"/>
      <c r="C774" s="36"/>
      <c r="D774" s="36"/>
      <c r="E774" s="47"/>
      <c r="F774" s="19"/>
      <c r="I774" s="36"/>
      <c r="S774" s="36"/>
      <c r="T774" s="36"/>
    </row>
    <row r="775" spans="1:20" s="38" customFormat="1" x14ac:dyDescent="0.3">
      <c r="A775" s="36" t="str">
        <f xml:space="preserve"> IF( 'From SvanPC++'!A765= "", "", ('From SvanPC++'!A765))</f>
        <v/>
      </c>
      <c r="B775" s="36"/>
      <c r="C775" s="36"/>
      <c r="D775" s="36"/>
      <c r="E775" s="47"/>
      <c r="F775" s="19"/>
      <c r="I775" s="36"/>
      <c r="S775" s="36"/>
      <c r="T775" s="36"/>
    </row>
    <row r="776" spans="1:20" s="38" customFormat="1" x14ac:dyDescent="0.3">
      <c r="A776" s="36" t="str">
        <f xml:space="preserve"> IF( 'From SvanPC++'!A766= "", "", ('From SvanPC++'!A766))</f>
        <v/>
      </c>
      <c r="B776" s="36"/>
      <c r="C776" s="36"/>
      <c r="D776" s="36"/>
      <c r="E776" s="47"/>
      <c r="F776" s="19"/>
      <c r="I776" s="36"/>
      <c r="S776" s="36"/>
      <c r="T776" s="36"/>
    </row>
    <row r="777" spans="1:20" s="38" customFormat="1" x14ac:dyDescent="0.3">
      <c r="A777" s="36" t="str">
        <f xml:space="preserve"> IF( 'From SvanPC++'!A767= "", "", ('From SvanPC++'!A767))</f>
        <v/>
      </c>
      <c r="B777" s="36"/>
      <c r="C777" s="36"/>
      <c r="D777" s="36"/>
      <c r="E777" s="47"/>
      <c r="F777" s="19"/>
      <c r="I777" s="36"/>
      <c r="S777" s="36"/>
      <c r="T777" s="36"/>
    </row>
    <row r="778" spans="1:20" s="38" customFormat="1" x14ac:dyDescent="0.3">
      <c r="A778" s="36" t="str">
        <f xml:space="preserve"> IF( 'From SvanPC++'!A768= "", "", ('From SvanPC++'!A768))</f>
        <v/>
      </c>
      <c r="B778" s="36"/>
      <c r="C778" s="36"/>
      <c r="D778" s="36"/>
      <c r="E778" s="47"/>
      <c r="F778" s="19"/>
      <c r="I778" s="36"/>
      <c r="S778" s="36"/>
      <c r="T778" s="36"/>
    </row>
    <row r="779" spans="1:20" s="38" customFormat="1" x14ac:dyDescent="0.3">
      <c r="A779" s="36" t="str">
        <f xml:space="preserve"> IF( 'From SvanPC++'!A769= "", "", ('From SvanPC++'!A769))</f>
        <v/>
      </c>
      <c r="B779" s="36"/>
      <c r="C779" s="36"/>
      <c r="D779" s="36"/>
      <c r="E779" s="47"/>
      <c r="F779" s="19"/>
      <c r="I779" s="36"/>
      <c r="S779" s="36"/>
      <c r="T779" s="36"/>
    </row>
    <row r="780" spans="1:20" s="38" customFormat="1" x14ac:dyDescent="0.3">
      <c r="A780" s="36" t="str">
        <f xml:space="preserve"> IF( 'From SvanPC++'!A770= "", "", ('From SvanPC++'!A770))</f>
        <v/>
      </c>
      <c r="B780" s="36"/>
      <c r="C780" s="36"/>
      <c r="D780" s="36"/>
      <c r="E780" s="47"/>
      <c r="F780" s="19"/>
      <c r="I780" s="36"/>
      <c r="S780" s="36"/>
      <c r="T780" s="36"/>
    </row>
    <row r="781" spans="1:20" s="38" customFormat="1" x14ac:dyDescent="0.3">
      <c r="A781" s="36" t="str">
        <f xml:space="preserve"> IF( 'From SvanPC++'!A771= "", "", ('From SvanPC++'!A771))</f>
        <v/>
      </c>
      <c r="B781" s="36"/>
      <c r="C781" s="36"/>
      <c r="D781" s="36"/>
      <c r="E781" s="47"/>
      <c r="F781" s="19"/>
      <c r="I781" s="36"/>
      <c r="S781" s="36"/>
      <c r="T781" s="36"/>
    </row>
    <row r="782" spans="1:20" s="38" customFormat="1" x14ac:dyDescent="0.3">
      <c r="A782" s="36" t="str">
        <f xml:space="preserve"> IF( 'From SvanPC++'!A772= "", "", ('From SvanPC++'!A772))</f>
        <v/>
      </c>
      <c r="B782" s="36"/>
      <c r="C782" s="36"/>
      <c r="D782" s="36"/>
      <c r="E782" s="47"/>
      <c r="F782" s="19"/>
      <c r="I782" s="36"/>
      <c r="S782" s="36"/>
      <c r="T782" s="36"/>
    </row>
    <row r="783" spans="1:20" s="38" customFormat="1" x14ac:dyDescent="0.3">
      <c r="A783" s="36" t="str">
        <f xml:space="preserve"> IF( 'From SvanPC++'!A773= "", "", ('From SvanPC++'!A773))</f>
        <v/>
      </c>
      <c r="B783" s="36"/>
      <c r="C783" s="36"/>
      <c r="D783" s="36"/>
      <c r="E783" s="47"/>
      <c r="F783" s="19"/>
      <c r="I783" s="36"/>
      <c r="S783" s="36"/>
      <c r="T783" s="36"/>
    </row>
    <row r="784" spans="1:20" s="38" customFormat="1" x14ac:dyDescent="0.3">
      <c r="A784" s="36" t="str">
        <f xml:space="preserve"> IF( 'From SvanPC++'!A774= "", "", ('From SvanPC++'!A774))</f>
        <v/>
      </c>
      <c r="B784" s="36"/>
      <c r="C784" s="36"/>
      <c r="D784" s="36"/>
      <c r="E784" s="47"/>
      <c r="F784" s="19"/>
      <c r="I784" s="36"/>
      <c r="S784" s="36"/>
      <c r="T784" s="36"/>
    </row>
    <row r="785" spans="1:20" s="38" customFormat="1" x14ac:dyDescent="0.3">
      <c r="A785" s="36" t="str">
        <f xml:space="preserve"> IF( 'From SvanPC++'!A775= "", "", ('From SvanPC++'!A775))</f>
        <v/>
      </c>
      <c r="B785" s="36"/>
      <c r="C785" s="36"/>
      <c r="D785" s="36"/>
      <c r="E785" s="47"/>
      <c r="F785" s="19"/>
      <c r="I785" s="36"/>
      <c r="S785" s="36"/>
      <c r="T785" s="36"/>
    </row>
    <row r="786" spans="1:20" s="38" customFormat="1" x14ac:dyDescent="0.3">
      <c r="A786" s="36" t="str">
        <f xml:space="preserve"> IF( 'From SvanPC++'!A776= "", "", ('From SvanPC++'!A776))</f>
        <v/>
      </c>
      <c r="B786" s="36"/>
      <c r="C786" s="36"/>
      <c r="D786" s="36"/>
      <c r="E786" s="47"/>
      <c r="F786" s="19"/>
      <c r="I786" s="36"/>
      <c r="S786" s="36"/>
      <c r="T786" s="36"/>
    </row>
    <row r="787" spans="1:20" s="38" customFormat="1" x14ac:dyDescent="0.3">
      <c r="A787" s="36" t="str">
        <f xml:space="preserve"> IF( 'From SvanPC++'!A777= "", "", ('From SvanPC++'!A777))</f>
        <v/>
      </c>
      <c r="B787" s="36"/>
      <c r="C787" s="36"/>
      <c r="D787" s="36"/>
      <c r="E787" s="47"/>
      <c r="F787" s="19"/>
      <c r="I787" s="36"/>
      <c r="S787" s="36"/>
      <c r="T787" s="36"/>
    </row>
    <row r="788" spans="1:20" s="38" customFormat="1" x14ac:dyDescent="0.3">
      <c r="A788" s="36" t="str">
        <f xml:space="preserve"> IF( 'From SvanPC++'!A778= "", "", ('From SvanPC++'!A778))</f>
        <v/>
      </c>
      <c r="B788" s="36"/>
      <c r="C788" s="36"/>
      <c r="D788" s="36"/>
      <c r="E788" s="47"/>
      <c r="F788" s="19"/>
      <c r="I788" s="36"/>
      <c r="S788" s="36"/>
      <c r="T788" s="36"/>
    </row>
    <row r="789" spans="1:20" s="38" customFormat="1" x14ac:dyDescent="0.3">
      <c r="A789" s="36" t="str">
        <f xml:space="preserve"> IF( 'From SvanPC++'!A779= "", "", ('From SvanPC++'!A779))</f>
        <v/>
      </c>
      <c r="B789" s="36"/>
      <c r="C789" s="36"/>
      <c r="D789" s="36"/>
      <c r="E789" s="47"/>
      <c r="F789" s="19"/>
      <c r="I789" s="36"/>
      <c r="S789" s="36"/>
      <c r="T789" s="36"/>
    </row>
    <row r="790" spans="1:20" s="38" customFormat="1" x14ac:dyDescent="0.3">
      <c r="A790" s="36" t="str">
        <f xml:space="preserve"> IF( 'From SvanPC++'!A780= "", "", ('From SvanPC++'!A780))</f>
        <v/>
      </c>
      <c r="B790" s="36"/>
      <c r="C790" s="36"/>
      <c r="D790" s="36"/>
      <c r="E790" s="47"/>
      <c r="F790" s="19"/>
      <c r="I790" s="36"/>
      <c r="S790" s="36"/>
      <c r="T790" s="36"/>
    </row>
    <row r="791" spans="1:20" s="38" customFormat="1" x14ac:dyDescent="0.3">
      <c r="A791" s="36" t="str">
        <f xml:space="preserve"> IF( 'From SvanPC++'!A781= "", "", ('From SvanPC++'!A781))</f>
        <v/>
      </c>
      <c r="B791" s="36"/>
      <c r="C791" s="36"/>
      <c r="D791" s="36"/>
      <c r="E791" s="47"/>
      <c r="F791" s="19"/>
      <c r="I791" s="36"/>
      <c r="S791" s="36"/>
      <c r="T791" s="36"/>
    </row>
    <row r="792" spans="1:20" s="38" customFormat="1" x14ac:dyDescent="0.3">
      <c r="A792" s="36" t="str">
        <f xml:space="preserve"> IF( 'From SvanPC++'!A782= "", "", ('From SvanPC++'!A782))</f>
        <v/>
      </c>
      <c r="B792" s="36"/>
      <c r="C792" s="36"/>
      <c r="D792" s="36"/>
      <c r="E792" s="47"/>
      <c r="F792" s="19"/>
      <c r="I792" s="36"/>
      <c r="S792" s="36"/>
      <c r="T792" s="36"/>
    </row>
    <row r="793" spans="1:20" s="38" customFormat="1" x14ac:dyDescent="0.3">
      <c r="A793" s="36" t="str">
        <f xml:space="preserve"> IF( 'From SvanPC++'!A783= "", "", ('From SvanPC++'!A783))</f>
        <v/>
      </c>
      <c r="B793" s="36"/>
      <c r="C793" s="36"/>
      <c r="D793" s="36"/>
      <c r="E793" s="47"/>
      <c r="F793" s="19"/>
      <c r="I793" s="36"/>
      <c r="S793" s="36"/>
      <c r="T793" s="36"/>
    </row>
    <row r="794" spans="1:20" s="38" customFormat="1" x14ac:dyDescent="0.3">
      <c r="A794" s="36" t="str">
        <f xml:space="preserve"> IF( 'From SvanPC++'!A784= "", "", ('From SvanPC++'!A784))</f>
        <v/>
      </c>
      <c r="B794" s="36"/>
      <c r="C794" s="36"/>
      <c r="D794" s="36"/>
      <c r="E794" s="47"/>
      <c r="F794" s="19"/>
      <c r="I794" s="36"/>
      <c r="S794" s="36"/>
      <c r="T794" s="36"/>
    </row>
    <row r="795" spans="1:20" s="38" customFormat="1" x14ac:dyDescent="0.3">
      <c r="A795" s="36" t="str">
        <f xml:space="preserve"> IF( 'From SvanPC++'!A785= "", "", ('From SvanPC++'!A785))</f>
        <v/>
      </c>
      <c r="B795" s="36"/>
      <c r="C795" s="36"/>
      <c r="D795" s="36"/>
      <c r="E795" s="47"/>
      <c r="F795" s="19"/>
      <c r="I795" s="36"/>
      <c r="S795" s="36"/>
      <c r="T795" s="36"/>
    </row>
    <row r="796" spans="1:20" s="38" customFormat="1" x14ac:dyDescent="0.3">
      <c r="A796" s="36" t="str">
        <f xml:space="preserve"> IF( 'From SvanPC++'!A786= "", "", ('From SvanPC++'!A786))</f>
        <v/>
      </c>
      <c r="B796" s="36"/>
      <c r="C796" s="36"/>
      <c r="D796" s="36"/>
      <c r="E796" s="47"/>
      <c r="F796" s="19"/>
      <c r="I796" s="36"/>
      <c r="S796" s="36"/>
      <c r="T796" s="36"/>
    </row>
    <row r="797" spans="1:20" s="38" customFormat="1" x14ac:dyDescent="0.3">
      <c r="A797" s="36" t="str">
        <f xml:space="preserve"> IF( 'From SvanPC++'!A787= "", "", ('From SvanPC++'!A787))</f>
        <v/>
      </c>
      <c r="B797" s="36"/>
      <c r="C797" s="36"/>
      <c r="D797" s="36"/>
      <c r="E797" s="47"/>
      <c r="F797" s="19"/>
      <c r="I797" s="36"/>
      <c r="S797" s="36"/>
      <c r="T797" s="36"/>
    </row>
    <row r="798" spans="1:20" s="38" customFormat="1" x14ac:dyDescent="0.3">
      <c r="A798" s="36" t="str">
        <f xml:space="preserve"> IF( 'From SvanPC++'!A788= "", "", ('From SvanPC++'!A788))</f>
        <v/>
      </c>
      <c r="B798" s="36"/>
      <c r="C798" s="36"/>
      <c r="D798" s="36"/>
      <c r="E798" s="47"/>
      <c r="F798" s="19"/>
      <c r="I798" s="36"/>
      <c r="S798" s="36"/>
      <c r="T798" s="36"/>
    </row>
    <row r="799" spans="1:20" s="38" customFormat="1" x14ac:dyDescent="0.3">
      <c r="A799" s="36" t="str">
        <f xml:space="preserve"> IF( 'From SvanPC++'!A789= "", "", ('From SvanPC++'!A789))</f>
        <v/>
      </c>
      <c r="B799" s="36"/>
      <c r="C799" s="36"/>
      <c r="D799" s="36"/>
      <c r="E799" s="47"/>
      <c r="F799" s="19"/>
      <c r="I799" s="36"/>
      <c r="S799" s="36"/>
      <c r="T799" s="36"/>
    </row>
    <row r="800" spans="1:20" s="38" customFormat="1" x14ac:dyDescent="0.3">
      <c r="A800" s="36" t="str">
        <f xml:space="preserve"> IF( 'From SvanPC++'!A790= "", "", ('From SvanPC++'!A790))</f>
        <v/>
      </c>
      <c r="B800" s="36"/>
      <c r="C800" s="36"/>
      <c r="D800" s="36"/>
      <c r="E800" s="47"/>
      <c r="F800" s="19"/>
      <c r="I800" s="36"/>
      <c r="S800" s="36"/>
      <c r="T800" s="36"/>
    </row>
    <row r="801" spans="1:20" s="38" customFormat="1" x14ac:dyDescent="0.3">
      <c r="A801" s="36" t="str">
        <f xml:space="preserve"> IF( 'From SvanPC++'!A791= "", "", ('From SvanPC++'!A791))</f>
        <v/>
      </c>
      <c r="B801" s="36"/>
      <c r="C801" s="36"/>
      <c r="D801" s="36"/>
      <c r="E801" s="47"/>
      <c r="F801" s="19"/>
      <c r="I801" s="36"/>
      <c r="S801" s="36"/>
      <c r="T801" s="36"/>
    </row>
    <row r="802" spans="1:20" s="38" customFormat="1" x14ac:dyDescent="0.3">
      <c r="A802" s="36" t="str">
        <f xml:space="preserve"> IF( 'From SvanPC++'!A792= "", "", ('From SvanPC++'!A792))</f>
        <v/>
      </c>
      <c r="B802" s="36"/>
      <c r="C802" s="36"/>
      <c r="D802" s="36"/>
      <c r="E802" s="47"/>
      <c r="F802" s="19"/>
      <c r="I802" s="36"/>
      <c r="S802" s="36"/>
      <c r="T802" s="36"/>
    </row>
    <row r="803" spans="1:20" s="38" customFormat="1" x14ac:dyDescent="0.3">
      <c r="A803" s="36" t="str">
        <f xml:space="preserve"> IF( 'From SvanPC++'!A793= "", "", ('From SvanPC++'!A793))</f>
        <v/>
      </c>
      <c r="B803" s="36"/>
      <c r="C803" s="36"/>
      <c r="D803" s="36"/>
      <c r="E803" s="47"/>
      <c r="F803" s="19"/>
      <c r="I803" s="36"/>
      <c r="S803" s="36"/>
      <c r="T803" s="36"/>
    </row>
    <row r="804" spans="1:20" s="38" customFormat="1" x14ac:dyDescent="0.3">
      <c r="A804" s="36" t="str">
        <f xml:space="preserve"> IF( 'From SvanPC++'!A794= "", "", ('From SvanPC++'!A794))</f>
        <v/>
      </c>
      <c r="B804" s="36"/>
      <c r="C804" s="36"/>
      <c r="D804" s="36"/>
      <c r="E804" s="47"/>
      <c r="F804" s="19"/>
      <c r="I804" s="36"/>
      <c r="S804" s="36"/>
      <c r="T804" s="36"/>
    </row>
    <row r="805" spans="1:20" s="38" customFormat="1" x14ac:dyDescent="0.3">
      <c r="A805" s="36" t="str">
        <f xml:space="preserve"> IF( 'From SvanPC++'!A795= "", "", ('From SvanPC++'!A795))</f>
        <v/>
      </c>
      <c r="B805" s="36"/>
      <c r="C805" s="36"/>
      <c r="D805" s="36"/>
      <c r="E805" s="47"/>
      <c r="F805" s="19"/>
      <c r="I805" s="36"/>
      <c r="S805" s="36"/>
      <c r="T805" s="36"/>
    </row>
    <row r="806" spans="1:20" s="38" customFormat="1" x14ac:dyDescent="0.3">
      <c r="A806" s="36" t="str">
        <f xml:space="preserve"> IF( 'From SvanPC++'!A796= "", "", ('From SvanPC++'!A796))</f>
        <v/>
      </c>
      <c r="B806" s="36"/>
      <c r="C806" s="36"/>
      <c r="D806" s="36"/>
      <c r="E806" s="47"/>
      <c r="F806" s="19"/>
      <c r="I806" s="36"/>
      <c r="S806" s="36"/>
      <c r="T806" s="36"/>
    </row>
    <row r="807" spans="1:20" s="38" customFormat="1" x14ac:dyDescent="0.3">
      <c r="A807" s="36" t="str">
        <f xml:space="preserve"> IF( 'From SvanPC++'!A797= "", "", ('From SvanPC++'!A797))</f>
        <v/>
      </c>
      <c r="B807" s="36"/>
      <c r="C807" s="36"/>
      <c r="D807" s="36"/>
      <c r="E807" s="47"/>
      <c r="F807" s="19"/>
      <c r="I807" s="36"/>
      <c r="S807" s="36"/>
      <c r="T807" s="36"/>
    </row>
    <row r="808" spans="1:20" s="38" customFormat="1" x14ac:dyDescent="0.3">
      <c r="A808" s="36" t="str">
        <f xml:space="preserve"> IF( 'From SvanPC++'!A798= "", "", ('From SvanPC++'!A798))</f>
        <v/>
      </c>
      <c r="B808" s="36"/>
      <c r="C808" s="36"/>
      <c r="D808" s="36"/>
      <c r="E808" s="47"/>
      <c r="F808" s="19"/>
      <c r="I808" s="36"/>
      <c r="S808" s="36"/>
      <c r="T808" s="36"/>
    </row>
    <row r="809" spans="1:20" s="38" customFormat="1" x14ac:dyDescent="0.3">
      <c r="A809" s="36" t="str">
        <f xml:space="preserve"> IF( 'From SvanPC++'!A799= "", "", ('From SvanPC++'!A799))</f>
        <v/>
      </c>
      <c r="B809" s="36"/>
      <c r="C809" s="36"/>
      <c r="D809" s="36"/>
      <c r="E809" s="47"/>
      <c r="F809" s="19"/>
      <c r="I809" s="36"/>
      <c r="S809" s="36"/>
      <c r="T809" s="36"/>
    </row>
    <row r="810" spans="1:20" s="38" customFormat="1" x14ac:dyDescent="0.3">
      <c r="A810" s="36" t="str">
        <f xml:space="preserve"> IF( 'From SvanPC++'!A800= "", "", ('From SvanPC++'!A800))</f>
        <v/>
      </c>
      <c r="B810" s="36"/>
      <c r="C810" s="36"/>
      <c r="D810" s="36"/>
      <c r="E810" s="47"/>
      <c r="F810" s="19"/>
      <c r="I810" s="36"/>
      <c r="S810" s="36"/>
      <c r="T810" s="36"/>
    </row>
    <row r="811" spans="1:20" s="38" customFormat="1" x14ac:dyDescent="0.3">
      <c r="A811" s="36" t="str">
        <f xml:space="preserve"> IF( 'From SvanPC++'!A801= "", "", ('From SvanPC++'!A801))</f>
        <v/>
      </c>
      <c r="B811" s="36"/>
      <c r="C811" s="36"/>
      <c r="D811" s="36"/>
      <c r="E811" s="47"/>
      <c r="F811" s="19"/>
      <c r="I811" s="36"/>
      <c r="S811" s="36"/>
      <c r="T811" s="36"/>
    </row>
    <row r="812" spans="1:20" s="38" customFormat="1" x14ac:dyDescent="0.3">
      <c r="A812" s="36" t="str">
        <f xml:space="preserve"> IF( 'From SvanPC++'!A802= "", "", ('From SvanPC++'!A802))</f>
        <v/>
      </c>
      <c r="B812" s="36"/>
      <c r="C812" s="36"/>
      <c r="D812" s="36"/>
      <c r="E812" s="47"/>
      <c r="F812" s="19"/>
      <c r="I812" s="36"/>
      <c r="S812" s="36"/>
      <c r="T812" s="36"/>
    </row>
    <row r="813" spans="1:20" s="38" customFormat="1" x14ac:dyDescent="0.3">
      <c r="A813" s="36" t="str">
        <f xml:space="preserve"> IF( 'From SvanPC++'!A803= "", "", ('From SvanPC++'!A803))</f>
        <v/>
      </c>
      <c r="B813" s="36"/>
      <c r="C813" s="36"/>
      <c r="D813" s="36"/>
      <c r="E813" s="47"/>
      <c r="F813" s="19"/>
      <c r="I813" s="36"/>
      <c r="S813" s="36"/>
      <c r="T813" s="36"/>
    </row>
    <row r="814" spans="1:20" s="38" customFormat="1" x14ac:dyDescent="0.3">
      <c r="A814" s="36" t="str">
        <f xml:space="preserve"> IF( 'From SvanPC++'!A804= "", "", ('From SvanPC++'!A804))</f>
        <v/>
      </c>
      <c r="B814" s="36"/>
      <c r="C814" s="36"/>
      <c r="D814" s="36"/>
      <c r="E814" s="47"/>
      <c r="F814" s="19"/>
      <c r="I814" s="36"/>
      <c r="S814" s="36"/>
      <c r="T814" s="36"/>
    </row>
    <row r="815" spans="1:20" s="38" customFormat="1" x14ac:dyDescent="0.3">
      <c r="A815" s="36" t="str">
        <f xml:space="preserve"> IF( 'From SvanPC++'!A805= "", "", ('From SvanPC++'!A805))</f>
        <v/>
      </c>
      <c r="B815" s="36"/>
      <c r="C815" s="36"/>
      <c r="D815" s="36"/>
      <c r="E815" s="47"/>
      <c r="F815" s="19"/>
      <c r="I815" s="36"/>
      <c r="S815" s="36"/>
      <c r="T815" s="36"/>
    </row>
    <row r="816" spans="1:20" s="38" customFormat="1" x14ac:dyDescent="0.3">
      <c r="A816" s="36" t="str">
        <f xml:space="preserve"> IF( 'From SvanPC++'!A806= "", "", ('From SvanPC++'!A806))</f>
        <v/>
      </c>
      <c r="B816" s="36"/>
      <c r="C816" s="36"/>
      <c r="D816" s="36"/>
      <c r="E816" s="47"/>
      <c r="F816" s="19"/>
      <c r="I816" s="36"/>
      <c r="S816" s="36"/>
      <c r="T816" s="36"/>
    </row>
    <row r="817" spans="1:20" s="38" customFormat="1" x14ac:dyDescent="0.3">
      <c r="A817" s="36" t="str">
        <f xml:space="preserve"> IF( 'From SvanPC++'!A807= "", "", ('From SvanPC++'!A807))</f>
        <v/>
      </c>
      <c r="B817" s="36"/>
      <c r="C817" s="36"/>
      <c r="D817" s="36"/>
      <c r="E817" s="47"/>
      <c r="F817" s="19"/>
      <c r="I817" s="36"/>
      <c r="S817" s="36"/>
      <c r="T817" s="36"/>
    </row>
    <row r="818" spans="1:20" s="38" customFormat="1" x14ac:dyDescent="0.3">
      <c r="A818" s="36" t="str">
        <f xml:space="preserve"> IF( 'From SvanPC++'!A808= "", "", ('From SvanPC++'!A808))</f>
        <v/>
      </c>
      <c r="B818" s="36"/>
      <c r="C818" s="36"/>
      <c r="D818" s="36"/>
      <c r="E818" s="47"/>
      <c r="F818" s="19"/>
      <c r="I818" s="36"/>
      <c r="S818" s="36"/>
      <c r="T818" s="36"/>
    </row>
    <row r="819" spans="1:20" s="38" customFormat="1" x14ac:dyDescent="0.3">
      <c r="A819" s="36" t="str">
        <f xml:space="preserve"> IF( 'From SvanPC++'!A809= "", "", ('From SvanPC++'!A809))</f>
        <v/>
      </c>
      <c r="B819" s="36"/>
      <c r="C819" s="36"/>
      <c r="D819" s="36"/>
      <c r="E819" s="47"/>
      <c r="F819" s="19"/>
      <c r="I819" s="36"/>
      <c r="S819" s="36"/>
      <c r="T819" s="36"/>
    </row>
    <row r="820" spans="1:20" s="38" customFormat="1" x14ac:dyDescent="0.3">
      <c r="A820" s="36" t="str">
        <f xml:space="preserve"> IF( 'From SvanPC++'!A810= "", "", ('From SvanPC++'!A810))</f>
        <v/>
      </c>
      <c r="B820" s="36"/>
      <c r="C820" s="36"/>
      <c r="D820" s="36"/>
      <c r="E820" s="47"/>
      <c r="F820" s="19"/>
      <c r="I820" s="36"/>
      <c r="S820" s="36"/>
      <c r="T820" s="36"/>
    </row>
    <row r="821" spans="1:20" s="38" customFormat="1" x14ac:dyDescent="0.3">
      <c r="A821" s="36" t="str">
        <f xml:space="preserve"> IF( 'From SvanPC++'!A811= "", "", ('From SvanPC++'!A811))</f>
        <v/>
      </c>
      <c r="B821" s="36"/>
      <c r="C821" s="36"/>
      <c r="D821" s="36"/>
      <c r="E821" s="47"/>
      <c r="F821" s="19"/>
      <c r="I821" s="36"/>
      <c r="S821" s="36"/>
      <c r="T821" s="36"/>
    </row>
    <row r="822" spans="1:20" s="38" customFormat="1" x14ac:dyDescent="0.3">
      <c r="A822" s="36" t="str">
        <f xml:space="preserve"> IF( 'From SvanPC++'!A812= "", "", ('From SvanPC++'!A812))</f>
        <v/>
      </c>
      <c r="B822" s="36"/>
      <c r="C822" s="36"/>
      <c r="D822" s="36"/>
      <c r="E822" s="47"/>
      <c r="F822" s="19"/>
      <c r="I822" s="36"/>
      <c r="S822" s="36"/>
      <c r="T822" s="36"/>
    </row>
    <row r="823" spans="1:20" s="38" customFormat="1" x14ac:dyDescent="0.3">
      <c r="A823" s="36" t="str">
        <f xml:space="preserve"> IF( 'From SvanPC++'!A813= "", "", ('From SvanPC++'!A813))</f>
        <v/>
      </c>
      <c r="B823" s="36"/>
      <c r="C823" s="36"/>
      <c r="D823" s="36"/>
      <c r="E823" s="47"/>
      <c r="F823" s="19"/>
      <c r="I823" s="36"/>
      <c r="S823" s="36"/>
      <c r="T823" s="36"/>
    </row>
    <row r="824" spans="1:20" s="38" customFormat="1" x14ac:dyDescent="0.3">
      <c r="A824" s="36" t="str">
        <f xml:space="preserve"> IF( 'From SvanPC++'!A814= "", "", ('From SvanPC++'!A814))</f>
        <v/>
      </c>
      <c r="B824" s="36"/>
      <c r="C824" s="36"/>
      <c r="D824" s="36"/>
      <c r="E824" s="47"/>
      <c r="F824" s="19"/>
      <c r="I824" s="36"/>
      <c r="S824" s="36"/>
      <c r="T824" s="36"/>
    </row>
    <row r="825" spans="1:20" s="38" customFormat="1" x14ac:dyDescent="0.3">
      <c r="A825" s="36" t="str">
        <f xml:space="preserve"> IF( 'From SvanPC++'!A815= "", "", ('From SvanPC++'!A815))</f>
        <v/>
      </c>
      <c r="B825" s="36"/>
      <c r="C825" s="36"/>
      <c r="D825" s="36"/>
      <c r="E825" s="47"/>
      <c r="F825" s="19"/>
      <c r="I825" s="36"/>
      <c r="S825" s="36"/>
      <c r="T825" s="36"/>
    </row>
    <row r="826" spans="1:20" s="38" customFormat="1" x14ac:dyDescent="0.3">
      <c r="A826" s="36" t="str">
        <f xml:space="preserve"> IF( 'From SvanPC++'!A816= "", "", ('From SvanPC++'!A816))</f>
        <v/>
      </c>
      <c r="B826" s="36"/>
      <c r="C826" s="36"/>
      <c r="D826" s="36"/>
      <c r="E826" s="47"/>
      <c r="F826" s="19"/>
      <c r="I826" s="36"/>
      <c r="S826" s="36"/>
      <c r="T826" s="36"/>
    </row>
    <row r="827" spans="1:20" s="38" customFormat="1" x14ac:dyDescent="0.3">
      <c r="A827" s="36" t="str">
        <f xml:space="preserve"> IF( 'From SvanPC++'!A817= "", "", ('From SvanPC++'!A817))</f>
        <v/>
      </c>
      <c r="B827" s="36"/>
      <c r="C827" s="36"/>
      <c r="D827" s="36"/>
      <c r="E827" s="47"/>
      <c r="F827" s="19"/>
      <c r="I827" s="36"/>
      <c r="S827" s="36"/>
      <c r="T827" s="36"/>
    </row>
    <row r="828" spans="1:20" s="38" customFormat="1" x14ac:dyDescent="0.3">
      <c r="A828" s="36" t="str">
        <f xml:space="preserve"> IF( 'From SvanPC++'!A818= "", "", ('From SvanPC++'!A818))</f>
        <v/>
      </c>
      <c r="B828" s="36"/>
      <c r="C828" s="36"/>
      <c r="D828" s="36"/>
      <c r="E828" s="47"/>
      <c r="F828" s="19"/>
      <c r="I828" s="36"/>
      <c r="S828" s="36"/>
      <c r="T828" s="36"/>
    </row>
    <row r="829" spans="1:20" s="38" customFormat="1" x14ac:dyDescent="0.3">
      <c r="A829" s="36" t="str">
        <f xml:space="preserve"> IF( 'From SvanPC++'!A819= "", "", ('From SvanPC++'!A819))</f>
        <v/>
      </c>
      <c r="B829" s="36"/>
      <c r="C829" s="36"/>
      <c r="D829" s="36"/>
      <c r="E829" s="47"/>
      <c r="F829" s="19"/>
      <c r="I829" s="36"/>
      <c r="S829" s="36"/>
      <c r="T829" s="36"/>
    </row>
    <row r="830" spans="1:20" s="38" customFormat="1" x14ac:dyDescent="0.3">
      <c r="A830" s="36" t="str">
        <f xml:space="preserve"> IF( 'From SvanPC++'!A820= "", "", ('From SvanPC++'!A820))</f>
        <v/>
      </c>
      <c r="B830" s="36"/>
      <c r="C830" s="36"/>
      <c r="D830" s="36"/>
      <c r="E830" s="47"/>
      <c r="F830" s="19"/>
      <c r="I830" s="36"/>
      <c r="S830" s="36"/>
      <c r="T830" s="36"/>
    </row>
    <row r="831" spans="1:20" s="38" customFormat="1" x14ac:dyDescent="0.3">
      <c r="A831" s="36" t="str">
        <f xml:space="preserve"> IF( 'From SvanPC++'!A821= "", "", ('From SvanPC++'!A821))</f>
        <v/>
      </c>
      <c r="B831" s="36"/>
      <c r="C831" s="36"/>
      <c r="D831" s="36"/>
      <c r="E831" s="47"/>
      <c r="F831" s="19"/>
      <c r="I831" s="36"/>
      <c r="S831" s="36"/>
      <c r="T831" s="36"/>
    </row>
    <row r="832" spans="1:20" s="38" customFormat="1" x14ac:dyDescent="0.3">
      <c r="A832" s="36" t="str">
        <f xml:space="preserve"> IF( 'From SvanPC++'!A822= "", "", ('From SvanPC++'!A822))</f>
        <v/>
      </c>
      <c r="B832" s="36"/>
      <c r="C832" s="36"/>
      <c r="D832" s="36"/>
      <c r="E832" s="47"/>
      <c r="F832" s="19"/>
      <c r="I832" s="36"/>
      <c r="S832" s="36"/>
      <c r="T832" s="36"/>
    </row>
    <row r="833" spans="1:20" s="38" customFormat="1" x14ac:dyDescent="0.3">
      <c r="A833" s="36" t="str">
        <f xml:space="preserve"> IF( 'From SvanPC++'!A823= "", "", ('From SvanPC++'!A823))</f>
        <v/>
      </c>
      <c r="B833" s="36"/>
      <c r="C833" s="36"/>
      <c r="D833" s="36"/>
      <c r="E833" s="47"/>
      <c r="F833" s="19"/>
      <c r="I833" s="36"/>
      <c r="S833" s="36"/>
      <c r="T833" s="36"/>
    </row>
    <row r="834" spans="1:20" s="38" customFormat="1" x14ac:dyDescent="0.3">
      <c r="A834" s="36" t="str">
        <f xml:space="preserve"> IF( 'From SvanPC++'!A824= "", "", ('From SvanPC++'!A824))</f>
        <v/>
      </c>
      <c r="B834" s="36"/>
      <c r="C834" s="36"/>
      <c r="D834" s="36"/>
      <c r="E834" s="47"/>
      <c r="F834" s="19"/>
      <c r="I834" s="36"/>
      <c r="S834" s="36"/>
      <c r="T834" s="36"/>
    </row>
    <row r="835" spans="1:20" s="38" customFormat="1" x14ac:dyDescent="0.3">
      <c r="A835" s="36" t="str">
        <f xml:space="preserve"> IF( 'From SvanPC++'!A825= "", "", ('From SvanPC++'!A825))</f>
        <v/>
      </c>
      <c r="B835" s="36"/>
      <c r="C835" s="36"/>
      <c r="D835" s="36"/>
      <c r="E835" s="47"/>
      <c r="F835" s="19"/>
      <c r="I835" s="36"/>
      <c r="S835" s="36"/>
      <c r="T835" s="36"/>
    </row>
    <row r="836" spans="1:20" s="38" customFormat="1" x14ac:dyDescent="0.3">
      <c r="A836" s="36" t="str">
        <f xml:space="preserve"> IF( 'From SvanPC++'!A826= "", "", ('From SvanPC++'!A826))</f>
        <v/>
      </c>
      <c r="B836" s="36"/>
      <c r="C836" s="36"/>
      <c r="D836" s="36"/>
      <c r="E836" s="47"/>
      <c r="F836" s="19"/>
      <c r="I836" s="36"/>
      <c r="S836" s="36"/>
      <c r="T836" s="36"/>
    </row>
    <row r="837" spans="1:20" s="38" customFormat="1" x14ac:dyDescent="0.3">
      <c r="A837" s="36" t="str">
        <f xml:space="preserve"> IF( 'From SvanPC++'!A827= "", "", ('From SvanPC++'!A827))</f>
        <v/>
      </c>
      <c r="B837" s="36"/>
      <c r="C837" s="36"/>
      <c r="D837" s="36"/>
      <c r="E837" s="47"/>
      <c r="F837" s="19"/>
      <c r="I837" s="36"/>
      <c r="S837" s="36"/>
      <c r="T837" s="36"/>
    </row>
    <row r="838" spans="1:20" s="38" customFormat="1" x14ac:dyDescent="0.3">
      <c r="A838" s="36" t="str">
        <f xml:space="preserve"> IF( 'From SvanPC++'!A828= "", "", ('From SvanPC++'!A828))</f>
        <v/>
      </c>
      <c r="B838" s="36"/>
      <c r="C838" s="36"/>
      <c r="D838" s="36"/>
      <c r="E838" s="47"/>
      <c r="F838" s="19"/>
      <c r="I838" s="36"/>
      <c r="S838" s="36"/>
      <c r="T838" s="36"/>
    </row>
    <row r="839" spans="1:20" s="38" customFormat="1" x14ac:dyDescent="0.3">
      <c r="A839" s="36" t="str">
        <f xml:space="preserve"> IF( 'From SvanPC++'!A829= "", "", ('From SvanPC++'!A829))</f>
        <v/>
      </c>
      <c r="B839" s="36"/>
      <c r="C839" s="36"/>
      <c r="D839" s="36"/>
      <c r="E839" s="47"/>
      <c r="F839" s="19"/>
      <c r="I839" s="36"/>
      <c r="S839" s="36"/>
      <c r="T839" s="36"/>
    </row>
    <row r="840" spans="1:20" s="38" customFormat="1" x14ac:dyDescent="0.3">
      <c r="A840" s="36" t="str">
        <f xml:space="preserve"> IF( 'From SvanPC++'!A830= "", "", ('From SvanPC++'!A830))</f>
        <v/>
      </c>
      <c r="B840" s="36"/>
      <c r="C840" s="36"/>
      <c r="D840" s="36"/>
      <c r="E840" s="47"/>
      <c r="F840" s="19"/>
      <c r="I840" s="36"/>
      <c r="S840" s="36"/>
      <c r="T840" s="36"/>
    </row>
    <row r="841" spans="1:20" s="38" customFormat="1" x14ac:dyDescent="0.3">
      <c r="A841" s="36" t="str">
        <f xml:space="preserve"> IF( 'From SvanPC++'!A831= "", "", ('From SvanPC++'!A831))</f>
        <v/>
      </c>
      <c r="B841" s="36"/>
      <c r="C841" s="36"/>
      <c r="D841" s="36"/>
      <c r="E841" s="47"/>
      <c r="F841" s="19"/>
      <c r="I841" s="36"/>
      <c r="S841" s="36"/>
      <c r="T841" s="36"/>
    </row>
    <row r="842" spans="1:20" s="38" customFormat="1" x14ac:dyDescent="0.3">
      <c r="A842" s="36" t="str">
        <f xml:space="preserve"> IF( 'From SvanPC++'!A832= "", "", ('From SvanPC++'!A832))</f>
        <v/>
      </c>
      <c r="B842" s="36"/>
      <c r="C842" s="36"/>
      <c r="D842" s="36"/>
      <c r="E842" s="47"/>
      <c r="F842" s="19"/>
      <c r="I842" s="36"/>
      <c r="S842" s="36"/>
      <c r="T842" s="36"/>
    </row>
    <row r="843" spans="1:20" s="38" customFormat="1" x14ac:dyDescent="0.3">
      <c r="A843" s="36" t="str">
        <f xml:space="preserve"> IF( 'From SvanPC++'!A833= "", "", ('From SvanPC++'!A833))</f>
        <v/>
      </c>
      <c r="B843" s="36"/>
      <c r="C843" s="36"/>
      <c r="D843" s="36"/>
      <c r="E843" s="47"/>
      <c r="F843" s="19"/>
      <c r="I843" s="36"/>
      <c r="S843" s="36"/>
      <c r="T843" s="36"/>
    </row>
    <row r="844" spans="1:20" s="38" customFormat="1" x14ac:dyDescent="0.3">
      <c r="A844" s="36" t="str">
        <f xml:space="preserve"> IF( 'From SvanPC++'!A834= "", "", ('From SvanPC++'!A834))</f>
        <v/>
      </c>
      <c r="B844" s="36"/>
      <c r="C844" s="36"/>
      <c r="D844" s="36"/>
      <c r="E844" s="47"/>
      <c r="F844" s="19"/>
      <c r="I844" s="36"/>
      <c r="S844" s="36"/>
      <c r="T844" s="36"/>
    </row>
    <row r="845" spans="1:20" s="38" customFormat="1" x14ac:dyDescent="0.3">
      <c r="A845" s="36" t="str">
        <f xml:space="preserve"> IF( 'From SvanPC++'!A835= "", "", ('From SvanPC++'!A835))</f>
        <v/>
      </c>
      <c r="B845" s="36"/>
      <c r="C845" s="36"/>
      <c r="D845" s="36"/>
      <c r="E845" s="47"/>
      <c r="F845" s="19"/>
      <c r="I845" s="36"/>
      <c r="S845" s="36"/>
      <c r="T845" s="36"/>
    </row>
    <row r="846" spans="1:20" s="38" customFormat="1" x14ac:dyDescent="0.3">
      <c r="A846" s="36" t="str">
        <f xml:space="preserve"> IF( 'From SvanPC++'!A836= "", "", ('From SvanPC++'!A836))</f>
        <v/>
      </c>
      <c r="B846" s="36"/>
      <c r="C846" s="36"/>
      <c r="D846" s="36"/>
      <c r="E846" s="47"/>
      <c r="F846" s="19"/>
      <c r="I846" s="36"/>
      <c r="S846" s="36"/>
      <c r="T846" s="36"/>
    </row>
    <row r="847" spans="1:20" s="38" customFormat="1" x14ac:dyDescent="0.3">
      <c r="A847" s="36" t="str">
        <f xml:space="preserve"> IF( 'From SvanPC++'!A837= "", "", ('From SvanPC++'!A837))</f>
        <v/>
      </c>
      <c r="B847" s="36"/>
      <c r="C847" s="36"/>
      <c r="D847" s="36"/>
      <c r="E847" s="47"/>
      <c r="F847" s="19"/>
      <c r="I847" s="36"/>
      <c r="S847" s="36"/>
      <c r="T847" s="36"/>
    </row>
    <row r="848" spans="1:20" s="38" customFormat="1" x14ac:dyDescent="0.3">
      <c r="A848" s="36" t="str">
        <f xml:space="preserve"> IF( 'From SvanPC++'!A838= "", "", ('From SvanPC++'!A838))</f>
        <v/>
      </c>
      <c r="B848" s="36"/>
      <c r="C848" s="36"/>
      <c r="D848" s="36"/>
      <c r="E848" s="47"/>
      <c r="F848" s="19"/>
      <c r="I848" s="36"/>
      <c r="S848" s="36"/>
      <c r="T848" s="36"/>
    </row>
    <row r="849" spans="1:20" s="38" customFormat="1" x14ac:dyDescent="0.3">
      <c r="A849" s="36" t="str">
        <f xml:space="preserve"> IF( 'From SvanPC++'!A839= "", "", ('From SvanPC++'!A839))</f>
        <v/>
      </c>
      <c r="B849" s="36"/>
      <c r="C849" s="36"/>
      <c r="D849" s="36"/>
      <c r="E849" s="47"/>
      <c r="F849" s="19"/>
      <c r="I849" s="36"/>
      <c r="S849" s="36"/>
      <c r="T849" s="36"/>
    </row>
    <row r="850" spans="1:20" s="38" customFormat="1" x14ac:dyDescent="0.3">
      <c r="A850" s="36" t="str">
        <f xml:space="preserve"> IF( 'From SvanPC++'!A840= "", "", ('From SvanPC++'!A840))</f>
        <v/>
      </c>
      <c r="B850" s="36"/>
      <c r="C850" s="36"/>
      <c r="D850" s="36"/>
      <c r="E850" s="47"/>
      <c r="F850" s="19"/>
      <c r="I850" s="36"/>
      <c r="S850" s="36"/>
      <c r="T850" s="36"/>
    </row>
    <row r="851" spans="1:20" s="38" customFormat="1" x14ac:dyDescent="0.3">
      <c r="A851" s="36" t="str">
        <f xml:space="preserve"> IF( 'From SvanPC++'!A841= "", "", ('From SvanPC++'!A841))</f>
        <v/>
      </c>
      <c r="B851" s="36"/>
      <c r="C851" s="36"/>
      <c r="D851" s="36"/>
      <c r="E851" s="47"/>
      <c r="F851" s="19"/>
      <c r="I851" s="36"/>
      <c r="S851" s="36"/>
      <c r="T851" s="36"/>
    </row>
    <row r="852" spans="1:20" s="38" customFormat="1" x14ac:dyDescent="0.3">
      <c r="A852" s="36" t="str">
        <f xml:space="preserve"> IF( 'From SvanPC++'!A842= "", "", ('From SvanPC++'!A842))</f>
        <v/>
      </c>
      <c r="B852" s="36"/>
      <c r="C852" s="36"/>
      <c r="D852" s="36"/>
      <c r="E852" s="47"/>
      <c r="F852" s="19"/>
      <c r="I852" s="36"/>
      <c r="S852" s="36"/>
      <c r="T852" s="36"/>
    </row>
    <row r="853" spans="1:20" s="38" customFormat="1" x14ac:dyDescent="0.3">
      <c r="A853" s="36" t="str">
        <f xml:space="preserve"> IF( 'From SvanPC++'!A843= "", "", ('From SvanPC++'!A843))</f>
        <v/>
      </c>
      <c r="B853" s="36"/>
      <c r="C853" s="36"/>
      <c r="D853" s="36"/>
      <c r="E853" s="47"/>
      <c r="F853" s="19"/>
      <c r="I853" s="36"/>
      <c r="S853" s="36"/>
      <c r="T853" s="36"/>
    </row>
    <row r="854" spans="1:20" s="38" customFormat="1" x14ac:dyDescent="0.3">
      <c r="A854" s="36" t="str">
        <f xml:space="preserve"> IF( 'From SvanPC++'!A844= "", "", ('From SvanPC++'!A844))</f>
        <v/>
      </c>
      <c r="B854" s="36"/>
      <c r="C854" s="36"/>
      <c r="D854" s="36"/>
      <c r="E854" s="47"/>
      <c r="F854" s="19"/>
      <c r="I854" s="36"/>
      <c r="S854" s="36"/>
      <c r="T854" s="36"/>
    </row>
    <row r="855" spans="1:20" s="38" customFormat="1" x14ac:dyDescent="0.3">
      <c r="A855" s="36" t="str">
        <f xml:space="preserve"> IF( 'From SvanPC++'!A845= "", "", ('From SvanPC++'!A845))</f>
        <v/>
      </c>
      <c r="B855" s="36"/>
      <c r="C855" s="36"/>
      <c r="D855" s="36"/>
      <c r="E855" s="47"/>
      <c r="F855" s="19"/>
      <c r="I855" s="36"/>
      <c r="S855" s="36"/>
      <c r="T855" s="36"/>
    </row>
    <row r="856" spans="1:20" s="38" customFormat="1" x14ac:dyDescent="0.3">
      <c r="A856" s="36" t="str">
        <f xml:space="preserve"> IF( 'From SvanPC++'!A846= "", "", ('From SvanPC++'!A846))</f>
        <v/>
      </c>
      <c r="B856" s="36"/>
      <c r="C856" s="36"/>
      <c r="D856" s="36"/>
      <c r="E856" s="47"/>
      <c r="F856" s="19"/>
      <c r="I856" s="36"/>
      <c r="S856" s="36"/>
      <c r="T856" s="36"/>
    </row>
    <row r="857" spans="1:20" s="38" customFormat="1" x14ac:dyDescent="0.3">
      <c r="A857" s="36" t="str">
        <f xml:space="preserve"> IF( 'From SvanPC++'!A847= "", "", ('From SvanPC++'!A847))</f>
        <v/>
      </c>
      <c r="B857" s="36"/>
      <c r="C857" s="36"/>
      <c r="D857" s="36"/>
      <c r="E857" s="47"/>
      <c r="F857" s="19"/>
      <c r="I857" s="36"/>
      <c r="S857" s="36"/>
      <c r="T857" s="36"/>
    </row>
    <row r="858" spans="1:20" s="38" customFormat="1" x14ac:dyDescent="0.3">
      <c r="A858" s="36" t="str">
        <f xml:space="preserve"> IF( 'From SvanPC++'!A848= "", "", ('From SvanPC++'!A848))</f>
        <v/>
      </c>
      <c r="B858" s="36"/>
      <c r="C858" s="36"/>
      <c r="D858" s="36"/>
      <c r="E858" s="47"/>
      <c r="F858" s="19"/>
      <c r="I858" s="36"/>
      <c r="S858" s="36"/>
      <c r="T858" s="36"/>
    </row>
    <row r="859" spans="1:20" s="38" customFormat="1" x14ac:dyDescent="0.3">
      <c r="A859" s="36" t="str">
        <f xml:space="preserve"> IF( 'From SvanPC++'!A849= "", "", ('From SvanPC++'!A849))</f>
        <v/>
      </c>
      <c r="B859" s="36"/>
      <c r="C859" s="36"/>
      <c r="D859" s="36"/>
      <c r="E859" s="47"/>
      <c r="F859" s="19"/>
      <c r="I859" s="36"/>
      <c r="S859" s="36"/>
      <c r="T859" s="36"/>
    </row>
    <row r="860" spans="1:20" s="38" customFormat="1" x14ac:dyDescent="0.3">
      <c r="A860" s="36" t="str">
        <f xml:space="preserve"> IF( 'From SvanPC++'!A850= "", "", ('From SvanPC++'!A850))</f>
        <v/>
      </c>
      <c r="B860" s="36"/>
      <c r="C860" s="36"/>
      <c r="D860" s="36"/>
      <c r="E860" s="47"/>
      <c r="F860" s="19"/>
      <c r="I860" s="36"/>
      <c r="S860" s="36"/>
      <c r="T860" s="36"/>
    </row>
    <row r="861" spans="1:20" s="38" customFormat="1" x14ac:dyDescent="0.3">
      <c r="A861" s="36" t="str">
        <f xml:space="preserve"> IF( 'From SvanPC++'!A851= "", "", ('From SvanPC++'!A851))</f>
        <v/>
      </c>
      <c r="B861" s="36"/>
      <c r="C861" s="36"/>
      <c r="D861" s="36"/>
      <c r="E861" s="47"/>
      <c r="F861" s="19"/>
      <c r="I861" s="36"/>
      <c r="S861" s="36"/>
      <c r="T861" s="36"/>
    </row>
    <row r="862" spans="1:20" s="38" customFormat="1" x14ac:dyDescent="0.3">
      <c r="A862" s="36" t="str">
        <f xml:space="preserve"> IF( 'From SvanPC++'!A852= "", "", ('From SvanPC++'!A852))</f>
        <v/>
      </c>
      <c r="B862" s="36"/>
      <c r="C862" s="36"/>
      <c r="D862" s="36"/>
      <c r="E862" s="47"/>
      <c r="F862" s="19"/>
      <c r="I862" s="36"/>
      <c r="S862" s="36"/>
      <c r="T862" s="36"/>
    </row>
    <row r="863" spans="1:20" s="38" customFormat="1" x14ac:dyDescent="0.3">
      <c r="A863" s="36" t="str">
        <f xml:space="preserve"> IF( 'From SvanPC++'!A853= "", "", ('From SvanPC++'!A853))</f>
        <v/>
      </c>
      <c r="B863" s="36"/>
      <c r="C863" s="36"/>
      <c r="D863" s="36"/>
      <c r="E863" s="47"/>
      <c r="F863" s="19"/>
      <c r="I863" s="36"/>
      <c r="S863" s="36"/>
      <c r="T863" s="36"/>
    </row>
    <row r="864" spans="1:20" s="38" customFormat="1" x14ac:dyDescent="0.3">
      <c r="A864" s="36" t="str">
        <f xml:space="preserve"> IF( 'From SvanPC++'!A854= "", "", ('From SvanPC++'!A854))</f>
        <v/>
      </c>
      <c r="B864" s="36"/>
      <c r="C864" s="36"/>
      <c r="D864" s="36"/>
      <c r="E864" s="47"/>
      <c r="F864" s="19"/>
      <c r="I864" s="36"/>
      <c r="S864" s="36"/>
      <c r="T864" s="36"/>
    </row>
    <row r="865" spans="1:20" s="38" customFormat="1" x14ac:dyDescent="0.3">
      <c r="A865" s="36" t="str">
        <f xml:space="preserve"> IF( 'From SvanPC++'!A855= "", "", ('From SvanPC++'!A855))</f>
        <v/>
      </c>
      <c r="B865" s="36"/>
      <c r="C865" s="36"/>
      <c r="D865" s="36"/>
      <c r="E865" s="47"/>
      <c r="F865" s="19"/>
      <c r="I865" s="36"/>
      <c r="S865" s="36"/>
      <c r="T865" s="36"/>
    </row>
    <row r="866" spans="1:20" s="38" customFormat="1" x14ac:dyDescent="0.3">
      <c r="A866" s="36" t="str">
        <f xml:space="preserve"> IF( 'From SvanPC++'!A856= "", "", ('From SvanPC++'!A856))</f>
        <v/>
      </c>
      <c r="B866" s="36"/>
      <c r="C866" s="36"/>
      <c r="D866" s="36"/>
      <c r="E866" s="47"/>
      <c r="F866" s="19"/>
      <c r="I866" s="36"/>
      <c r="S866" s="36"/>
      <c r="T866" s="36"/>
    </row>
    <row r="867" spans="1:20" s="38" customFormat="1" x14ac:dyDescent="0.3">
      <c r="A867" s="36" t="str">
        <f xml:space="preserve"> IF( 'From SvanPC++'!A857= "", "", ('From SvanPC++'!A857))</f>
        <v/>
      </c>
      <c r="B867" s="36"/>
      <c r="C867" s="36"/>
      <c r="D867" s="36"/>
      <c r="E867" s="47"/>
      <c r="F867" s="19"/>
      <c r="I867" s="36"/>
      <c r="S867" s="36"/>
      <c r="T867" s="36"/>
    </row>
    <row r="868" spans="1:20" s="38" customFormat="1" x14ac:dyDescent="0.3">
      <c r="A868" s="36" t="str">
        <f xml:space="preserve"> IF( 'From SvanPC++'!A858= "", "", ('From SvanPC++'!A858))</f>
        <v/>
      </c>
      <c r="B868" s="36"/>
      <c r="C868" s="36"/>
      <c r="D868" s="36"/>
      <c r="E868" s="47"/>
      <c r="F868" s="19"/>
      <c r="I868" s="36"/>
      <c r="S868" s="36"/>
      <c r="T868" s="36"/>
    </row>
    <row r="869" spans="1:20" s="38" customFormat="1" x14ac:dyDescent="0.3">
      <c r="A869" s="36" t="str">
        <f xml:space="preserve"> IF( 'From SvanPC++'!A859= "", "", ('From SvanPC++'!A859))</f>
        <v/>
      </c>
      <c r="B869" s="36"/>
      <c r="C869" s="36"/>
      <c r="D869" s="36"/>
      <c r="E869" s="47"/>
      <c r="F869" s="19"/>
      <c r="I869" s="36"/>
      <c r="S869" s="36"/>
      <c r="T869" s="36"/>
    </row>
    <row r="870" spans="1:20" s="38" customFormat="1" x14ac:dyDescent="0.3">
      <c r="A870" s="36" t="str">
        <f xml:space="preserve"> IF( 'From SvanPC++'!A860= "", "", ('From SvanPC++'!A860))</f>
        <v/>
      </c>
      <c r="B870" s="36"/>
      <c r="C870" s="36"/>
      <c r="D870" s="36"/>
      <c r="E870" s="47"/>
      <c r="F870" s="19"/>
      <c r="I870" s="36"/>
      <c r="S870" s="36"/>
      <c r="T870" s="36"/>
    </row>
    <row r="871" spans="1:20" s="38" customFormat="1" x14ac:dyDescent="0.3">
      <c r="A871" s="36" t="str">
        <f xml:space="preserve"> IF( 'From SvanPC++'!A861= "", "", ('From SvanPC++'!A861))</f>
        <v/>
      </c>
      <c r="B871" s="36"/>
      <c r="C871" s="36"/>
      <c r="D871" s="36"/>
      <c r="E871" s="47"/>
      <c r="F871" s="19"/>
      <c r="I871" s="36"/>
      <c r="S871" s="36"/>
      <c r="T871" s="36"/>
    </row>
    <row r="872" spans="1:20" s="38" customFormat="1" x14ac:dyDescent="0.3">
      <c r="A872" s="36" t="str">
        <f xml:space="preserve"> IF( 'From SvanPC++'!A862= "", "", ('From SvanPC++'!A862))</f>
        <v/>
      </c>
      <c r="B872" s="36"/>
      <c r="C872" s="36"/>
      <c r="D872" s="36"/>
      <c r="E872" s="47"/>
      <c r="F872" s="19"/>
      <c r="I872" s="36"/>
      <c r="S872" s="36"/>
      <c r="T872" s="36"/>
    </row>
    <row r="873" spans="1:20" s="38" customFormat="1" x14ac:dyDescent="0.3">
      <c r="A873" s="36" t="str">
        <f xml:space="preserve"> IF( 'From SvanPC++'!A863= "", "", ('From SvanPC++'!A863))</f>
        <v/>
      </c>
      <c r="B873" s="36"/>
      <c r="C873" s="36"/>
      <c r="D873" s="36"/>
      <c r="E873" s="47"/>
      <c r="F873" s="19"/>
      <c r="I873" s="36"/>
      <c r="S873" s="36"/>
      <c r="T873" s="36"/>
    </row>
    <row r="874" spans="1:20" s="38" customFormat="1" x14ac:dyDescent="0.3">
      <c r="A874" s="36" t="str">
        <f xml:space="preserve"> IF( 'From SvanPC++'!A864= "", "", ('From SvanPC++'!A864))</f>
        <v/>
      </c>
      <c r="B874" s="36"/>
      <c r="C874" s="36"/>
      <c r="D874" s="36"/>
      <c r="E874" s="47"/>
      <c r="F874" s="19"/>
      <c r="I874" s="36"/>
      <c r="S874" s="36"/>
      <c r="T874" s="36"/>
    </row>
    <row r="875" spans="1:20" s="38" customFormat="1" x14ac:dyDescent="0.3">
      <c r="A875" s="36" t="str">
        <f xml:space="preserve"> IF( 'From SvanPC++'!A865= "", "", ('From SvanPC++'!A865))</f>
        <v/>
      </c>
      <c r="B875" s="36"/>
      <c r="C875" s="36"/>
      <c r="D875" s="36"/>
      <c r="E875" s="47"/>
      <c r="F875" s="19"/>
      <c r="I875" s="36"/>
      <c r="S875" s="36"/>
      <c r="T875" s="36"/>
    </row>
    <row r="876" spans="1:20" s="38" customFormat="1" x14ac:dyDescent="0.3">
      <c r="A876" s="36" t="str">
        <f xml:space="preserve"> IF( 'From SvanPC++'!A866= "", "", ('From SvanPC++'!A866))</f>
        <v/>
      </c>
      <c r="B876" s="36"/>
      <c r="C876" s="36"/>
      <c r="D876" s="36"/>
      <c r="E876" s="47"/>
      <c r="F876" s="19"/>
      <c r="I876" s="36"/>
      <c r="S876" s="36"/>
      <c r="T876" s="36"/>
    </row>
    <row r="877" spans="1:20" s="38" customFormat="1" x14ac:dyDescent="0.3">
      <c r="A877" s="36" t="str">
        <f xml:space="preserve"> IF( 'From SvanPC++'!A867= "", "", ('From SvanPC++'!A867))</f>
        <v/>
      </c>
      <c r="B877" s="36"/>
      <c r="C877" s="36"/>
      <c r="D877" s="36"/>
      <c r="E877" s="47"/>
      <c r="F877" s="19"/>
      <c r="I877" s="36"/>
      <c r="S877" s="36"/>
      <c r="T877" s="36"/>
    </row>
    <row r="878" spans="1:20" s="38" customFormat="1" x14ac:dyDescent="0.3">
      <c r="A878" s="36" t="str">
        <f xml:space="preserve"> IF( 'From SvanPC++'!A868= "", "", ('From SvanPC++'!A868))</f>
        <v/>
      </c>
      <c r="B878" s="36"/>
      <c r="C878" s="36"/>
      <c r="D878" s="36"/>
      <c r="E878" s="47"/>
      <c r="F878" s="19"/>
      <c r="I878" s="36"/>
      <c r="S878" s="36"/>
      <c r="T878" s="36"/>
    </row>
    <row r="879" spans="1:20" s="38" customFormat="1" x14ac:dyDescent="0.3">
      <c r="A879" s="36" t="str">
        <f xml:space="preserve"> IF( 'From SvanPC++'!A869= "", "", ('From SvanPC++'!A869))</f>
        <v/>
      </c>
      <c r="B879" s="36"/>
      <c r="C879" s="36"/>
      <c r="D879" s="36"/>
      <c r="E879" s="47"/>
      <c r="F879" s="19"/>
      <c r="I879" s="36"/>
      <c r="S879" s="36"/>
      <c r="T879" s="36"/>
    </row>
    <row r="880" spans="1:20" s="38" customFormat="1" x14ac:dyDescent="0.3">
      <c r="A880" s="36" t="str">
        <f xml:space="preserve"> IF( 'From SvanPC++'!A870= "", "", ('From SvanPC++'!A870))</f>
        <v/>
      </c>
      <c r="B880" s="36"/>
      <c r="C880" s="36"/>
      <c r="D880" s="36"/>
      <c r="E880" s="47"/>
      <c r="F880" s="19"/>
      <c r="I880" s="36"/>
      <c r="S880" s="36"/>
      <c r="T880" s="36"/>
    </row>
    <row r="881" spans="1:20" s="38" customFormat="1" x14ac:dyDescent="0.3">
      <c r="A881" s="36" t="str">
        <f xml:space="preserve"> IF( 'From SvanPC++'!A871= "", "", ('From SvanPC++'!A871))</f>
        <v/>
      </c>
      <c r="B881" s="36"/>
      <c r="C881" s="36"/>
      <c r="D881" s="36"/>
      <c r="E881" s="47"/>
      <c r="F881" s="19"/>
      <c r="I881" s="36"/>
      <c r="S881" s="36"/>
      <c r="T881" s="36"/>
    </row>
    <row r="882" spans="1:20" s="38" customFormat="1" x14ac:dyDescent="0.3">
      <c r="A882" s="36" t="str">
        <f xml:space="preserve"> IF( 'From SvanPC++'!A872= "", "", ('From SvanPC++'!A872))</f>
        <v/>
      </c>
      <c r="B882" s="36"/>
      <c r="C882" s="36"/>
      <c r="D882" s="36"/>
      <c r="E882" s="47"/>
      <c r="F882" s="19"/>
      <c r="I882" s="36"/>
      <c r="S882" s="36"/>
      <c r="T882" s="36"/>
    </row>
    <row r="883" spans="1:20" s="38" customFormat="1" x14ac:dyDescent="0.3">
      <c r="A883" s="36" t="str">
        <f xml:space="preserve"> IF( 'From SvanPC++'!A873= "", "", ('From SvanPC++'!A873))</f>
        <v/>
      </c>
      <c r="B883" s="36"/>
      <c r="C883" s="36"/>
      <c r="D883" s="36"/>
      <c r="E883" s="47"/>
      <c r="F883" s="19"/>
      <c r="I883" s="36"/>
      <c r="S883" s="36"/>
      <c r="T883" s="36"/>
    </row>
    <row r="884" spans="1:20" s="38" customFormat="1" x14ac:dyDescent="0.3">
      <c r="A884" s="36" t="str">
        <f xml:space="preserve"> IF( 'From SvanPC++'!A874= "", "", ('From SvanPC++'!A874))</f>
        <v/>
      </c>
      <c r="B884" s="36"/>
      <c r="C884" s="36"/>
      <c r="D884" s="36"/>
      <c r="E884" s="47"/>
      <c r="F884" s="19"/>
      <c r="I884" s="36"/>
      <c r="S884" s="36"/>
      <c r="T884" s="36"/>
    </row>
    <row r="885" spans="1:20" s="38" customFormat="1" x14ac:dyDescent="0.3">
      <c r="A885" s="36" t="str">
        <f xml:space="preserve"> IF( 'From SvanPC++'!A875= "", "", ('From SvanPC++'!A875))</f>
        <v/>
      </c>
      <c r="B885" s="36"/>
      <c r="C885" s="36"/>
      <c r="D885" s="36"/>
      <c r="E885" s="47"/>
      <c r="F885" s="19"/>
      <c r="I885" s="36"/>
      <c r="S885" s="36"/>
      <c r="T885" s="36"/>
    </row>
    <row r="886" spans="1:20" s="38" customFormat="1" x14ac:dyDescent="0.3">
      <c r="A886" s="36" t="str">
        <f xml:space="preserve"> IF( 'From SvanPC++'!A876= "", "", ('From SvanPC++'!A876))</f>
        <v/>
      </c>
      <c r="B886" s="36"/>
      <c r="C886" s="36"/>
      <c r="D886" s="36"/>
      <c r="E886" s="47"/>
      <c r="F886" s="19"/>
      <c r="I886" s="36"/>
      <c r="S886" s="36"/>
      <c r="T886" s="36"/>
    </row>
    <row r="887" spans="1:20" s="38" customFormat="1" x14ac:dyDescent="0.3">
      <c r="A887" s="36" t="str">
        <f xml:space="preserve"> IF( 'From SvanPC++'!A877= "", "", ('From SvanPC++'!A877))</f>
        <v/>
      </c>
      <c r="B887" s="36"/>
      <c r="C887" s="36"/>
      <c r="D887" s="36"/>
      <c r="E887" s="47"/>
      <c r="F887" s="19"/>
      <c r="I887" s="36"/>
      <c r="S887" s="36"/>
      <c r="T887" s="36"/>
    </row>
    <row r="888" spans="1:20" s="38" customFormat="1" x14ac:dyDescent="0.3">
      <c r="A888" s="36" t="str">
        <f xml:space="preserve"> IF( 'From SvanPC++'!A878= "", "", ('From SvanPC++'!A878))</f>
        <v/>
      </c>
      <c r="B888" s="36"/>
      <c r="C888" s="36"/>
      <c r="D888" s="36"/>
      <c r="E888" s="47"/>
      <c r="F888" s="19"/>
      <c r="I888" s="36"/>
      <c r="S888" s="36"/>
      <c r="T888" s="36"/>
    </row>
    <row r="889" spans="1:20" s="38" customFormat="1" x14ac:dyDescent="0.3">
      <c r="A889" s="36" t="str">
        <f xml:space="preserve"> IF( 'From SvanPC++'!A879= "", "", ('From SvanPC++'!A879))</f>
        <v/>
      </c>
      <c r="B889" s="36"/>
      <c r="C889" s="36"/>
      <c r="D889" s="36"/>
      <c r="E889" s="47"/>
      <c r="F889" s="19"/>
      <c r="I889" s="36"/>
      <c r="S889" s="36"/>
      <c r="T889" s="36"/>
    </row>
    <row r="890" spans="1:20" s="38" customFormat="1" x14ac:dyDescent="0.3">
      <c r="A890" s="36" t="str">
        <f xml:space="preserve"> IF( 'From SvanPC++'!A880= "", "", ('From SvanPC++'!A880))</f>
        <v/>
      </c>
      <c r="B890" s="36"/>
      <c r="C890" s="36"/>
      <c r="D890" s="36"/>
      <c r="E890" s="47"/>
      <c r="F890" s="19"/>
      <c r="I890" s="36"/>
      <c r="S890" s="36"/>
      <c r="T890" s="36"/>
    </row>
    <row r="891" spans="1:20" s="38" customFormat="1" x14ac:dyDescent="0.3">
      <c r="A891" s="36" t="str">
        <f xml:space="preserve"> IF( 'From SvanPC++'!A881= "", "", ('From SvanPC++'!A881))</f>
        <v/>
      </c>
      <c r="B891" s="36"/>
      <c r="C891" s="36"/>
      <c r="D891" s="36"/>
      <c r="E891" s="47"/>
      <c r="F891" s="19"/>
      <c r="I891" s="36"/>
      <c r="S891" s="36"/>
      <c r="T891" s="36"/>
    </row>
    <row r="892" spans="1:20" s="38" customFormat="1" x14ac:dyDescent="0.3">
      <c r="A892" s="36" t="str">
        <f xml:space="preserve"> IF( 'From SvanPC++'!A882= "", "", ('From SvanPC++'!A882))</f>
        <v/>
      </c>
      <c r="B892" s="36"/>
      <c r="C892" s="36"/>
      <c r="D892" s="36"/>
      <c r="E892" s="47"/>
      <c r="F892" s="19"/>
      <c r="I892" s="36"/>
      <c r="S892" s="36"/>
      <c r="T892" s="36"/>
    </row>
    <row r="893" spans="1:20" s="38" customFormat="1" x14ac:dyDescent="0.3">
      <c r="A893" s="36" t="str">
        <f xml:space="preserve"> IF( 'From SvanPC++'!A883= "", "", ('From SvanPC++'!A883))</f>
        <v/>
      </c>
      <c r="B893" s="36"/>
      <c r="C893" s="36"/>
      <c r="D893" s="36"/>
      <c r="E893" s="47"/>
      <c r="F893" s="19"/>
      <c r="I893" s="36"/>
      <c r="S893" s="36"/>
      <c r="T893" s="36"/>
    </row>
    <row r="894" spans="1:20" s="38" customFormat="1" x14ac:dyDescent="0.3">
      <c r="A894" s="36" t="str">
        <f xml:space="preserve"> IF( 'From SvanPC++'!A884= "", "", ('From SvanPC++'!A884))</f>
        <v/>
      </c>
      <c r="B894" s="36"/>
      <c r="C894" s="36"/>
      <c r="D894" s="36"/>
      <c r="E894" s="47"/>
      <c r="F894" s="19"/>
      <c r="I894" s="36"/>
      <c r="S894" s="36"/>
      <c r="T894" s="36"/>
    </row>
    <row r="895" spans="1:20" s="38" customFormat="1" x14ac:dyDescent="0.3">
      <c r="A895" s="36" t="str">
        <f xml:space="preserve"> IF( 'From SvanPC++'!A885= "", "", ('From SvanPC++'!A885))</f>
        <v/>
      </c>
      <c r="B895" s="36"/>
      <c r="C895" s="36"/>
      <c r="D895" s="36"/>
      <c r="E895" s="47"/>
      <c r="F895" s="19"/>
      <c r="I895" s="36"/>
      <c r="S895" s="36"/>
      <c r="T895" s="36"/>
    </row>
    <row r="896" spans="1:20" s="38" customFormat="1" x14ac:dyDescent="0.3">
      <c r="A896" s="36" t="str">
        <f xml:space="preserve"> IF( 'From SvanPC++'!A886= "", "", ('From SvanPC++'!A886))</f>
        <v/>
      </c>
      <c r="B896" s="36"/>
      <c r="C896" s="36"/>
      <c r="D896" s="36"/>
      <c r="E896" s="47"/>
      <c r="F896" s="19"/>
      <c r="I896" s="36"/>
      <c r="S896" s="36"/>
      <c r="T896" s="36"/>
    </row>
    <row r="897" spans="1:20" s="38" customFormat="1" x14ac:dyDescent="0.3">
      <c r="A897" s="36" t="str">
        <f xml:space="preserve"> IF( 'From SvanPC++'!A887= "", "", ('From SvanPC++'!A887))</f>
        <v/>
      </c>
      <c r="B897" s="36"/>
      <c r="C897" s="36"/>
      <c r="D897" s="36"/>
      <c r="E897" s="47"/>
      <c r="F897" s="19"/>
      <c r="I897" s="36"/>
      <c r="S897" s="36"/>
      <c r="T897" s="36"/>
    </row>
    <row r="898" spans="1:20" s="38" customFormat="1" x14ac:dyDescent="0.3">
      <c r="A898" s="36" t="str">
        <f xml:space="preserve"> IF( 'From SvanPC++'!A888= "", "", ('From SvanPC++'!A888))</f>
        <v/>
      </c>
      <c r="B898" s="36"/>
      <c r="C898" s="36"/>
      <c r="D898" s="36"/>
      <c r="E898" s="47"/>
      <c r="F898" s="19"/>
      <c r="I898" s="36"/>
      <c r="S898" s="36"/>
      <c r="T898" s="36"/>
    </row>
    <row r="899" spans="1:20" s="38" customFormat="1" x14ac:dyDescent="0.3">
      <c r="A899" s="36" t="str">
        <f xml:space="preserve"> IF( 'From SvanPC++'!A889= "", "", ('From SvanPC++'!A889))</f>
        <v/>
      </c>
      <c r="B899" s="36"/>
      <c r="C899" s="36"/>
      <c r="D899" s="36"/>
      <c r="E899" s="47"/>
      <c r="F899" s="19"/>
      <c r="I899" s="36"/>
      <c r="S899" s="36"/>
      <c r="T899" s="36"/>
    </row>
    <row r="900" spans="1:20" s="38" customFormat="1" x14ac:dyDescent="0.3">
      <c r="A900" s="36" t="str">
        <f xml:space="preserve"> IF( 'From SvanPC++'!A890= "", "", ('From SvanPC++'!A890))</f>
        <v/>
      </c>
      <c r="B900" s="36"/>
      <c r="C900" s="36"/>
      <c r="D900" s="36"/>
      <c r="E900" s="47"/>
      <c r="F900" s="19"/>
      <c r="I900" s="36"/>
      <c r="S900" s="36"/>
      <c r="T900" s="36"/>
    </row>
    <row r="901" spans="1:20" s="38" customFormat="1" x14ac:dyDescent="0.3">
      <c r="A901" s="36" t="str">
        <f xml:space="preserve"> IF( 'From SvanPC++'!A891= "", "", ('From SvanPC++'!A891))</f>
        <v/>
      </c>
      <c r="B901" s="36"/>
      <c r="C901" s="36"/>
      <c r="D901" s="36"/>
      <c r="E901" s="47"/>
      <c r="F901" s="19"/>
      <c r="I901" s="36"/>
      <c r="S901" s="36"/>
      <c r="T901" s="36"/>
    </row>
    <row r="902" spans="1:20" s="38" customFormat="1" x14ac:dyDescent="0.3">
      <c r="A902" s="36" t="str">
        <f xml:space="preserve"> IF( 'From SvanPC++'!A892= "", "", ('From SvanPC++'!A892))</f>
        <v/>
      </c>
      <c r="B902" s="36"/>
      <c r="C902" s="36"/>
      <c r="D902" s="36"/>
      <c r="E902" s="47"/>
      <c r="F902" s="19"/>
      <c r="I902" s="36"/>
      <c r="S902" s="36"/>
      <c r="T902" s="36"/>
    </row>
    <row r="903" spans="1:20" s="38" customFormat="1" x14ac:dyDescent="0.3">
      <c r="A903" s="36" t="str">
        <f xml:space="preserve"> IF( 'From SvanPC++'!A893= "", "", ('From SvanPC++'!A893))</f>
        <v/>
      </c>
      <c r="B903" s="36"/>
      <c r="C903" s="36"/>
      <c r="D903" s="36"/>
      <c r="E903" s="47"/>
      <c r="F903" s="19"/>
      <c r="I903" s="36"/>
      <c r="S903" s="36"/>
      <c r="T903" s="36"/>
    </row>
    <row r="904" spans="1:20" s="38" customFormat="1" x14ac:dyDescent="0.3">
      <c r="A904" s="36" t="str">
        <f xml:space="preserve"> IF( 'From SvanPC++'!A894= "", "", ('From SvanPC++'!A894))</f>
        <v/>
      </c>
      <c r="B904" s="36"/>
      <c r="C904" s="36"/>
      <c r="D904" s="36"/>
      <c r="E904" s="47"/>
      <c r="F904" s="19"/>
      <c r="I904" s="36"/>
      <c r="S904" s="36"/>
      <c r="T904" s="36"/>
    </row>
    <row r="905" spans="1:20" s="38" customFormat="1" x14ac:dyDescent="0.3">
      <c r="A905" s="36" t="str">
        <f xml:space="preserve"> IF( 'From SvanPC++'!A895= "", "", ('From SvanPC++'!A895))</f>
        <v/>
      </c>
      <c r="B905" s="36"/>
      <c r="C905" s="36"/>
      <c r="D905" s="36"/>
      <c r="E905" s="47"/>
      <c r="F905" s="19"/>
      <c r="I905" s="36"/>
      <c r="S905" s="36"/>
      <c r="T905" s="36"/>
    </row>
    <row r="906" spans="1:20" s="38" customFormat="1" x14ac:dyDescent="0.3">
      <c r="A906" s="36" t="str">
        <f xml:space="preserve"> IF( 'From SvanPC++'!A896= "", "", ('From SvanPC++'!A896))</f>
        <v/>
      </c>
      <c r="B906" s="36"/>
      <c r="C906" s="36"/>
      <c r="D906" s="36"/>
      <c r="E906" s="47"/>
      <c r="F906" s="19"/>
      <c r="I906" s="36"/>
      <c r="S906" s="36"/>
      <c r="T906" s="36"/>
    </row>
    <row r="907" spans="1:20" s="38" customFormat="1" x14ac:dyDescent="0.3">
      <c r="A907" s="36" t="str">
        <f xml:space="preserve"> IF( 'From SvanPC++'!A897= "", "", ('From SvanPC++'!A897))</f>
        <v/>
      </c>
      <c r="B907" s="36"/>
      <c r="C907" s="36"/>
      <c r="D907" s="36"/>
      <c r="E907" s="47"/>
      <c r="F907" s="19"/>
      <c r="I907" s="36"/>
      <c r="S907" s="36"/>
      <c r="T907" s="36"/>
    </row>
    <row r="908" spans="1:20" s="38" customFormat="1" x14ac:dyDescent="0.3">
      <c r="A908" s="36" t="str">
        <f xml:space="preserve"> IF( 'From SvanPC++'!A898= "", "", ('From SvanPC++'!A898))</f>
        <v/>
      </c>
      <c r="B908" s="36"/>
      <c r="C908" s="36"/>
      <c r="D908" s="36"/>
      <c r="E908" s="47"/>
      <c r="F908" s="19"/>
      <c r="I908" s="36"/>
      <c r="S908" s="36"/>
      <c r="T908" s="36"/>
    </row>
    <row r="909" spans="1:20" s="38" customFormat="1" x14ac:dyDescent="0.3">
      <c r="A909" s="36" t="str">
        <f xml:space="preserve"> IF( 'From SvanPC++'!A899= "", "", ('From SvanPC++'!A899))</f>
        <v/>
      </c>
      <c r="B909" s="36"/>
      <c r="C909" s="36"/>
      <c r="D909" s="36"/>
      <c r="E909" s="47"/>
      <c r="F909" s="19"/>
      <c r="I909" s="36"/>
      <c r="S909" s="36"/>
      <c r="T909" s="36"/>
    </row>
    <row r="910" spans="1:20" s="38" customFormat="1" x14ac:dyDescent="0.3">
      <c r="A910" s="36" t="str">
        <f xml:space="preserve"> IF( 'From SvanPC++'!A900= "", "", ('From SvanPC++'!A900))</f>
        <v/>
      </c>
      <c r="B910" s="36"/>
      <c r="C910" s="36"/>
      <c r="D910" s="36"/>
      <c r="E910" s="47"/>
      <c r="F910" s="19"/>
      <c r="I910" s="36"/>
      <c r="S910" s="36"/>
      <c r="T910" s="36"/>
    </row>
    <row r="911" spans="1:20" s="38" customFormat="1" x14ac:dyDescent="0.3">
      <c r="A911" s="36" t="str">
        <f xml:space="preserve"> IF( 'From SvanPC++'!A901= "", "", ('From SvanPC++'!A901))</f>
        <v/>
      </c>
      <c r="B911" s="36"/>
      <c r="C911" s="36"/>
      <c r="D911" s="36"/>
      <c r="E911" s="47"/>
      <c r="F911" s="19"/>
      <c r="I911" s="36"/>
      <c r="S911" s="36"/>
      <c r="T911" s="36"/>
    </row>
    <row r="912" spans="1:20" s="38" customFormat="1" x14ac:dyDescent="0.3">
      <c r="A912" s="36" t="str">
        <f xml:space="preserve"> IF( 'From SvanPC++'!A902= "", "", ('From SvanPC++'!A902))</f>
        <v/>
      </c>
      <c r="B912" s="36"/>
      <c r="C912" s="36"/>
      <c r="D912" s="36"/>
      <c r="E912" s="47"/>
      <c r="F912" s="19"/>
      <c r="I912" s="36"/>
      <c r="S912" s="36"/>
      <c r="T912" s="36"/>
    </row>
    <row r="913" spans="1:20" s="38" customFormat="1" x14ac:dyDescent="0.3">
      <c r="A913" s="36" t="str">
        <f xml:space="preserve"> IF( 'From SvanPC++'!A903= "", "", ('From SvanPC++'!A903))</f>
        <v/>
      </c>
      <c r="B913" s="36"/>
      <c r="C913" s="36"/>
      <c r="D913" s="36"/>
      <c r="E913" s="47"/>
      <c r="F913" s="19"/>
      <c r="I913" s="36"/>
      <c r="S913" s="36"/>
      <c r="T913" s="36"/>
    </row>
    <row r="914" spans="1:20" s="38" customFormat="1" x14ac:dyDescent="0.3">
      <c r="A914" s="36" t="str">
        <f xml:space="preserve"> IF( 'From SvanPC++'!A904= "", "", ('From SvanPC++'!A904))</f>
        <v/>
      </c>
      <c r="B914" s="36"/>
      <c r="C914" s="36"/>
      <c r="D914" s="36"/>
      <c r="E914" s="47"/>
      <c r="F914" s="19"/>
      <c r="I914" s="36"/>
      <c r="S914" s="36"/>
      <c r="T914" s="36"/>
    </row>
    <row r="915" spans="1:20" s="38" customFormat="1" x14ac:dyDescent="0.3">
      <c r="A915" s="36" t="str">
        <f xml:space="preserve"> IF( 'From SvanPC++'!A905= "", "", ('From SvanPC++'!A905))</f>
        <v/>
      </c>
      <c r="B915" s="36"/>
      <c r="C915" s="36"/>
      <c r="D915" s="36"/>
      <c r="E915" s="47"/>
      <c r="F915" s="19"/>
      <c r="I915" s="36"/>
      <c r="S915" s="36"/>
      <c r="T915" s="36"/>
    </row>
    <row r="916" spans="1:20" s="38" customFormat="1" x14ac:dyDescent="0.3">
      <c r="A916" s="36" t="str">
        <f xml:space="preserve"> IF( 'From SvanPC++'!A906= "", "", ('From SvanPC++'!A906))</f>
        <v/>
      </c>
      <c r="B916" s="36"/>
      <c r="C916" s="36"/>
      <c r="D916" s="36"/>
      <c r="E916" s="47"/>
      <c r="F916" s="19"/>
      <c r="I916" s="36"/>
      <c r="S916" s="36"/>
      <c r="T916" s="36"/>
    </row>
    <row r="917" spans="1:20" s="38" customFormat="1" x14ac:dyDescent="0.3">
      <c r="A917" s="36" t="str">
        <f xml:space="preserve"> IF( 'From SvanPC++'!A907= "", "", ('From SvanPC++'!A907))</f>
        <v/>
      </c>
      <c r="B917" s="36"/>
      <c r="C917" s="36"/>
      <c r="D917" s="36"/>
      <c r="E917" s="47"/>
      <c r="F917" s="19"/>
      <c r="I917" s="36"/>
      <c r="S917" s="36"/>
      <c r="T917" s="36"/>
    </row>
    <row r="918" spans="1:20" s="38" customFormat="1" x14ac:dyDescent="0.3">
      <c r="A918" s="36" t="str">
        <f xml:space="preserve"> IF( 'From SvanPC++'!A908= "", "", ('From SvanPC++'!A908))</f>
        <v/>
      </c>
      <c r="B918" s="36"/>
      <c r="C918" s="36"/>
      <c r="D918" s="36"/>
      <c r="E918" s="47"/>
      <c r="F918" s="19"/>
      <c r="I918" s="36"/>
      <c r="S918" s="36"/>
      <c r="T918" s="36"/>
    </row>
    <row r="919" spans="1:20" s="38" customFormat="1" x14ac:dyDescent="0.3">
      <c r="A919" s="36" t="str">
        <f xml:space="preserve"> IF( 'From SvanPC++'!A909= "", "", ('From SvanPC++'!A909))</f>
        <v/>
      </c>
      <c r="B919" s="36"/>
      <c r="C919" s="36"/>
      <c r="D919" s="36"/>
      <c r="E919" s="47"/>
      <c r="F919" s="19"/>
      <c r="I919" s="36"/>
      <c r="S919" s="36"/>
      <c r="T919" s="36"/>
    </row>
    <row r="920" spans="1:20" s="38" customFormat="1" x14ac:dyDescent="0.3">
      <c r="A920" s="36" t="str">
        <f xml:space="preserve"> IF( 'From SvanPC++'!A910= "", "", ('From SvanPC++'!A910))</f>
        <v/>
      </c>
      <c r="B920" s="36"/>
      <c r="C920" s="36"/>
      <c r="D920" s="36"/>
      <c r="E920" s="47"/>
      <c r="F920" s="19"/>
      <c r="I920" s="36"/>
      <c r="S920" s="36"/>
      <c r="T920" s="36"/>
    </row>
    <row r="921" spans="1:20" s="38" customFormat="1" x14ac:dyDescent="0.3">
      <c r="A921" s="36" t="str">
        <f xml:space="preserve"> IF( 'From SvanPC++'!A911= "", "", ('From SvanPC++'!A911))</f>
        <v/>
      </c>
      <c r="B921" s="36"/>
      <c r="C921" s="36"/>
      <c r="D921" s="36"/>
      <c r="E921" s="47"/>
      <c r="F921" s="19"/>
      <c r="I921" s="36"/>
      <c r="S921" s="36"/>
      <c r="T921" s="36"/>
    </row>
    <row r="922" spans="1:20" s="38" customFormat="1" x14ac:dyDescent="0.3">
      <c r="A922" s="36" t="str">
        <f xml:space="preserve"> IF( 'From SvanPC++'!A912= "", "", ('From SvanPC++'!A912))</f>
        <v/>
      </c>
      <c r="B922" s="36"/>
      <c r="C922" s="36"/>
      <c r="D922" s="36"/>
      <c r="E922" s="47"/>
      <c r="F922" s="19"/>
      <c r="I922" s="36"/>
      <c r="S922" s="36"/>
      <c r="T922" s="36"/>
    </row>
    <row r="923" spans="1:20" s="38" customFormat="1" x14ac:dyDescent="0.3">
      <c r="A923" s="36" t="str">
        <f xml:space="preserve"> IF( 'From SvanPC++'!A913= "", "", ('From SvanPC++'!A913))</f>
        <v/>
      </c>
      <c r="B923" s="36"/>
      <c r="C923" s="36"/>
      <c r="D923" s="36"/>
      <c r="E923" s="47"/>
      <c r="F923" s="19"/>
      <c r="I923" s="36"/>
      <c r="S923" s="36"/>
      <c r="T923" s="36"/>
    </row>
    <row r="924" spans="1:20" s="38" customFormat="1" x14ac:dyDescent="0.3">
      <c r="A924" s="36" t="str">
        <f xml:space="preserve"> IF( 'From SvanPC++'!A914= "", "", ('From SvanPC++'!A914))</f>
        <v/>
      </c>
      <c r="B924" s="36"/>
      <c r="C924" s="36"/>
      <c r="D924" s="36"/>
      <c r="E924" s="47"/>
      <c r="F924" s="19"/>
      <c r="I924" s="36"/>
      <c r="S924" s="36"/>
      <c r="T924" s="36"/>
    </row>
    <row r="925" spans="1:20" s="38" customFormat="1" x14ac:dyDescent="0.3">
      <c r="A925" s="36" t="str">
        <f xml:space="preserve"> IF( 'From SvanPC++'!A915= "", "", ('From SvanPC++'!A915))</f>
        <v/>
      </c>
      <c r="B925" s="36"/>
      <c r="C925" s="36"/>
      <c r="D925" s="36"/>
      <c r="E925" s="47"/>
      <c r="F925" s="19"/>
      <c r="I925" s="36"/>
      <c r="S925" s="36"/>
      <c r="T925" s="36"/>
    </row>
    <row r="926" spans="1:20" s="38" customFormat="1" x14ac:dyDescent="0.3">
      <c r="A926" s="36" t="str">
        <f xml:space="preserve"> IF( 'From SvanPC++'!A916= "", "", ('From SvanPC++'!A916))</f>
        <v/>
      </c>
      <c r="B926" s="36"/>
      <c r="C926" s="36"/>
      <c r="D926" s="36"/>
      <c r="E926" s="47"/>
      <c r="F926" s="19"/>
      <c r="I926" s="36"/>
      <c r="S926" s="36"/>
      <c r="T926" s="36"/>
    </row>
    <row r="927" spans="1:20" s="38" customFormat="1" x14ac:dyDescent="0.3">
      <c r="A927" s="36" t="str">
        <f xml:space="preserve"> IF( 'From SvanPC++'!A917= "", "", ('From SvanPC++'!A917))</f>
        <v/>
      </c>
      <c r="B927" s="36"/>
      <c r="C927" s="36"/>
      <c r="D927" s="36"/>
      <c r="E927" s="47"/>
      <c r="F927" s="19"/>
      <c r="I927" s="36"/>
      <c r="S927" s="36"/>
      <c r="T927" s="36"/>
    </row>
    <row r="928" spans="1:20" s="38" customFormat="1" x14ac:dyDescent="0.3">
      <c r="A928" s="36" t="str">
        <f xml:space="preserve"> IF( 'From SvanPC++'!A918= "", "", ('From SvanPC++'!A918))</f>
        <v/>
      </c>
      <c r="B928" s="36"/>
      <c r="C928" s="36"/>
      <c r="D928" s="36"/>
      <c r="E928" s="47"/>
      <c r="F928" s="19"/>
      <c r="I928" s="36"/>
      <c r="S928" s="36"/>
      <c r="T928" s="36"/>
    </row>
    <row r="929" spans="1:20" s="38" customFormat="1" x14ac:dyDescent="0.3">
      <c r="A929" s="36" t="str">
        <f xml:space="preserve"> IF( 'From SvanPC++'!A919= "", "", ('From SvanPC++'!A919))</f>
        <v/>
      </c>
      <c r="B929" s="36"/>
      <c r="C929" s="36"/>
      <c r="D929" s="36"/>
      <c r="E929" s="47"/>
      <c r="F929" s="19"/>
      <c r="I929" s="36"/>
      <c r="S929" s="36"/>
      <c r="T929" s="36"/>
    </row>
    <row r="930" spans="1:20" s="38" customFormat="1" x14ac:dyDescent="0.3">
      <c r="A930" s="36" t="str">
        <f xml:space="preserve"> IF( 'From SvanPC++'!A920= "", "", ('From SvanPC++'!A920))</f>
        <v/>
      </c>
      <c r="B930" s="36"/>
      <c r="C930" s="36"/>
      <c r="D930" s="36"/>
      <c r="E930" s="47"/>
      <c r="F930" s="19"/>
      <c r="I930" s="36"/>
      <c r="S930" s="36"/>
      <c r="T930" s="36"/>
    </row>
    <row r="931" spans="1:20" s="38" customFormat="1" x14ac:dyDescent="0.3">
      <c r="A931" s="36" t="str">
        <f xml:space="preserve"> IF( 'From SvanPC++'!A921= "", "", ('From SvanPC++'!A921))</f>
        <v/>
      </c>
      <c r="B931" s="36"/>
      <c r="C931" s="36"/>
      <c r="D931" s="36"/>
      <c r="E931" s="47"/>
      <c r="F931" s="19"/>
      <c r="I931" s="36"/>
      <c r="S931" s="36"/>
      <c r="T931" s="36"/>
    </row>
    <row r="932" spans="1:20" s="38" customFormat="1" x14ac:dyDescent="0.3">
      <c r="A932" s="36" t="str">
        <f xml:space="preserve"> IF( 'From SvanPC++'!A922= "", "", ('From SvanPC++'!A922))</f>
        <v/>
      </c>
      <c r="B932" s="36"/>
      <c r="C932" s="36"/>
      <c r="D932" s="36"/>
      <c r="E932" s="47"/>
      <c r="F932" s="19"/>
      <c r="I932" s="36"/>
      <c r="S932" s="36"/>
      <c r="T932" s="36"/>
    </row>
    <row r="933" spans="1:20" s="38" customFormat="1" x14ac:dyDescent="0.3">
      <c r="A933" s="36" t="str">
        <f xml:space="preserve"> IF( 'From SvanPC++'!A923= "", "", ('From SvanPC++'!A923))</f>
        <v/>
      </c>
      <c r="B933" s="36"/>
      <c r="C933" s="36"/>
      <c r="D933" s="36"/>
      <c r="E933" s="47"/>
      <c r="F933" s="19"/>
      <c r="I933" s="36"/>
      <c r="S933" s="36"/>
      <c r="T933" s="36"/>
    </row>
    <row r="934" spans="1:20" s="38" customFormat="1" x14ac:dyDescent="0.3">
      <c r="A934" s="36" t="str">
        <f xml:space="preserve"> IF( 'From SvanPC++'!A924= "", "", ('From SvanPC++'!A924))</f>
        <v/>
      </c>
      <c r="B934" s="36"/>
      <c r="C934" s="36"/>
      <c r="D934" s="36"/>
      <c r="E934" s="47"/>
      <c r="F934" s="19"/>
      <c r="I934" s="36"/>
      <c r="S934" s="36"/>
      <c r="T934" s="36"/>
    </row>
    <row r="935" spans="1:20" s="38" customFormat="1" x14ac:dyDescent="0.3">
      <c r="A935" s="36" t="str">
        <f xml:space="preserve"> IF( 'From SvanPC++'!A925= "", "", ('From SvanPC++'!A925))</f>
        <v/>
      </c>
      <c r="B935" s="36"/>
      <c r="C935" s="36"/>
      <c r="D935" s="36"/>
      <c r="E935" s="47"/>
      <c r="F935" s="19"/>
      <c r="I935" s="36"/>
      <c r="S935" s="36"/>
      <c r="T935" s="36"/>
    </row>
    <row r="936" spans="1:20" s="38" customFormat="1" x14ac:dyDescent="0.3">
      <c r="A936" s="36" t="str">
        <f xml:space="preserve"> IF( 'From SvanPC++'!A926= "", "", ('From SvanPC++'!A926))</f>
        <v/>
      </c>
      <c r="B936" s="36"/>
      <c r="C936" s="36"/>
      <c r="D936" s="36"/>
      <c r="E936" s="47"/>
      <c r="F936" s="19"/>
      <c r="I936" s="36"/>
      <c r="S936" s="36"/>
      <c r="T936" s="36"/>
    </row>
    <row r="937" spans="1:20" s="38" customFormat="1" x14ac:dyDescent="0.3">
      <c r="A937" s="36" t="str">
        <f xml:space="preserve"> IF( 'From SvanPC++'!A927= "", "", ('From SvanPC++'!A927))</f>
        <v/>
      </c>
      <c r="B937" s="36"/>
      <c r="C937" s="36"/>
      <c r="D937" s="36"/>
      <c r="E937" s="47"/>
      <c r="F937" s="19"/>
      <c r="I937" s="36"/>
      <c r="S937" s="36"/>
      <c r="T937" s="36"/>
    </row>
    <row r="938" spans="1:20" s="38" customFormat="1" x14ac:dyDescent="0.3">
      <c r="A938" s="36" t="str">
        <f xml:space="preserve"> IF( 'From SvanPC++'!A928= "", "", ('From SvanPC++'!A928))</f>
        <v/>
      </c>
      <c r="B938" s="36"/>
      <c r="C938" s="36"/>
      <c r="D938" s="36"/>
      <c r="E938" s="47"/>
      <c r="F938" s="19"/>
      <c r="I938" s="36"/>
      <c r="S938" s="36"/>
      <c r="T938" s="36"/>
    </row>
    <row r="939" spans="1:20" s="38" customFormat="1" x14ac:dyDescent="0.3">
      <c r="A939" s="36" t="str">
        <f xml:space="preserve"> IF( 'From SvanPC++'!A929= "", "", ('From SvanPC++'!A929))</f>
        <v/>
      </c>
      <c r="B939" s="36"/>
      <c r="C939" s="36"/>
      <c r="D939" s="36"/>
      <c r="E939" s="47"/>
      <c r="F939" s="19"/>
      <c r="I939" s="36"/>
      <c r="S939" s="36"/>
      <c r="T939" s="36"/>
    </row>
    <row r="940" spans="1:20" s="38" customFormat="1" x14ac:dyDescent="0.3">
      <c r="A940" s="36" t="str">
        <f xml:space="preserve"> IF( 'From SvanPC++'!A930= "", "", ('From SvanPC++'!A930))</f>
        <v/>
      </c>
      <c r="B940" s="36"/>
      <c r="C940" s="36"/>
      <c r="D940" s="36"/>
      <c r="E940" s="47"/>
      <c r="F940" s="19"/>
      <c r="I940" s="36"/>
      <c r="S940" s="36"/>
      <c r="T940" s="36"/>
    </row>
    <row r="941" spans="1:20" s="38" customFormat="1" x14ac:dyDescent="0.3">
      <c r="A941" s="36" t="str">
        <f xml:space="preserve"> IF( 'From SvanPC++'!A931= "", "", ('From SvanPC++'!A931))</f>
        <v/>
      </c>
      <c r="B941" s="36"/>
      <c r="C941" s="36"/>
      <c r="D941" s="36"/>
      <c r="E941" s="47"/>
      <c r="F941" s="19"/>
      <c r="I941" s="36"/>
      <c r="S941" s="36"/>
      <c r="T941" s="36"/>
    </row>
    <row r="942" spans="1:20" s="38" customFormat="1" x14ac:dyDescent="0.3">
      <c r="A942" s="36" t="str">
        <f xml:space="preserve"> IF( 'From SvanPC++'!A932= "", "", ('From SvanPC++'!A932))</f>
        <v/>
      </c>
      <c r="B942" s="36"/>
      <c r="C942" s="36"/>
      <c r="D942" s="36"/>
      <c r="E942" s="47"/>
      <c r="F942" s="19"/>
      <c r="I942" s="36"/>
      <c r="S942" s="36"/>
      <c r="T942" s="36"/>
    </row>
    <row r="943" spans="1:20" s="38" customFormat="1" x14ac:dyDescent="0.3">
      <c r="A943" s="36" t="str">
        <f xml:space="preserve"> IF( 'From SvanPC++'!A933= "", "", ('From SvanPC++'!A933))</f>
        <v/>
      </c>
      <c r="B943" s="36"/>
      <c r="C943" s="36"/>
      <c r="D943" s="36"/>
      <c r="E943" s="47"/>
      <c r="F943" s="19"/>
      <c r="I943" s="36"/>
      <c r="S943" s="36"/>
      <c r="T943" s="36"/>
    </row>
    <row r="944" spans="1:20" s="38" customFormat="1" x14ac:dyDescent="0.3">
      <c r="A944" s="36" t="str">
        <f xml:space="preserve"> IF( 'From SvanPC++'!A934= "", "", ('From SvanPC++'!A934))</f>
        <v/>
      </c>
      <c r="B944" s="36"/>
      <c r="C944" s="36"/>
      <c r="D944" s="36"/>
      <c r="E944" s="47"/>
      <c r="F944" s="19"/>
      <c r="I944" s="36"/>
      <c r="S944" s="36"/>
      <c r="T944" s="36"/>
    </row>
    <row r="945" spans="1:20" s="38" customFormat="1" x14ac:dyDescent="0.3">
      <c r="A945" s="36" t="str">
        <f xml:space="preserve"> IF( 'From SvanPC++'!A935= "", "", ('From SvanPC++'!A935))</f>
        <v/>
      </c>
      <c r="B945" s="36"/>
      <c r="C945" s="36"/>
      <c r="D945" s="36"/>
      <c r="E945" s="47"/>
      <c r="F945" s="19"/>
      <c r="I945" s="36"/>
      <c r="S945" s="36"/>
      <c r="T945" s="36"/>
    </row>
    <row r="946" spans="1:20" s="38" customFormat="1" x14ac:dyDescent="0.3">
      <c r="A946" s="36" t="str">
        <f xml:space="preserve"> IF( 'From SvanPC++'!A936= "", "", ('From SvanPC++'!A936))</f>
        <v/>
      </c>
      <c r="B946" s="36"/>
      <c r="C946" s="36"/>
      <c r="D946" s="36"/>
      <c r="E946" s="47"/>
      <c r="F946" s="19"/>
      <c r="I946" s="36"/>
      <c r="S946" s="36"/>
      <c r="T946" s="36"/>
    </row>
    <row r="947" spans="1:20" s="38" customFormat="1" x14ac:dyDescent="0.3">
      <c r="A947" s="36" t="str">
        <f xml:space="preserve"> IF( 'From SvanPC++'!A937= "", "", ('From SvanPC++'!A937))</f>
        <v/>
      </c>
      <c r="B947" s="36"/>
      <c r="C947" s="36"/>
      <c r="D947" s="36"/>
      <c r="E947" s="47"/>
      <c r="F947" s="19"/>
      <c r="I947" s="36"/>
      <c r="S947" s="36"/>
      <c r="T947" s="36"/>
    </row>
    <row r="948" spans="1:20" s="38" customFormat="1" x14ac:dyDescent="0.3">
      <c r="A948" s="36" t="str">
        <f xml:space="preserve"> IF( 'From SvanPC++'!A938= "", "", ('From SvanPC++'!A938))</f>
        <v/>
      </c>
      <c r="B948" s="36"/>
      <c r="C948" s="36"/>
      <c r="D948" s="36"/>
      <c r="E948" s="47"/>
      <c r="F948" s="19"/>
      <c r="I948" s="36"/>
      <c r="S948" s="36"/>
      <c r="T948" s="36"/>
    </row>
    <row r="949" spans="1:20" s="38" customFormat="1" x14ac:dyDescent="0.3">
      <c r="A949" s="36" t="str">
        <f xml:space="preserve"> IF( 'From SvanPC++'!A939= "", "", ('From SvanPC++'!A939))</f>
        <v/>
      </c>
      <c r="B949" s="36"/>
      <c r="C949" s="36"/>
      <c r="D949" s="36"/>
      <c r="E949" s="47"/>
      <c r="F949" s="19"/>
      <c r="I949" s="36"/>
      <c r="S949" s="36"/>
      <c r="T949" s="36"/>
    </row>
    <row r="950" spans="1:20" s="38" customFormat="1" x14ac:dyDescent="0.3">
      <c r="A950" s="36" t="str">
        <f xml:space="preserve"> IF( 'From SvanPC++'!A940= "", "", ('From SvanPC++'!A940))</f>
        <v/>
      </c>
      <c r="B950" s="36"/>
      <c r="C950" s="36"/>
      <c r="D950" s="36"/>
      <c r="E950" s="47"/>
      <c r="F950" s="19"/>
      <c r="I950" s="36"/>
      <c r="S950" s="36"/>
      <c r="T950" s="36"/>
    </row>
    <row r="951" spans="1:20" s="38" customFormat="1" x14ac:dyDescent="0.3">
      <c r="A951" s="36" t="str">
        <f xml:space="preserve"> IF( 'From SvanPC++'!A941= "", "", ('From SvanPC++'!A941))</f>
        <v/>
      </c>
      <c r="B951" s="36"/>
      <c r="C951" s="36"/>
      <c r="D951" s="36"/>
      <c r="E951" s="47"/>
      <c r="F951" s="19"/>
      <c r="I951" s="36"/>
      <c r="S951" s="36"/>
      <c r="T951" s="36"/>
    </row>
    <row r="952" spans="1:20" s="38" customFormat="1" x14ac:dyDescent="0.3">
      <c r="A952" s="36" t="str">
        <f xml:space="preserve"> IF( 'From SvanPC++'!A942= "", "", ('From SvanPC++'!A942))</f>
        <v/>
      </c>
      <c r="B952" s="36"/>
      <c r="C952" s="36"/>
      <c r="D952" s="36"/>
      <c r="E952" s="47"/>
      <c r="F952" s="19"/>
      <c r="I952" s="36"/>
      <c r="S952" s="36"/>
      <c r="T952" s="36"/>
    </row>
    <row r="953" spans="1:20" s="38" customFormat="1" x14ac:dyDescent="0.3">
      <c r="A953" s="36" t="str">
        <f xml:space="preserve"> IF( 'From SvanPC++'!A943= "", "", ('From SvanPC++'!A943))</f>
        <v/>
      </c>
      <c r="B953" s="36"/>
      <c r="C953" s="36"/>
      <c r="D953" s="36"/>
      <c r="E953" s="47"/>
      <c r="F953" s="19"/>
      <c r="I953" s="36"/>
      <c r="S953" s="36"/>
      <c r="T953" s="36"/>
    </row>
    <row r="954" spans="1:20" s="38" customFormat="1" x14ac:dyDescent="0.3">
      <c r="A954" s="36" t="str">
        <f xml:space="preserve"> IF( 'From SvanPC++'!A944= "", "", ('From SvanPC++'!A944))</f>
        <v/>
      </c>
      <c r="B954" s="36"/>
      <c r="C954" s="36"/>
      <c r="D954" s="36"/>
      <c r="E954" s="47"/>
      <c r="F954" s="19"/>
      <c r="I954" s="36"/>
      <c r="S954" s="36"/>
      <c r="T954" s="36"/>
    </row>
    <row r="955" spans="1:20" s="38" customFormat="1" x14ac:dyDescent="0.3">
      <c r="A955" s="36" t="str">
        <f xml:space="preserve"> IF( 'From SvanPC++'!A945= "", "", ('From SvanPC++'!A945))</f>
        <v/>
      </c>
      <c r="B955" s="36"/>
      <c r="C955" s="36"/>
      <c r="D955" s="36"/>
      <c r="E955" s="47"/>
      <c r="F955" s="19"/>
      <c r="I955" s="36"/>
      <c r="S955" s="36"/>
      <c r="T955" s="36"/>
    </row>
    <row r="956" spans="1:20" s="38" customFormat="1" x14ac:dyDescent="0.3">
      <c r="A956" s="36" t="str">
        <f xml:space="preserve"> IF( 'From SvanPC++'!A946= "", "", ('From SvanPC++'!A946))</f>
        <v/>
      </c>
      <c r="B956" s="36"/>
      <c r="C956" s="36"/>
      <c r="D956" s="36"/>
      <c r="E956" s="47"/>
      <c r="F956" s="19"/>
      <c r="I956" s="36"/>
      <c r="S956" s="36"/>
      <c r="T956" s="36"/>
    </row>
    <row r="957" spans="1:20" s="38" customFormat="1" x14ac:dyDescent="0.3">
      <c r="A957" s="36" t="str">
        <f xml:space="preserve"> IF( 'From SvanPC++'!A947= "", "", ('From SvanPC++'!A947))</f>
        <v/>
      </c>
      <c r="B957" s="36"/>
      <c r="C957" s="36"/>
      <c r="D957" s="36"/>
      <c r="E957" s="47"/>
      <c r="F957" s="19"/>
      <c r="I957" s="36"/>
      <c r="S957" s="36"/>
      <c r="T957" s="36"/>
    </row>
    <row r="958" spans="1:20" s="38" customFormat="1" x14ac:dyDescent="0.3">
      <c r="A958" s="36" t="str">
        <f xml:space="preserve"> IF( 'From SvanPC++'!A948= "", "", ('From SvanPC++'!A948))</f>
        <v/>
      </c>
      <c r="B958" s="36"/>
      <c r="C958" s="36"/>
      <c r="D958" s="36"/>
      <c r="E958" s="47"/>
      <c r="F958" s="19"/>
      <c r="I958" s="36"/>
      <c r="S958" s="36"/>
      <c r="T958" s="36"/>
    </row>
    <row r="959" spans="1:20" s="38" customFormat="1" x14ac:dyDescent="0.3">
      <c r="A959" s="36" t="str">
        <f xml:space="preserve"> IF( 'From SvanPC++'!A949= "", "", ('From SvanPC++'!A949))</f>
        <v/>
      </c>
      <c r="B959" s="36"/>
      <c r="C959" s="36"/>
      <c r="D959" s="36"/>
      <c r="E959" s="47"/>
      <c r="F959" s="19"/>
      <c r="I959" s="36"/>
      <c r="S959" s="36"/>
      <c r="T959" s="36"/>
    </row>
    <row r="960" spans="1:20" s="38" customFormat="1" x14ac:dyDescent="0.3">
      <c r="A960" s="36" t="str">
        <f xml:space="preserve"> IF( 'From SvanPC++'!A950= "", "", ('From SvanPC++'!A950))</f>
        <v/>
      </c>
      <c r="B960" s="36"/>
      <c r="C960" s="36"/>
      <c r="D960" s="36"/>
      <c r="E960" s="47"/>
      <c r="F960" s="19"/>
      <c r="I960" s="36"/>
      <c r="S960" s="36"/>
      <c r="T960" s="36"/>
    </row>
    <row r="961" spans="1:20" s="38" customFormat="1" x14ac:dyDescent="0.3">
      <c r="A961" s="36" t="str">
        <f xml:space="preserve"> IF( 'From SvanPC++'!A951= "", "", ('From SvanPC++'!A951))</f>
        <v/>
      </c>
      <c r="B961" s="36"/>
      <c r="C961" s="36"/>
      <c r="D961" s="36"/>
      <c r="E961" s="47"/>
      <c r="F961" s="19"/>
      <c r="I961" s="36"/>
      <c r="S961" s="36"/>
      <c r="T961" s="36"/>
    </row>
    <row r="962" spans="1:20" s="38" customFormat="1" x14ac:dyDescent="0.3">
      <c r="A962" s="36" t="str">
        <f xml:space="preserve"> IF( 'From SvanPC++'!A952= "", "", ('From SvanPC++'!A952))</f>
        <v/>
      </c>
      <c r="B962" s="36"/>
      <c r="C962" s="36"/>
      <c r="D962" s="36"/>
      <c r="E962" s="47"/>
      <c r="F962" s="19"/>
      <c r="I962" s="36"/>
      <c r="S962" s="36"/>
      <c r="T962" s="36"/>
    </row>
    <row r="963" spans="1:20" s="38" customFormat="1" x14ac:dyDescent="0.3">
      <c r="A963" s="36" t="str">
        <f xml:space="preserve"> IF( 'From SvanPC++'!A953= "", "", ('From SvanPC++'!A953))</f>
        <v/>
      </c>
      <c r="B963" s="36"/>
      <c r="C963" s="36"/>
      <c r="D963" s="36"/>
      <c r="E963" s="47"/>
      <c r="F963" s="19"/>
      <c r="I963" s="36"/>
      <c r="S963" s="36"/>
      <c r="T963" s="36"/>
    </row>
    <row r="964" spans="1:20" s="38" customFormat="1" x14ac:dyDescent="0.3">
      <c r="A964" s="36" t="str">
        <f xml:space="preserve"> IF( 'From SvanPC++'!A954= "", "", ('From SvanPC++'!A954))</f>
        <v/>
      </c>
      <c r="B964" s="36"/>
      <c r="C964" s="36"/>
      <c r="D964" s="36"/>
      <c r="E964" s="47"/>
      <c r="F964" s="19"/>
      <c r="I964" s="36"/>
      <c r="S964" s="36"/>
      <c r="T964" s="36"/>
    </row>
    <row r="965" spans="1:20" s="38" customFormat="1" x14ac:dyDescent="0.3">
      <c r="A965" s="36" t="str">
        <f xml:space="preserve"> IF( 'From SvanPC++'!A955= "", "", ('From SvanPC++'!A955))</f>
        <v/>
      </c>
      <c r="B965" s="36"/>
      <c r="C965" s="36"/>
      <c r="D965" s="36"/>
      <c r="E965" s="47"/>
      <c r="F965" s="19"/>
      <c r="I965" s="36"/>
      <c r="S965" s="36"/>
      <c r="T965" s="36"/>
    </row>
    <row r="966" spans="1:20" s="38" customFormat="1" x14ac:dyDescent="0.3">
      <c r="A966" s="36" t="str">
        <f xml:space="preserve"> IF( 'From SvanPC++'!A956= "", "", ('From SvanPC++'!A956))</f>
        <v/>
      </c>
      <c r="B966" s="36"/>
      <c r="C966" s="36"/>
      <c r="D966" s="36"/>
      <c r="E966" s="47"/>
      <c r="F966" s="19"/>
      <c r="I966" s="36"/>
      <c r="S966" s="36"/>
      <c r="T966" s="36"/>
    </row>
    <row r="967" spans="1:20" s="38" customFormat="1" x14ac:dyDescent="0.3">
      <c r="A967" s="36" t="str">
        <f xml:space="preserve"> IF( 'From SvanPC++'!A957= "", "", ('From SvanPC++'!A957))</f>
        <v/>
      </c>
      <c r="B967" s="36"/>
      <c r="C967" s="36"/>
      <c r="D967" s="36"/>
      <c r="E967" s="47"/>
      <c r="F967" s="19"/>
      <c r="I967" s="36"/>
      <c r="S967" s="36"/>
      <c r="T967" s="36"/>
    </row>
    <row r="968" spans="1:20" s="38" customFormat="1" x14ac:dyDescent="0.3">
      <c r="A968" s="36" t="str">
        <f xml:space="preserve"> IF( 'From SvanPC++'!A958= "", "", ('From SvanPC++'!A958))</f>
        <v/>
      </c>
      <c r="B968" s="36"/>
      <c r="C968" s="36"/>
      <c r="D968" s="36"/>
      <c r="E968" s="47"/>
      <c r="F968" s="19"/>
      <c r="I968" s="36"/>
      <c r="S968" s="36"/>
      <c r="T968" s="36"/>
    </row>
    <row r="969" spans="1:20" s="38" customFormat="1" x14ac:dyDescent="0.3">
      <c r="A969" s="36" t="str">
        <f xml:space="preserve"> IF( 'From SvanPC++'!A959= "", "", ('From SvanPC++'!A959))</f>
        <v/>
      </c>
      <c r="B969" s="36"/>
      <c r="C969" s="36"/>
      <c r="D969" s="36"/>
      <c r="E969" s="47"/>
      <c r="F969" s="19"/>
      <c r="I969" s="36"/>
      <c r="S969" s="36"/>
      <c r="T969" s="36"/>
    </row>
    <row r="970" spans="1:20" s="38" customFormat="1" x14ac:dyDescent="0.3">
      <c r="A970" s="36" t="str">
        <f xml:space="preserve"> IF( 'From SvanPC++'!A960= "", "", ('From SvanPC++'!A960))</f>
        <v/>
      </c>
      <c r="B970" s="36"/>
      <c r="C970" s="36"/>
      <c r="D970" s="36"/>
      <c r="E970" s="47"/>
      <c r="F970" s="19"/>
      <c r="I970" s="36"/>
      <c r="S970" s="36"/>
      <c r="T970" s="36"/>
    </row>
    <row r="971" spans="1:20" s="38" customFormat="1" x14ac:dyDescent="0.3">
      <c r="A971" s="36" t="str">
        <f xml:space="preserve"> IF( 'From SvanPC++'!A961= "", "", ('From SvanPC++'!A961))</f>
        <v/>
      </c>
      <c r="B971" s="36"/>
      <c r="C971" s="36"/>
      <c r="D971" s="36"/>
      <c r="E971" s="47"/>
      <c r="F971" s="19"/>
      <c r="I971" s="36"/>
      <c r="S971" s="36"/>
      <c r="T971" s="36"/>
    </row>
    <row r="972" spans="1:20" s="38" customFormat="1" x14ac:dyDescent="0.3">
      <c r="A972" s="36" t="str">
        <f xml:space="preserve"> IF( 'From SvanPC++'!A962= "", "", ('From SvanPC++'!A962))</f>
        <v/>
      </c>
      <c r="B972" s="36"/>
      <c r="C972" s="36"/>
      <c r="D972" s="36"/>
      <c r="E972" s="47"/>
      <c r="F972" s="19"/>
      <c r="I972" s="36"/>
      <c r="S972" s="36"/>
      <c r="T972" s="36"/>
    </row>
    <row r="973" spans="1:20" s="38" customFormat="1" x14ac:dyDescent="0.3">
      <c r="A973" s="36" t="str">
        <f xml:space="preserve"> IF( 'From SvanPC++'!A963= "", "", ('From SvanPC++'!A963))</f>
        <v/>
      </c>
      <c r="B973" s="36"/>
      <c r="C973" s="36"/>
      <c r="D973" s="36"/>
      <c r="E973" s="47"/>
      <c r="F973" s="19"/>
      <c r="I973" s="36"/>
      <c r="S973" s="36"/>
      <c r="T973" s="36"/>
    </row>
    <row r="974" spans="1:20" s="38" customFormat="1" x14ac:dyDescent="0.3">
      <c r="A974" s="36" t="str">
        <f xml:space="preserve"> IF( 'From SvanPC++'!A964= "", "", ('From SvanPC++'!A964))</f>
        <v/>
      </c>
      <c r="B974" s="36"/>
      <c r="C974" s="36"/>
      <c r="D974" s="36"/>
      <c r="E974" s="47"/>
      <c r="F974" s="19"/>
      <c r="I974" s="36"/>
      <c r="S974" s="36"/>
      <c r="T974" s="36"/>
    </row>
    <row r="975" spans="1:20" s="38" customFormat="1" x14ac:dyDescent="0.3">
      <c r="A975" s="36" t="str">
        <f xml:space="preserve"> IF( 'From SvanPC++'!A965= "", "", ('From SvanPC++'!A965))</f>
        <v/>
      </c>
      <c r="B975" s="36"/>
      <c r="C975" s="36"/>
      <c r="D975" s="36"/>
      <c r="E975" s="47"/>
      <c r="F975" s="19"/>
      <c r="I975" s="36"/>
      <c r="S975" s="36"/>
      <c r="T975" s="36"/>
    </row>
    <row r="976" spans="1:20" s="38" customFormat="1" x14ac:dyDescent="0.3">
      <c r="A976" s="36" t="str">
        <f xml:space="preserve"> IF( 'From SvanPC++'!A966= "", "", ('From SvanPC++'!A966))</f>
        <v/>
      </c>
      <c r="B976" s="36"/>
      <c r="C976" s="36"/>
      <c r="D976" s="36"/>
      <c r="E976" s="47"/>
      <c r="F976" s="19"/>
      <c r="I976" s="36"/>
      <c r="S976" s="36"/>
      <c r="T976" s="36"/>
    </row>
    <row r="977" spans="1:20" s="38" customFormat="1" x14ac:dyDescent="0.3">
      <c r="A977" s="36" t="str">
        <f xml:space="preserve"> IF( 'From SvanPC++'!A967= "", "", ('From SvanPC++'!A967))</f>
        <v/>
      </c>
      <c r="B977" s="36"/>
      <c r="C977" s="36"/>
      <c r="D977" s="36"/>
      <c r="E977" s="47"/>
      <c r="F977" s="19"/>
      <c r="I977" s="36"/>
      <c r="S977" s="36"/>
      <c r="T977" s="36"/>
    </row>
    <row r="978" spans="1:20" s="38" customFormat="1" x14ac:dyDescent="0.3">
      <c r="A978" s="36" t="str">
        <f xml:space="preserve"> IF( 'From SvanPC++'!A968= "", "", ('From SvanPC++'!A968))</f>
        <v/>
      </c>
      <c r="B978" s="36"/>
      <c r="C978" s="36"/>
      <c r="D978" s="36"/>
      <c r="E978" s="47"/>
      <c r="F978" s="19"/>
      <c r="I978" s="36"/>
      <c r="S978" s="36"/>
      <c r="T978" s="36"/>
    </row>
    <row r="979" spans="1:20" s="38" customFormat="1" x14ac:dyDescent="0.3">
      <c r="A979" s="36" t="str">
        <f xml:space="preserve"> IF( 'From SvanPC++'!A969= "", "", ('From SvanPC++'!A969))</f>
        <v/>
      </c>
      <c r="B979" s="36"/>
      <c r="C979" s="36"/>
      <c r="D979" s="36"/>
      <c r="E979" s="47"/>
      <c r="F979" s="19"/>
      <c r="I979" s="36"/>
      <c r="S979" s="36"/>
      <c r="T979" s="36"/>
    </row>
    <row r="980" spans="1:20" s="38" customFormat="1" x14ac:dyDescent="0.3">
      <c r="A980" s="36" t="str">
        <f xml:space="preserve"> IF( 'From SvanPC++'!A970= "", "", ('From SvanPC++'!A970))</f>
        <v/>
      </c>
      <c r="B980" s="36"/>
      <c r="C980" s="36"/>
      <c r="D980" s="36"/>
      <c r="E980" s="47"/>
      <c r="F980" s="19"/>
      <c r="I980" s="36"/>
      <c r="S980" s="36"/>
      <c r="T980" s="36"/>
    </row>
    <row r="981" spans="1:20" s="38" customFormat="1" x14ac:dyDescent="0.3">
      <c r="A981" s="36" t="str">
        <f xml:space="preserve"> IF( 'From SvanPC++'!A971= "", "", ('From SvanPC++'!A971))</f>
        <v/>
      </c>
      <c r="B981" s="36"/>
      <c r="C981" s="36"/>
      <c r="D981" s="36"/>
      <c r="E981" s="47"/>
      <c r="F981" s="19"/>
      <c r="I981" s="36"/>
      <c r="S981" s="36"/>
      <c r="T981" s="36"/>
    </row>
    <row r="982" spans="1:20" s="38" customFormat="1" x14ac:dyDescent="0.3">
      <c r="A982" s="36" t="str">
        <f xml:space="preserve"> IF( 'From SvanPC++'!A972= "", "", ('From SvanPC++'!A972))</f>
        <v/>
      </c>
      <c r="B982" s="36"/>
      <c r="C982" s="36"/>
      <c r="D982" s="36"/>
      <c r="E982" s="47"/>
      <c r="F982" s="19"/>
      <c r="I982" s="36"/>
      <c r="S982" s="36"/>
      <c r="T982" s="36"/>
    </row>
    <row r="983" spans="1:20" s="38" customFormat="1" x14ac:dyDescent="0.3">
      <c r="A983" s="36" t="str">
        <f xml:space="preserve"> IF( 'From SvanPC++'!A973= "", "", ('From SvanPC++'!A973))</f>
        <v/>
      </c>
      <c r="B983" s="36"/>
      <c r="C983" s="36"/>
      <c r="D983" s="36"/>
      <c r="E983" s="47"/>
      <c r="F983" s="19"/>
      <c r="I983" s="36"/>
      <c r="S983" s="36"/>
      <c r="T983" s="36"/>
    </row>
    <row r="984" spans="1:20" s="38" customFormat="1" x14ac:dyDescent="0.3">
      <c r="A984" s="36" t="str">
        <f xml:space="preserve"> IF( 'From SvanPC++'!A974= "", "", ('From SvanPC++'!A974))</f>
        <v/>
      </c>
      <c r="B984" s="36"/>
      <c r="C984" s="36"/>
      <c r="D984" s="36"/>
      <c r="E984" s="47"/>
      <c r="F984" s="19"/>
      <c r="I984" s="36"/>
      <c r="S984" s="36"/>
      <c r="T984" s="36"/>
    </row>
    <row r="985" spans="1:20" s="38" customFormat="1" x14ac:dyDescent="0.3">
      <c r="A985" s="36" t="str">
        <f xml:space="preserve"> IF( 'From SvanPC++'!A975= "", "", ('From SvanPC++'!A975))</f>
        <v/>
      </c>
      <c r="B985" s="36"/>
      <c r="C985" s="36"/>
      <c r="D985" s="36"/>
      <c r="E985" s="47"/>
      <c r="F985" s="19"/>
      <c r="I985" s="36"/>
      <c r="S985" s="36"/>
      <c r="T985" s="36"/>
    </row>
    <row r="986" spans="1:20" s="38" customFormat="1" x14ac:dyDescent="0.3">
      <c r="A986" s="36" t="str">
        <f xml:space="preserve"> IF( 'From SvanPC++'!A976= "", "", ('From SvanPC++'!A976))</f>
        <v/>
      </c>
      <c r="B986" s="36"/>
      <c r="C986" s="36"/>
      <c r="D986" s="36"/>
      <c r="E986" s="47"/>
      <c r="F986" s="19"/>
      <c r="I986" s="36"/>
      <c r="S986" s="36"/>
      <c r="T986" s="36"/>
    </row>
    <row r="987" spans="1:20" s="38" customFormat="1" x14ac:dyDescent="0.3">
      <c r="A987" s="36" t="str">
        <f xml:space="preserve"> IF( 'From SvanPC++'!A977= "", "", ('From SvanPC++'!A977))</f>
        <v/>
      </c>
      <c r="B987" s="36"/>
      <c r="C987" s="36"/>
      <c r="D987" s="36"/>
      <c r="E987" s="47"/>
      <c r="F987" s="19"/>
      <c r="I987" s="36"/>
      <c r="S987" s="36"/>
      <c r="T987" s="36"/>
    </row>
    <row r="988" spans="1:20" s="38" customFormat="1" x14ac:dyDescent="0.3">
      <c r="A988" s="36" t="str">
        <f xml:space="preserve"> IF( 'From SvanPC++'!A978= "", "", ('From SvanPC++'!A978))</f>
        <v/>
      </c>
      <c r="B988" s="36"/>
      <c r="C988" s="36"/>
      <c r="D988" s="36"/>
      <c r="E988" s="47"/>
      <c r="F988" s="19"/>
      <c r="I988" s="36"/>
      <c r="S988" s="36"/>
      <c r="T988" s="36"/>
    </row>
    <row r="989" spans="1:20" s="38" customFormat="1" x14ac:dyDescent="0.3">
      <c r="A989" s="36" t="str">
        <f xml:space="preserve"> IF( 'From SvanPC++'!A979= "", "", ('From SvanPC++'!A979))</f>
        <v/>
      </c>
      <c r="B989" s="36"/>
      <c r="C989" s="36"/>
      <c r="D989" s="36"/>
      <c r="E989" s="47"/>
      <c r="F989" s="19"/>
      <c r="I989" s="36"/>
      <c r="S989" s="36"/>
      <c r="T989" s="36"/>
    </row>
    <row r="990" spans="1:20" s="38" customFormat="1" x14ac:dyDescent="0.3">
      <c r="A990" s="36" t="str">
        <f xml:space="preserve"> IF( 'From SvanPC++'!A980= "", "", ('From SvanPC++'!A980))</f>
        <v/>
      </c>
      <c r="B990" s="36"/>
      <c r="C990" s="36"/>
      <c r="D990" s="36"/>
      <c r="E990" s="47"/>
      <c r="F990" s="19"/>
      <c r="I990" s="36"/>
      <c r="S990" s="36"/>
      <c r="T990" s="36"/>
    </row>
    <row r="991" spans="1:20" s="38" customFormat="1" x14ac:dyDescent="0.3">
      <c r="A991" s="36" t="str">
        <f xml:space="preserve"> IF( 'From SvanPC++'!A981= "", "", ('From SvanPC++'!A981))</f>
        <v/>
      </c>
      <c r="B991" s="36"/>
      <c r="C991" s="36"/>
      <c r="D991" s="36"/>
      <c r="E991" s="47"/>
      <c r="F991" s="19"/>
      <c r="I991" s="36"/>
      <c r="S991" s="36"/>
      <c r="T991" s="36"/>
    </row>
    <row r="992" spans="1:20" s="38" customFormat="1" x14ac:dyDescent="0.3">
      <c r="A992" s="36" t="str">
        <f xml:space="preserve"> IF( 'From SvanPC++'!A982= "", "", ('From SvanPC++'!A982))</f>
        <v/>
      </c>
      <c r="B992" s="36"/>
      <c r="C992" s="36"/>
      <c r="D992" s="36"/>
      <c r="E992" s="47"/>
      <c r="F992" s="19"/>
      <c r="I992" s="36"/>
      <c r="S992" s="36"/>
      <c r="T992" s="36"/>
    </row>
    <row r="993" spans="1:20" s="38" customFormat="1" x14ac:dyDescent="0.3">
      <c r="A993" s="36" t="str">
        <f xml:space="preserve"> IF( 'From SvanPC++'!A983= "", "", ('From SvanPC++'!A983))</f>
        <v/>
      </c>
      <c r="B993" s="36"/>
      <c r="C993" s="36"/>
      <c r="D993" s="36"/>
      <c r="E993" s="47"/>
      <c r="F993" s="19"/>
      <c r="I993" s="36"/>
      <c r="S993" s="36"/>
      <c r="T993" s="36"/>
    </row>
    <row r="994" spans="1:20" s="38" customFormat="1" x14ac:dyDescent="0.3">
      <c r="A994" s="36" t="str">
        <f xml:space="preserve"> IF( 'From SvanPC++'!A984= "", "", ('From SvanPC++'!A984))</f>
        <v/>
      </c>
      <c r="B994" s="36"/>
      <c r="C994" s="36"/>
      <c r="D994" s="36"/>
      <c r="E994" s="47"/>
      <c r="F994" s="19"/>
      <c r="I994" s="36"/>
      <c r="S994" s="36"/>
      <c r="T994" s="36"/>
    </row>
    <row r="995" spans="1:20" s="38" customFormat="1" x14ac:dyDescent="0.3">
      <c r="A995" s="36" t="str">
        <f xml:space="preserve"> IF( 'From SvanPC++'!A985= "", "", ('From SvanPC++'!A985))</f>
        <v/>
      </c>
      <c r="B995" s="36"/>
      <c r="C995" s="36"/>
      <c r="D995" s="36"/>
      <c r="E995" s="47"/>
      <c r="F995" s="19"/>
      <c r="I995" s="36"/>
      <c r="S995" s="36"/>
      <c r="T995" s="36"/>
    </row>
    <row r="996" spans="1:20" s="38" customFormat="1" x14ac:dyDescent="0.3">
      <c r="A996" s="36" t="str">
        <f xml:space="preserve"> IF( 'From SvanPC++'!A986= "", "", ('From SvanPC++'!A986))</f>
        <v/>
      </c>
      <c r="B996" s="36"/>
      <c r="C996" s="36"/>
      <c r="D996" s="36"/>
      <c r="E996" s="47"/>
      <c r="F996" s="19"/>
      <c r="I996" s="36"/>
      <c r="S996" s="36"/>
      <c r="T996" s="36"/>
    </row>
    <row r="997" spans="1:20" s="38" customFormat="1" x14ac:dyDescent="0.3">
      <c r="A997" s="36" t="str">
        <f xml:space="preserve"> IF( 'From SvanPC++'!A987= "", "", ('From SvanPC++'!A987))</f>
        <v/>
      </c>
      <c r="B997" s="36"/>
      <c r="C997" s="36"/>
      <c r="D997" s="36"/>
      <c r="E997" s="47"/>
      <c r="F997" s="19"/>
      <c r="I997" s="36"/>
      <c r="S997" s="36"/>
      <c r="T997" s="36"/>
    </row>
    <row r="998" spans="1:20" s="38" customFormat="1" x14ac:dyDescent="0.3">
      <c r="A998" s="36" t="str">
        <f xml:space="preserve"> IF( 'From SvanPC++'!A988= "", "", ('From SvanPC++'!A988))</f>
        <v/>
      </c>
      <c r="B998" s="36"/>
      <c r="C998" s="36"/>
      <c r="D998" s="36"/>
      <c r="E998" s="47"/>
      <c r="F998" s="19"/>
      <c r="I998" s="36"/>
      <c r="S998" s="36"/>
      <c r="T998" s="36"/>
    </row>
    <row r="999" spans="1:20" s="38" customFormat="1" x14ac:dyDescent="0.3">
      <c r="A999" s="36" t="str">
        <f xml:space="preserve"> IF( 'From SvanPC++'!A989= "", "", ('From SvanPC++'!A989))</f>
        <v/>
      </c>
      <c r="B999" s="36"/>
      <c r="C999" s="36"/>
      <c r="D999" s="36"/>
      <c r="E999" s="47"/>
      <c r="F999" s="19"/>
      <c r="I999" s="36"/>
      <c r="S999" s="36"/>
      <c r="T999" s="36"/>
    </row>
    <row r="1000" spans="1:20" s="38" customFormat="1" x14ac:dyDescent="0.3">
      <c r="A1000" s="36" t="str">
        <f xml:space="preserve"> IF( 'From SvanPC++'!A990= "", "", ('From SvanPC++'!A990))</f>
        <v/>
      </c>
      <c r="B1000" s="36"/>
      <c r="C1000" s="36"/>
      <c r="D1000" s="36"/>
      <c r="E1000" s="47"/>
      <c r="F1000" s="19"/>
      <c r="I1000" s="36"/>
      <c r="S1000" s="36"/>
      <c r="T1000" s="36"/>
    </row>
    <row r="1001" spans="1:20" s="38" customFormat="1" x14ac:dyDescent="0.3">
      <c r="A1001" s="36" t="str">
        <f xml:space="preserve"> IF( 'From SvanPC++'!A991= "", "", ('From SvanPC++'!A991))</f>
        <v/>
      </c>
      <c r="B1001" s="36"/>
      <c r="C1001" s="36"/>
      <c r="D1001" s="36"/>
      <c r="E1001" s="47"/>
      <c r="F1001" s="19"/>
      <c r="I1001" s="36"/>
      <c r="S1001" s="36"/>
      <c r="T1001" s="36"/>
    </row>
    <row r="1002" spans="1:20" s="38" customFormat="1" x14ac:dyDescent="0.3">
      <c r="A1002" s="36" t="str">
        <f xml:space="preserve"> IF( 'From SvanPC++'!A992= "", "", ('From SvanPC++'!A992))</f>
        <v/>
      </c>
      <c r="B1002" s="36"/>
      <c r="C1002" s="36"/>
      <c r="D1002" s="36"/>
      <c r="E1002" s="47"/>
      <c r="F1002" s="19"/>
      <c r="I1002" s="36"/>
      <c r="S1002" s="36"/>
      <c r="T1002" s="36"/>
    </row>
    <row r="1003" spans="1:20" s="38" customFormat="1" x14ac:dyDescent="0.3">
      <c r="A1003" s="36" t="str">
        <f xml:space="preserve"> IF( 'From SvanPC++'!A993= "", "", ('From SvanPC++'!A993))</f>
        <v/>
      </c>
      <c r="B1003" s="36"/>
      <c r="C1003" s="36"/>
      <c r="D1003" s="36"/>
      <c r="E1003" s="47"/>
      <c r="F1003" s="19"/>
      <c r="I1003" s="36"/>
      <c r="S1003" s="36"/>
      <c r="T1003" s="36"/>
    </row>
    <row r="1004" spans="1:20" s="38" customFormat="1" x14ac:dyDescent="0.3">
      <c r="A1004" s="36" t="str">
        <f xml:space="preserve"> IF( 'From SvanPC++'!A994= "", "", ('From SvanPC++'!A994))</f>
        <v/>
      </c>
      <c r="B1004" s="36"/>
      <c r="C1004" s="36"/>
      <c r="D1004" s="36"/>
      <c r="E1004" s="47"/>
      <c r="F1004" s="19"/>
      <c r="I1004" s="36"/>
      <c r="S1004" s="36"/>
      <c r="T1004" s="36"/>
    </row>
    <row r="1005" spans="1:20" s="38" customFormat="1" x14ac:dyDescent="0.3">
      <c r="A1005" s="36" t="str">
        <f xml:space="preserve"> IF( 'From SvanPC++'!A995= "", "", ('From SvanPC++'!A995))</f>
        <v/>
      </c>
      <c r="B1005" s="36"/>
      <c r="C1005" s="36"/>
      <c r="D1005" s="36"/>
      <c r="E1005" s="47"/>
      <c r="F1005" s="19"/>
      <c r="I1005" s="36"/>
      <c r="S1005" s="36"/>
      <c r="T1005" s="36"/>
    </row>
    <row r="1006" spans="1:20" s="38" customFormat="1" x14ac:dyDescent="0.3">
      <c r="A1006" s="36" t="str">
        <f xml:space="preserve"> IF( 'From SvanPC++'!A996= "", "", ('From SvanPC++'!A996))</f>
        <v/>
      </c>
      <c r="B1006" s="36"/>
      <c r="C1006" s="36"/>
      <c r="D1006" s="36"/>
      <c r="E1006" s="47"/>
      <c r="F1006" s="19"/>
      <c r="I1006" s="36"/>
      <c r="S1006" s="36"/>
      <c r="T1006" s="36"/>
    </row>
    <row r="1007" spans="1:20" s="38" customFormat="1" x14ac:dyDescent="0.3">
      <c r="A1007" s="36" t="str">
        <f xml:space="preserve"> IF( 'From SvanPC++'!A997= "", "", ('From SvanPC++'!A997))</f>
        <v/>
      </c>
      <c r="B1007" s="36"/>
      <c r="C1007" s="36"/>
      <c r="D1007" s="36"/>
      <c r="E1007" s="47"/>
      <c r="F1007" s="19"/>
      <c r="I1007" s="36"/>
      <c r="S1007" s="36"/>
      <c r="T1007" s="36"/>
    </row>
    <row r="1008" spans="1:20" s="38" customFormat="1" x14ac:dyDescent="0.3">
      <c r="A1008" s="36" t="str">
        <f xml:space="preserve"> IF( 'From SvanPC++'!A998= "", "", ('From SvanPC++'!A998))</f>
        <v/>
      </c>
      <c r="B1008" s="36"/>
      <c r="C1008" s="36"/>
      <c r="D1008" s="36"/>
      <c r="E1008" s="47"/>
      <c r="F1008" s="19"/>
      <c r="I1008" s="36"/>
      <c r="S1008" s="36"/>
      <c r="T1008" s="36"/>
    </row>
    <row r="1009" spans="1:20" s="38" customFormat="1" x14ac:dyDescent="0.3">
      <c r="A1009" s="36" t="str">
        <f xml:space="preserve"> IF( 'From SvanPC++'!A999= "", "", ('From SvanPC++'!A999))</f>
        <v/>
      </c>
      <c r="B1009" s="36"/>
      <c r="C1009" s="36"/>
      <c r="D1009" s="36"/>
      <c r="E1009" s="47"/>
      <c r="F1009" s="19"/>
      <c r="I1009" s="36"/>
      <c r="S1009" s="36"/>
      <c r="T1009" s="36"/>
    </row>
    <row r="1010" spans="1:20" s="38" customFormat="1" x14ac:dyDescent="0.3">
      <c r="A1010" s="36" t="str">
        <f xml:space="preserve"> IF( 'From SvanPC++'!A1000= "", "", ('From SvanPC++'!A1000))</f>
        <v/>
      </c>
      <c r="B1010" s="36"/>
      <c r="C1010" s="36"/>
      <c r="D1010" s="36"/>
      <c r="E1010" s="47"/>
      <c r="F1010" s="19"/>
      <c r="I1010" s="36"/>
      <c r="S1010" s="36"/>
      <c r="T1010" s="36"/>
    </row>
    <row r="1011" spans="1:20" s="38" customFormat="1" x14ac:dyDescent="0.3">
      <c r="A1011" s="36" t="str">
        <f xml:space="preserve"> IF( 'From SvanPC++'!A1001= "", "", ('From SvanPC++'!A1001))</f>
        <v/>
      </c>
      <c r="B1011" s="36"/>
      <c r="C1011" s="36"/>
      <c r="D1011" s="36"/>
      <c r="E1011" s="47"/>
      <c r="F1011" s="19"/>
      <c r="I1011" s="36"/>
      <c r="S1011" s="36"/>
      <c r="T1011" s="36"/>
    </row>
    <row r="1012" spans="1:20" s="38" customFormat="1" x14ac:dyDescent="0.3">
      <c r="A1012" s="36" t="str">
        <f xml:space="preserve"> IF( 'From SvanPC++'!A1002= "", "", ('From SvanPC++'!A1002))</f>
        <v/>
      </c>
      <c r="B1012" s="36"/>
      <c r="C1012" s="36"/>
      <c r="D1012" s="36"/>
      <c r="E1012" s="47"/>
      <c r="F1012" s="19"/>
      <c r="I1012" s="36"/>
      <c r="S1012" s="36"/>
      <c r="T1012" s="36"/>
    </row>
    <row r="1013" spans="1:20" s="38" customFormat="1" x14ac:dyDescent="0.3">
      <c r="A1013" s="36" t="str">
        <f xml:space="preserve"> IF( 'From SvanPC++'!A1003= "", "", ('From SvanPC++'!A1003))</f>
        <v/>
      </c>
      <c r="B1013" s="36"/>
      <c r="C1013" s="36"/>
      <c r="D1013" s="36"/>
      <c r="E1013" s="47"/>
      <c r="F1013" s="19"/>
      <c r="I1013" s="36"/>
      <c r="S1013" s="36"/>
      <c r="T1013" s="36"/>
    </row>
    <row r="1014" spans="1:20" s="38" customFormat="1" x14ac:dyDescent="0.3">
      <c r="A1014" s="36" t="str">
        <f xml:space="preserve"> IF( 'From SvanPC++'!A1004= "", "", ('From SvanPC++'!A1004))</f>
        <v/>
      </c>
      <c r="B1014" s="36"/>
      <c r="C1014" s="36"/>
      <c r="D1014" s="36"/>
      <c r="E1014" s="47"/>
      <c r="F1014" s="19"/>
      <c r="I1014" s="36"/>
      <c r="S1014" s="36"/>
      <c r="T1014" s="36"/>
    </row>
    <row r="1015" spans="1:20" s="38" customFormat="1" x14ac:dyDescent="0.3">
      <c r="A1015" s="36" t="str">
        <f xml:space="preserve"> IF( 'From SvanPC++'!A1005= "", "", ('From SvanPC++'!A1005))</f>
        <v/>
      </c>
      <c r="B1015" s="36"/>
      <c r="C1015" s="36"/>
      <c r="D1015" s="36"/>
      <c r="E1015" s="47"/>
      <c r="F1015" s="19"/>
      <c r="I1015" s="36"/>
      <c r="S1015" s="36"/>
      <c r="T1015" s="36"/>
    </row>
    <row r="1016" spans="1:20" s="38" customFormat="1" x14ac:dyDescent="0.3">
      <c r="A1016" s="36" t="str">
        <f xml:space="preserve"> IF( 'From SvanPC++'!A1006= "", "", ('From SvanPC++'!A1006))</f>
        <v/>
      </c>
      <c r="B1016" s="36"/>
      <c r="C1016" s="36"/>
      <c r="D1016" s="36"/>
      <c r="E1016" s="47"/>
      <c r="F1016" s="19"/>
      <c r="I1016" s="36"/>
      <c r="S1016" s="36"/>
      <c r="T1016" s="36"/>
    </row>
    <row r="1017" spans="1:20" s="38" customFormat="1" x14ac:dyDescent="0.3">
      <c r="A1017" s="36" t="str">
        <f xml:space="preserve"> IF( 'From SvanPC++'!A1007= "", "", ('From SvanPC++'!A1007))</f>
        <v/>
      </c>
      <c r="B1017" s="36"/>
      <c r="C1017" s="36"/>
      <c r="D1017" s="36"/>
      <c r="E1017" s="47"/>
      <c r="F1017" s="19"/>
      <c r="I1017" s="36"/>
      <c r="S1017" s="36"/>
      <c r="T1017" s="36"/>
    </row>
    <row r="1018" spans="1:20" s="38" customFormat="1" x14ac:dyDescent="0.3">
      <c r="A1018" s="36" t="str">
        <f xml:space="preserve"> IF( 'From SvanPC++'!A1008= "", "", ('From SvanPC++'!A1008))</f>
        <v/>
      </c>
      <c r="B1018" s="36"/>
      <c r="C1018" s="36"/>
      <c r="D1018" s="36"/>
      <c r="E1018" s="47"/>
      <c r="F1018" s="19"/>
      <c r="I1018" s="36"/>
      <c r="S1018" s="36"/>
      <c r="T1018" s="36"/>
    </row>
    <row r="1019" spans="1:20" s="38" customFormat="1" x14ac:dyDescent="0.3">
      <c r="A1019" s="36" t="str">
        <f xml:space="preserve"> IF( 'From SvanPC++'!A1009= "", "", ('From SvanPC++'!A1009))</f>
        <v/>
      </c>
      <c r="B1019" s="36"/>
      <c r="C1019" s="36"/>
      <c r="D1019" s="36"/>
      <c r="E1019" s="47"/>
      <c r="F1019" s="19"/>
      <c r="I1019" s="36"/>
      <c r="S1019" s="36"/>
      <c r="T1019" s="36"/>
    </row>
    <row r="1020" spans="1:20" s="38" customFormat="1" x14ac:dyDescent="0.3">
      <c r="A1020" s="36" t="str">
        <f xml:space="preserve"> IF( 'From SvanPC++'!A1010= "", "", ('From SvanPC++'!A1010))</f>
        <v/>
      </c>
      <c r="B1020" s="36"/>
      <c r="C1020" s="36"/>
      <c r="D1020" s="36"/>
      <c r="E1020" s="47"/>
      <c r="F1020" s="19"/>
      <c r="I1020" s="36"/>
      <c r="S1020" s="36"/>
      <c r="T1020" s="36"/>
    </row>
    <row r="1021" spans="1:20" s="38" customFormat="1" x14ac:dyDescent="0.3">
      <c r="A1021" s="36" t="str">
        <f xml:space="preserve"> IF( 'From SvanPC++'!A1011= "", "", ('From SvanPC++'!A1011))</f>
        <v/>
      </c>
      <c r="B1021" s="36"/>
      <c r="C1021" s="36"/>
      <c r="D1021" s="36"/>
      <c r="E1021" s="47"/>
      <c r="F1021" s="19"/>
      <c r="I1021" s="36"/>
      <c r="S1021" s="36"/>
      <c r="T1021" s="36"/>
    </row>
    <row r="1022" spans="1:20" s="38" customFormat="1" x14ac:dyDescent="0.3">
      <c r="A1022" s="36" t="str">
        <f xml:space="preserve"> IF( 'From SvanPC++'!A1012= "", "", ('From SvanPC++'!A1012))</f>
        <v/>
      </c>
      <c r="B1022" s="36"/>
      <c r="C1022" s="36"/>
      <c r="D1022" s="36"/>
      <c r="E1022" s="47"/>
      <c r="F1022" s="19"/>
      <c r="I1022" s="36"/>
      <c r="S1022" s="36"/>
      <c r="T1022" s="36"/>
    </row>
    <row r="1023" spans="1:20" s="38" customFormat="1" x14ac:dyDescent="0.3">
      <c r="A1023" s="36" t="str">
        <f xml:space="preserve"> IF( 'From SvanPC++'!A1013= "", "", ('From SvanPC++'!A1013))</f>
        <v/>
      </c>
      <c r="B1023" s="36"/>
      <c r="C1023" s="36"/>
      <c r="D1023" s="36"/>
      <c r="E1023" s="47"/>
      <c r="F1023" s="19"/>
      <c r="I1023" s="36"/>
      <c r="S1023" s="36"/>
      <c r="T1023" s="36"/>
    </row>
    <row r="1024" spans="1:20" s="38" customFormat="1" x14ac:dyDescent="0.3">
      <c r="A1024" s="36" t="str">
        <f xml:space="preserve"> IF( 'From SvanPC++'!A1014= "", "", ('From SvanPC++'!A1014))</f>
        <v/>
      </c>
      <c r="B1024" s="36"/>
      <c r="C1024" s="36"/>
      <c r="D1024" s="36"/>
      <c r="E1024" s="47"/>
      <c r="F1024" s="19"/>
      <c r="I1024" s="36"/>
      <c r="S1024" s="36"/>
      <c r="T1024" s="36"/>
    </row>
    <row r="1025" spans="1:20" s="38" customFormat="1" x14ac:dyDescent="0.3">
      <c r="A1025" s="36" t="str">
        <f xml:space="preserve"> IF( 'From SvanPC++'!A1015= "", "", ('From SvanPC++'!A1015))</f>
        <v/>
      </c>
      <c r="B1025" s="36"/>
      <c r="C1025" s="36"/>
      <c r="D1025" s="36"/>
      <c r="E1025" s="47"/>
      <c r="F1025" s="19"/>
      <c r="I1025" s="36"/>
      <c r="S1025" s="36"/>
      <c r="T1025" s="36"/>
    </row>
    <row r="1026" spans="1:20" s="38" customFormat="1" x14ac:dyDescent="0.3">
      <c r="A1026" s="36" t="str">
        <f xml:space="preserve"> IF( 'From SvanPC++'!A1016= "", "", ('From SvanPC++'!A1016))</f>
        <v/>
      </c>
      <c r="B1026" s="36"/>
      <c r="C1026" s="36"/>
      <c r="D1026" s="36"/>
      <c r="E1026" s="47"/>
      <c r="F1026" s="19"/>
      <c r="I1026" s="36"/>
      <c r="S1026" s="36"/>
      <c r="T1026" s="36"/>
    </row>
    <row r="1027" spans="1:20" s="38" customFormat="1" x14ac:dyDescent="0.3">
      <c r="A1027" s="36" t="str">
        <f xml:space="preserve"> IF( 'From SvanPC++'!A1017= "", "", ('From SvanPC++'!A1017))</f>
        <v/>
      </c>
      <c r="B1027" s="36"/>
      <c r="C1027" s="36"/>
      <c r="D1027" s="36"/>
      <c r="E1027" s="47"/>
      <c r="F1027" s="19"/>
      <c r="I1027" s="36"/>
      <c r="S1027" s="36"/>
      <c r="T1027" s="36"/>
    </row>
    <row r="1028" spans="1:20" s="38" customFormat="1" x14ac:dyDescent="0.3">
      <c r="A1028" s="36" t="str">
        <f xml:space="preserve"> IF( 'From SvanPC++'!A1018= "", "", ('From SvanPC++'!A1018))</f>
        <v/>
      </c>
      <c r="B1028" s="36"/>
      <c r="C1028" s="36"/>
      <c r="D1028" s="36"/>
      <c r="E1028" s="47"/>
      <c r="F1028" s="19"/>
      <c r="I1028" s="36"/>
      <c r="S1028" s="36"/>
      <c r="T1028" s="36"/>
    </row>
    <row r="1029" spans="1:20" s="38" customFormat="1" x14ac:dyDescent="0.3">
      <c r="A1029" s="36" t="str">
        <f xml:space="preserve"> IF( 'From SvanPC++'!A1019= "", "", ('From SvanPC++'!A1019))</f>
        <v/>
      </c>
      <c r="B1029" s="36"/>
      <c r="C1029" s="36"/>
      <c r="D1029" s="36"/>
      <c r="E1029" s="47"/>
      <c r="F1029" s="19"/>
      <c r="I1029" s="36"/>
      <c r="S1029" s="36"/>
      <c r="T1029" s="36"/>
    </row>
    <row r="1030" spans="1:20" s="38" customFormat="1" x14ac:dyDescent="0.3">
      <c r="A1030" s="36" t="str">
        <f xml:space="preserve"> IF( 'From SvanPC++'!A1020= "", "", ('From SvanPC++'!A1020))</f>
        <v/>
      </c>
      <c r="B1030" s="36"/>
      <c r="C1030" s="36"/>
      <c r="D1030" s="36"/>
      <c r="E1030" s="47"/>
      <c r="F1030" s="19"/>
      <c r="I1030" s="36"/>
      <c r="S1030" s="36"/>
      <c r="T1030" s="36"/>
    </row>
    <row r="1031" spans="1:20" s="38" customFormat="1" x14ac:dyDescent="0.3">
      <c r="A1031" s="36" t="str">
        <f xml:space="preserve"> IF( 'From SvanPC++'!A1021= "", "", ('From SvanPC++'!A1021))</f>
        <v/>
      </c>
      <c r="B1031" s="36"/>
      <c r="C1031" s="36"/>
      <c r="D1031" s="36"/>
      <c r="E1031" s="47"/>
      <c r="F1031" s="19"/>
      <c r="I1031" s="36"/>
      <c r="S1031" s="36"/>
      <c r="T1031" s="36"/>
    </row>
    <row r="1032" spans="1:20" s="38" customFormat="1" x14ac:dyDescent="0.3">
      <c r="A1032" s="36" t="str">
        <f xml:space="preserve"> IF( 'From SvanPC++'!A1022= "", "", ('From SvanPC++'!A1022))</f>
        <v/>
      </c>
      <c r="B1032" s="36"/>
      <c r="C1032" s="36"/>
      <c r="D1032" s="36"/>
      <c r="E1032" s="47"/>
      <c r="F1032" s="19"/>
      <c r="I1032" s="36"/>
      <c r="S1032" s="36"/>
      <c r="T1032" s="36"/>
    </row>
    <row r="1033" spans="1:20" s="38" customFormat="1" x14ac:dyDescent="0.3">
      <c r="A1033" s="36" t="str">
        <f xml:space="preserve"> IF( 'From SvanPC++'!A1023= "", "", ('From SvanPC++'!A1023))</f>
        <v/>
      </c>
      <c r="B1033" s="36"/>
      <c r="C1033" s="36"/>
      <c r="D1033" s="36"/>
      <c r="E1033" s="47"/>
      <c r="F1033" s="19"/>
      <c r="I1033" s="36"/>
      <c r="S1033" s="36"/>
      <c r="T1033" s="36"/>
    </row>
    <row r="1034" spans="1:20" s="38" customFormat="1" x14ac:dyDescent="0.3">
      <c r="A1034" s="36" t="str">
        <f xml:space="preserve"> IF( 'From SvanPC++'!A1024= "", "", ('From SvanPC++'!A1024))</f>
        <v/>
      </c>
      <c r="B1034" s="36"/>
      <c r="C1034" s="36"/>
      <c r="D1034" s="36"/>
      <c r="E1034" s="47"/>
      <c r="F1034" s="19"/>
      <c r="I1034" s="36"/>
      <c r="S1034" s="36"/>
      <c r="T1034" s="36"/>
    </row>
    <row r="1035" spans="1:20" s="38" customFormat="1" x14ac:dyDescent="0.3">
      <c r="A1035" s="36" t="str">
        <f xml:space="preserve"> IF( 'From SvanPC++'!A1025= "", "", ('From SvanPC++'!A1025))</f>
        <v/>
      </c>
      <c r="B1035" s="36"/>
      <c r="C1035" s="36"/>
      <c r="D1035" s="36"/>
      <c r="E1035" s="47"/>
      <c r="F1035" s="19"/>
      <c r="I1035" s="36"/>
      <c r="S1035" s="36"/>
      <c r="T1035" s="36"/>
    </row>
    <row r="1036" spans="1:20" s="38" customFormat="1" x14ac:dyDescent="0.3">
      <c r="A1036" s="36" t="str">
        <f xml:space="preserve"> IF( 'From SvanPC++'!A1026= "", "", ('From SvanPC++'!A1026))</f>
        <v/>
      </c>
      <c r="B1036" s="36"/>
      <c r="C1036" s="36"/>
      <c r="D1036" s="36"/>
      <c r="E1036" s="47"/>
      <c r="F1036" s="19"/>
      <c r="I1036" s="36"/>
      <c r="S1036" s="36"/>
      <c r="T1036" s="36"/>
    </row>
    <row r="1037" spans="1:20" s="38" customFormat="1" x14ac:dyDescent="0.3">
      <c r="A1037" s="36" t="str">
        <f xml:space="preserve"> IF( 'From SvanPC++'!A1027= "", "", ('From SvanPC++'!A1027))</f>
        <v/>
      </c>
      <c r="B1037" s="36"/>
      <c r="C1037" s="36"/>
      <c r="D1037" s="36"/>
      <c r="E1037" s="47"/>
      <c r="F1037" s="19"/>
      <c r="I1037" s="36"/>
      <c r="S1037" s="36"/>
      <c r="T1037" s="36"/>
    </row>
    <row r="1038" spans="1:20" s="38" customFormat="1" x14ac:dyDescent="0.3">
      <c r="A1038" s="36" t="str">
        <f xml:space="preserve"> IF( 'From SvanPC++'!A1028= "", "", ('From SvanPC++'!A1028))</f>
        <v/>
      </c>
      <c r="B1038" s="36"/>
      <c r="C1038" s="36"/>
      <c r="D1038" s="36"/>
      <c r="E1038" s="47"/>
      <c r="F1038" s="19"/>
      <c r="I1038" s="36"/>
      <c r="S1038" s="36"/>
      <c r="T1038" s="36"/>
    </row>
    <row r="1039" spans="1:20" s="38" customFormat="1" x14ac:dyDescent="0.3">
      <c r="A1039" s="36" t="str">
        <f xml:space="preserve"> IF( 'From SvanPC++'!A1029= "", "", ('From SvanPC++'!A1029))</f>
        <v/>
      </c>
      <c r="B1039" s="36"/>
      <c r="C1039" s="36"/>
      <c r="D1039" s="36"/>
      <c r="E1039" s="47"/>
      <c r="F1039" s="19"/>
      <c r="I1039" s="36"/>
      <c r="S1039" s="36"/>
      <c r="T1039" s="36"/>
    </row>
    <row r="1040" spans="1:20" s="38" customFormat="1" x14ac:dyDescent="0.3">
      <c r="A1040" s="36" t="str">
        <f xml:space="preserve"> IF( 'From SvanPC++'!A1030= "", "", ('From SvanPC++'!A1030))</f>
        <v/>
      </c>
      <c r="B1040" s="36"/>
      <c r="C1040" s="36"/>
      <c r="D1040" s="36"/>
      <c r="E1040" s="47"/>
      <c r="F1040" s="19"/>
      <c r="I1040" s="36"/>
      <c r="S1040" s="36"/>
      <c r="T1040" s="36"/>
    </row>
    <row r="1041" spans="1:20" s="38" customFormat="1" x14ac:dyDescent="0.3">
      <c r="A1041" s="36" t="str">
        <f xml:space="preserve"> IF( 'From SvanPC++'!A1031= "", "", ('From SvanPC++'!A1031))</f>
        <v/>
      </c>
      <c r="B1041" s="36"/>
      <c r="C1041" s="36"/>
      <c r="D1041" s="36"/>
      <c r="E1041" s="47"/>
      <c r="F1041" s="19"/>
      <c r="I1041" s="36"/>
      <c r="S1041" s="36"/>
      <c r="T1041" s="36"/>
    </row>
    <row r="1042" spans="1:20" s="38" customFormat="1" x14ac:dyDescent="0.3">
      <c r="A1042" s="36" t="str">
        <f xml:space="preserve"> IF( 'From SvanPC++'!A1032= "", "", ('From SvanPC++'!A1032))</f>
        <v/>
      </c>
      <c r="B1042" s="36"/>
      <c r="C1042" s="36"/>
      <c r="D1042" s="36"/>
      <c r="E1042" s="47"/>
      <c r="F1042" s="19"/>
      <c r="I1042" s="36"/>
      <c r="S1042" s="36"/>
      <c r="T1042" s="36"/>
    </row>
    <row r="1043" spans="1:20" s="38" customFormat="1" x14ac:dyDescent="0.3">
      <c r="A1043" s="36" t="str">
        <f xml:space="preserve"> IF( 'From SvanPC++'!A1033= "", "", ('From SvanPC++'!A1033))</f>
        <v/>
      </c>
      <c r="B1043" s="36"/>
      <c r="C1043" s="36"/>
      <c r="D1043" s="36"/>
      <c r="E1043" s="47"/>
      <c r="F1043" s="19"/>
      <c r="I1043" s="36"/>
      <c r="S1043" s="36"/>
      <c r="T1043" s="36"/>
    </row>
    <row r="1044" spans="1:20" s="38" customFormat="1" x14ac:dyDescent="0.3">
      <c r="A1044" s="36" t="str">
        <f xml:space="preserve"> IF( 'From SvanPC++'!A1034= "", "", ('From SvanPC++'!A1034))</f>
        <v/>
      </c>
      <c r="B1044" s="36"/>
      <c r="C1044" s="36"/>
      <c r="D1044" s="36"/>
      <c r="E1044" s="47"/>
      <c r="F1044" s="19"/>
      <c r="I1044" s="36"/>
      <c r="S1044" s="36"/>
      <c r="T1044" s="36"/>
    </row>
    <row r="1045" spans="1:20" s="38" customFormat="1" x14ac:dyDescent="0.3">
      <c r="A1045" s="36" t="str">
        <f xml:space="preserve"> IF( 'From SvanPC++'!A1035= "", "", ('From SvanPC++'!A1035))</f>
        <v/>
      </c>
      <c r="B1045" s="36"/>
      <c r="C1045" s="36"/>
      <c r="D1045" s="36"/>
      <c r="E1045" s="47"/>
      <c r="F1045" s="19"/>
      <c r="I1045" s="36"/>
      <c r="S1045" s="36"/>
      <c r="T1045" s="36"/>
    </row>
    <row r="1046" spans="1:20" s="38" customFormat="1" x14ac:dyDescent="0.3">
      <c r="A1046" s="36" t="str">
        <f xml:space="preserve"> IF( 'From SvanPC++'!A1036= "", "", ('From SvanPC++'!A1036))</f>
        <v/>
      </c>
      <c r="B1046" s="36"/>
      <c r="C1046" s="36"/>
      <c r="D1046" s="36"/>
      <c r="E1046" s="47"/>
      <c r="F1046" s="19"/>
      <c r="I1046" s="36"/>
      <c r="S1046" s="36"/>
      <c r="T1046" s="36"/>
    </row>
    <row r="1047" spans="1:20" s="38" customFormat="1" x14ac:dyDescent="0.3">
      <c r="A1047" s="36" t="str">
        <f xml:space="preserve"> IF( 'From SvanPC++'!A1037= "", "", ('From SvanPC++'!A1037))</f>
        <v/>
      </c>
      <c r="B1047" s="36"/>
      <c r="C1047" s="36"/>
      <c r="D1047" s="36"/>
      <c r="E1047" s="47"/>
      <c r="F1047" s="19"/>
      <c r="I1047" s="36"/>
      <c r="S1047" s="36"/>
      <c r="T1047" s="36"/>
    </row>
    <row r="1048" spans="1:20" s="38" customFormat="1" x14ac:dyDescent="0.3">
      <c r="A1048" s="36" t="str">
        <f xml:space="preserve"> IF( 'From SvanPC++'!A1038= "", "", ('From SvanPC++'!A1038))</f>
        <v/>
      </c>
      <c r="B1048" s="36"/>
      <c r="C1048" s="36"/>
      <c r="D1048" s="36"/>
      <c r="E1048" s="47"/>
      <c r="F1048" s="19"/>
      <c r="I1048" s="36"/>
      <c r="S1048" s="36"/>
      <c r="T1048" s="36"/>
    </row>
    <row r="1049" spans="1:20" s="38" customFormat="1" x14ac:dyDescent="0.3">
      <c r="A1049" s="36" t="str">
        <f xml:space="preserve"> IF( 'From SvanPC++'!A1039= "", "", ('From SvanPC++'!A1039))</f>
        <v/>
      </c>
      <c r="B1049" s="36"/>
      <c r="C1049" s="36"/>
      <c r="D1049" s="36"/>
      <c r="E1049" s="47"/>
      <c r="F1049" s="19"/>
      <c r="I1049" s="36"/>
      <c r="S1049" s="36"/>
      <c r="T1049" s="36"/>
    </row>
    <row r="1050" spans="1:20" s="38" customFormat="1" x14ac:dyDescent="0.3">
      <c r="A1050" s="36" t="str">
        <f xml:space="preserve"> IF( 'From SvanPC++'!A1040= "", "", ('From SvanPC++'!A1040))</f>
        <v/>
      </c>
      <c r="B1050" s="36"/>
      <c r="C1050" s="36"/>
      <c r="D1050" s="36"/>
      <c r="E1050" s="47"/>
      <c r="F1050" s="19"/>
      <c r="I1050" s="36"/>
      <c r="S1050" s="36"/>
      <c r="T1050" s="36"/>
    </row>
    <row r="1051" spans="1:20" s="38" customFormat="1" x14ac:dyDescent="0.3">
      <c r="A1051" s="36" t="str">
        <f xml:space="preserve"> IF( 'From SvanPC++'!A1041= "", "", ('From SvanPC++'!A1041))</f>
        <v/>
      </c>
      <c r="B1051" s="36"/>
      <c r="C1051" s="36"/>
      <c r="D1051" s="36"/>
      <c r="E1051" s="47"/>
      <c r="F1051" s="19"/>
      <c r="I1051" s="36"/>
      <c r="S1051" s="36"/>
      <c r="T1051" s="36"/>
    </row>
    <row r="1052" spans="1:20" s="38" customFormat="1" x14ac:dyDescent="0.3">
      <c r="A1052" s="36" t="str">
        <f xml:space="preserve"> IF( 'From SvanPC++'!A1042= "", "", ('From SvanPC++'!A1042))</f>
        <v/>
      </c>
      <c r="B1052" s="36"/>
      <c r="C1052" s="36"/>
      <c r="D1052" s="36"/>
      <c r="E1052" s="47"/>
      <c r="F1052" s="19"/>
      <c r="I1052" s="36"/>
      <c r="S1052" s="36"/>
      <c r="T1052" s="36"/>
    </row>
    <row r="1053" spans="1:20" s="38" customFormat="1" x14ac:dyDescent="0.3">
      <c r="A1053" s="36" t="str">
        <f xml:space="preserve"> IF( 'From SvanPC++'!A1043= "", "", ('From SvanPC++'!A1043))</f>
        <v/>
      </c>
      <c r="B1053" s="36"/>
      <c r="C1053" s="36"/>
      <c r="D1053" s="36"/>
      <c r="E1053" s="47"/>
      <c r="F1053" s="19"/>
      <c r="I1053" s="36"/>
      <c r="S1053" s="36"/>
      <c r="T1053" s="36"/>
    </row>
    <row r="1054" spans="1:20" s="38" customFormat="1" x14ac:dyDescent="0.3">
      <c r="A1054" s="36" t="str">
        <f xml:space="preserve"> IF( 'From SvanPC++'!A1044= "", "", ('From SvanPC++'!A1044))</f>
        <v/>
      </c>
      <c r="B1054" s="36"/>
      <c r="C1054" s="36"/>
      <c r="D1054" s="36"/>
      <c r="E1054" s="47"/>
      <c r="F1054" s="19"/>
      <c r="I1054" s="36"/>
      <c r="S1054" s="36"/>
      <c r="T1054" s="36"/>
    </row>
    <row r="1055" spans="1:20" s="38" customFormat="1" x14ac:dyDescent="0.3">
      <c r="A1055" s="36" t="str">
        <f xml:space="preserve"> IF( 'From SvanPC++'!A1045= "", "", ('From SvanPC++'!A1045))</f>
        <v/>
      </c>
      <c r="B1055" s="36"/>
      <c r="C1055" s="36"/>
      <c r="D1055" s="36"/>
      <c r="E1055" s="47"/>
      <c r="F1055" s="19"/>
      <c r="I1055" s="36"/>
      <c r="S1055" s="36"/>
      <c r="T1055" s="36"/>
    </row>
    <row r="1056" spans="1:20" s="38" customFormat="1" x14ac:dyDescent="0.3">
      <c r="A1056" s="36" t="str">
        <f xml:space="preserve"> IF( 'From SvanPC++'!A1046= "", "", ('From SvanPC++'!A1046))</f>
        <v/>
      </c>
      <c r="B1056" s="36"/>
      <c r="C1056" s="36"/>
      <c r="D1056" s="36"/>
      <c r="E1056" s="47"/>
      <c r="F1056" s="19"/>
      <c r="I1056" s="36"/>
      <c r="S1056" s="36"/>
      <c r="T1056" s="36"/>
    </row>
    <row r="1057" spans="1:20" s="38" customFormat="1" x14ac:dyDescent="0.3">
      <c r="A1057" s="36" t="str">
        <f xml:space="preserve"> IF( 'From SvanPC++'!A1047= "", "", ('From SvanPC++'!A1047))</f>
        <v/>
      </c>
      <c r="B1057" s="36"/>
      <c r="C1057" s="36"/>
      <c r="D1057" s="36"/>
      <c r="E1057" s="47"/>
      <c r="F1057" s="19"/>
      <c r="I1057" s="36"/>
      <c r="S1057" s="36"/>
      <c r="T1057" s="36"/>
    </row>
    <row r="1058" spans="1:20" s="38" customFormat="1" x14ac:dyDescent="0.3">
      <c r="A1058" s="36" t="str">
        <f xml:space="preserve"> IF( 'From SvanPC++'!A1048= "", "", ('From SvanPC++'!A1048))</f>
        <v/>
      </c>
      <c r="B1058" s="36"/>
      <c r="C1058" s="36"/>
      <c r="D1058" s="36"/>
      <c r="E1058" s="47"/>
      <c r="F1058" s="19"/>
      <c r="I1058" s="36"/>
      <c r="S1058" s="36"/>
      <c r="T1058" s="36"/>
    </row>
    <row r="1059" spans="1:20" s="38" customFormat="1" x14ac:dyDescent="0.3">
      <c r="A1059" s="36" t="str">
        <f xml:space="preserve"> IF( 'From SvanPC++'!A1049= "", "", ('From SvanPC++'!A1049))</f>
        <v/>
      </c>
      <c r="B1059" s="36"/>
      <c r="C1059" s="36"/>
      <c r="D1059" s="36"/>
      <c r="E1059" s="47"/>
      <c r="F1059" s="19"/>
      <c r="I1059" s="36"/>
      <c r="S1059" s="36"/>
      <c r="T1059" s="36"/>
    </row>
    <row r="1060" spans="1:20" s="38" customFormat="1" x14ac:dyDescent="0.3">
      <c r="A1060" s="36" t="str">
        <f xml:space="preserve"> IF( 'From SvanPC++'!A1050= "", "", ('From SvanPC++'!A1050))</f>
        <v/>
      </c>
      <c r="B1060" s="36"/>
      <c r="C1060" s="36"/>
      <c r="D1060" s="36"/>
      <c r="E1060" s="47"/>
      <c r="F1060" s="19"/>
      <c r="I1060" s="36"/>
      <c r="S1060" s="36"/>
      <c r="T1060" s="36"/>
    </row>
    <row r="1061" spans="1:20" s="38" customFormat="1" x14ac:dyDescent="0.3">
      <c r="A1061" s="36" t="str">
        <f xml:space="preserve"> IF( 'From SvanPC++'!A1051= "", "", ('From SvanPC++'!A1051))</f>
        <v/>
      </c>
      <c r="B1061" s="36"/>
      <c r="C1061" s="36"/>
      <c r="D1061" s="36"/>
      <c r="E1061" s="47"/>
      <c r="F1061" s="19"/>
      <c r="I1061" s="36"/>
      <c r="S1061" s="36"/>
      <c r="T1061" s="36"/>
    </row>
    <row r="1062" spans="1:20" s="38" customFormat="1" x14ac:dyDescent="0.3">
      <c r="A1062" s="36" t="str">
        <f xml:space="preserve"> IF( 'From SvanPC++'!A1052= "", "", ('From SvanPC++'!A1052))</f>
        <v/>
      </c>
      <c r="B1062" s="36"/>
      <c r="C1062" s="36"/>
      <c r="D1062" s="36"/>
      <c r="E1062" s="47"/>
      <c r="F1062" s="19"/>
      <c r="I1062" s="36"/>
      <c r="S1062" s="36"/>
      <c r="T1062" s="36"/>
    </row>
    <row r="1063" spans="1:20" s="38" customFormat="1" x14ac:dyDescent="0.3">
      <c r="A1063" s="36" t="str">
        <f xml:space="preserve"> IF( 'From SvanPC++'!A1053= "", "", ('From SvanPC++'!A1053))</f>
        <v/>
      </c>
      <c r="B1063" s="36"/>
      <c r="C1063" s="36"/>
      <c r="D1063" s="36"/>
      <c r="E1063" s="47"/>
      <c r="F1063" s="19"/>
      <c r="I1063" s="36"/>
      <c r="S1063" s="36"/>
      <c r="T1063" s="36"/>
    </row>
    <row r="1064" spans="1:20" s="38" customFormat="1" x14ac:dyDescent="0.3">
      <c r="A1064" s="36" t="str">
        <f xml:space="preserve"> IF( 'From SvanPC++'!A1054= "", "", ('From SvanPC++'!A1054))</f>
        <v/>
      </c>
      <c r="B1064" s="36"/>
      <c r="C1064" s="36"/>
      <c r="D1064" s="36"/>
      <c r="E1064" s="47"/>
      <c r="F1064" s="19"/>
      <c r="I1064" s="36"/>
      <c r="S1064" s="36"/>
      <c r="T1064" s="36"/>
    </row>
    <row r="1065" spans="1:20" s="38" customFormat="1" x14ac:dyDescent="0.3">
      <c r="A1065" s="36" t="str">
        <f xml:space="preserve"> IF( 'From SvanPC++'!A1055= "", "", ('From SvanPC++'!A1055))</f>
        <v/>
      </c>
      <c r="B1065" s="36"/>
      <c r="C1065" s="36"/>
      <c r="D1065" s="36"/>
      <c r="E1065" s="47"/>
      <c r="F1065" s="19"/>
      <c r="I1065" s="36"/>
      <c r="S1065" s="36"/>
      <c r="T1065" s="36"/>
    </row>
    <row r="1066" spans="1:20" s="38" customFormat="1" x14ac:dyDescent="0.3">
      <c r="A1066" s="36" t="str">
        <f xml:space="preserve"> IF( 'From SvanPC++'!A1056= "", "", ('From SvanPC++'!A1056))</f>
        <v/>
      </c>
      <c r="B1066" s="36"/>
      <c r="C1066" s="36"/>
      <c r="D1066" s="36"/>
      <c r="E1066" s="47"/>
      <c r="F1066" s="19"/>
      <c r="I1066" s="36"/>
      <c r="S1066" s="36"/>
      <c r="T1066" s="36"/>
    </row>
    <row r="1067" spans="1:20" s="38" customFormat="1" x14ac:dyDescent="0.3">
      <c r="A1067" s="36" t="str">
        <f xml:space="preserve"> IF( 'From SvanPC++'!A1057= "", "", ('From SvanPC++'!A1057))</f>
        <v/>
      </c>
      <c r="B1067" s="36"/>
      <c r="C1067" s="36"/>
      <c r="D1067" s="36"/>
      <c r="E1067" s="47"/>
      <c r="F1067" s="19"/>
      <c r="I1067" s="36"/>
      <c r="S1067" s="36"/>
      <c r="T1067" s="36"/>
    </row>
    <row r="1068" spans="1:20" s="38" customFormat="1" x14ac:dyDescent="0.3">
      <c r="A1068" s="36" t="str">
        <f xml:space="preserve"> IF( 'From SvanPC++'!A1058= "", "", ('From SvanPC++'!A1058))</f>
        <v/>
      </c>
      <c r="B1068" s="36"/>
      <c r="C1068" s="36"/>
      <c r="D1068" s="36"/>
      <c r="E1068" s="47"/>
      <c r="F1068" s="19"/>
      <c r="I1068" s="36"/>
      <c r="S1068" s="36"/>
      <c r="T1068" s="36"/>
    </row>
    <row r="1069" spans="1:20" s="38" customFormat="1" x14ac:dyDescent="0.3">
      <c r="A1069" s="36" t="str">
        <f xml:space="preserve"> IF( 'From SvanPC++'!A1059= "", "", ('From SvanPC++'!A1059))</f>
        <v/>
      </c>
      <c r="B1069" s="36"/>
      <c r="C1069" s="36"/>
      <c r="D1069" s="36"/>
      <c r="E1069" s="47"/>
      <c r="F1069" s="19"/>
      <c r="I1069" s="36"/>
      <c r="S1069" s="36"/>
      <c r="T1069" s="36"/>
    </row>
    <row r="1070" spans="1:20" s="38" customFormat="1" x14ac:dyDescent="0.3">
      <c r="A1070" s="36" t="str">
        <f xml:space="preserve"> IF( 'From SvanPC++'!A1060= "", "", ('From SvanPC++'!A1060))</f>
        <v/>
      </c>
      <c r="B1070" s="36"/>
      <c r="C1070" s="36"/>
      <c r="D1070" s="36"/>
      <c r="E1070" s="47"/>
      <c r="F1070" s="19"/>
      <c r="I1070" s="36"/>
      <c r="S1070" s="36"/>
      <c r="T1070" s="36"/>
    </row>
    <row r="1071" spans="1:20" s="38" customFormat="1" x14ac:dyDescent="0.3">
      <c r="A1071" s="36" t="str">
        <f xml:space="preserve"> IF( 'From SvanPC++'!A1061= "", "", ('From SvanPC++'!A1061))</f>
        <v/>
      </c>
      <c r="B1071" s="36"/>
      <c r="C1071" s="36"/>
      <c r="D1071" s="36"/>
      <c r="E1071" s="47"/>
      <c r="F1071" s="19"/>
      <c r="I1071" s="36"/>
      <c r="S1071" s="36"/>
      <c r="T1071" s="36"/>
    </row>
    <row r="1072" spans="1:20" s="38" customFormat="1" x14ac:dyDescent="0.3">
      <c r="A1072" s="36" t="str">
        <f xml:space="preserve"> IF( 'From SvanPC++'!A1062= "", "", ('From SvanPC++'!A1062))</f>
        <v/>
      </c>
      <c r="B1072" s="36"/>
      <c r="C1072" s="36"/>
      <c r="D1072" s="36"/>
      <c r="E1072" s="47"/>
      <c r="F1072" s="19"/>
      <c r="I1072" s="36"/>
      <c r="S1072" s="36"/>
      <c r="T1072" s="36"/>
    </row>
    <row r="1073" spans="1:20" s="38" customFormat="1" x14ac:dyDescent="0.3">
      <c r="A1073" s="36" t="str">
        <f xml:space="preserve"> IF( 'From SvanPC++'!A1063= "", "", ('From SvanPC++'!A1063))</f>
        <v/>
      </c>
      <c r="B1073" s="36"/>
      <c r="C1073" s="36"/>
      <c r="D1073" s="36"/>
      <c r="E1073" s="47"/>
      <c r="F1073" s="19"/>
      <c r="I1073" s="36"/>
      <c r="S1073" s="36"/>
      <c r="T1073" s="36"/>
    </row>
    <row r="1074" spans="1:20" s="38" customFormat="1" x14ac:dyDescent="0.3">
      <c r="A1074" s="36" t="str">
        <f xml:space="preserve"> IF( 'From SvanPC++'!A1064= "", "", ('From SvanPC++'!A1064))</f>
        <v/>
      </c>
      <c r="B1074" s="36"/>
      <c r="C1074" s="36"/>
      <c r="D1074" s="36"/>
      <c r="E1074" s="47"/>
      <c r="F1074" s="19"/>
      <c r="I1074" s="36"/>
      <c r="S1074" s="36"/>
      <c r="T1074" s="36"/>
    </row>
    <row r="1075" spans="1:20" s="38" customFormat="1" x14ac:dyDescent="0.3">
      <c r="A1075" s="36" t="str">
        <f xml:space="preserve"> IF( 'From SvanPC++'!A1065= "", "", ('From SvanPC++'!A1065))</f>
        <v/>
      </c>
      <c r="B1075" s="36"/>
      <c r="C1075" s="36"/>
      <c r="D1075" s="36"/>
      <c r="E1075" s="47"/>
      <c r="F1075" s="19"/>
      <c r="I1075" s="36"/>
      <c r="S1075" s="36"/>
      <c r="T1075" s="36"/>
    </row>
    <row r="1076" spans="1:20" s="38" customFormat="1" x14ac:dyDescent="0.3">
      <c r="A1076" s="36" t="str">
        <f xml:space="preserve"> IF( 'From SvanPC++'!A1066= "", "", ('From SvanPC++'!A1066))</f>
        <v/>
      </c>
      <c r="B1076" s="36"/>
      <c r="C1076" s="36"/>
      <c r="D1076" s="36"/>
      <c r="E1076" s="47"/>
      <c r="F1076" s="19"/>
      <c r="I1076" s="36"/>
      <c r="S1076" s="36"/>
      <c r="T1076" s="36"/>
    </row>
    <row r="1077" spans="1:20" s="38" customFormat="1" x14ac:dyDescent="0.3">
      <c r="A1077" s="36" t="str">
        <f xml:space="preserve"> IF( 'From SvanPC++'!A1067= "", "", ('From SvanPC++'!A1067))</f>
        <v/>
      </c>
      <c r="B1077" s="36"/>
      <c r="C1077" s="36"/>
      <c r="D1077" s="36"/>
      <c r="E1077" s="47"/>
      <c r="F1077" s="19"/>
      <c r="I1077" s="36"/>
      <c r="S1077" s="36"/>
      <c r="T1077" s="36"/>
    </row>
    <row r="1078" spans="1:20" s="38" customFormat="1" x14ac:dyDescent="0.3">
      <c r="A1078" s="36" t="str">
        <f xml:space="preserve"> IF( 'From SvanPC++'!A1068= "", "", ('From SvanPC++'!A1068))</f>
        <v/>
      </c>
      <c r="B1078" s="36"/>
      <c r="C1078" s="36"/>
      <c r="D1078" s="36"/>
      <c r="E1078" s="47"/>
      <c r="F1078" s="19"/>
      <c r="I1078" s="36"/>
      <c r="S1078" s="36"/>
      <c r="T1078" s="36"/>
    </row>
    <row r="1079" spans="1:20" s="38" customFormat="1" x14ac:dyDescent="0.3">
      <c r="A1079" s="36" t="str">
        <f xml:space="preserve"> IF( 'From SvanPC++'!A1069= "", "", ('From SvanPC++'!A1069))</f>
        <v/>
      </c>
      <c r="B1079" s="36"/>
      <c r="C1079" s="36"/>
      <c r="D1079" s="36"/>
      <c r="E1079" s="47"/>
      <c r="F1079" s="19"/>
      <c r="I1079" s="36"/>
      <c r="S1079" s="36"/>
      <c r="T1079" s="36"/>
    </row>
    <row r="1080" spans="1:20" s="38" customFormat="1" x14ac:dyDescent="0.3">
      <c r="A1080" s="36" t="str">
        <f xml:space="preserve"> IF( 'From SvanPC++'!A1070= "", "", ('From SvanPC++'!A1070))</f>
        <v/>
      </c>
      <c r="B1080" s="36"/>
      <c r="C1080" s="36"/>
      <c r="D1080" s="36"/>
      <c r="E1080" s="47"/>
      <c r="F1080" s="19"/>
      <c r="I1080" s="36"/>
      <c r="S1080" s="36"/>
      <c r="T1080" s="36"/>
    </row>
    <row r="1081" spans="1:20" s="38" customFormat="1" x14ac:dyDescent="0.3">
      <c r="A1081" s="36" t="str">
        <f xml:space="preserve"> IF( 'From SvanPC++'!A1071= "", "", ('From SvanPC++'!A1071))</f>
        <v/>
      </c>
      <c r="B1081" s="36"/>
      <c r="C1081" s="36"/>
      <c r="D1081" s="36"/>
      <c r="E1081" s="47"/>
      <c r="F1081" s="19"/>
      <c r="I1081" s="36"/>
      <c r="S1081" s="36"/>
      <c r="T1081" s="36"/>
    </row>
    <row r="1082" spans="1:20" s="38" customFormat="1" x14ac:dyDescent="0.3">
      <c r="A1082" s="36" t="str">
        <f xml:space="preserve"> IF( 'From SvanPC++'!A1072= "", "", ('From SvanPC++'!A1072))</f>
        <v/>
      </c>
      <c r="B1082" s="36"/>
      <c r="C1082" s="36"/>
      <c r="D1082" s="36"/>
      <c r="E1082" s="47"/>
      <c r="F1082" s="19"/>
      <c r="I1082" s="36"/>
      <c r="S1082" s="36"/>
      <c r="T1082" s="36"/>
    </row>
    <row r="1083" spans="1:20" s="38" customFormat="1" x14ac:dyDescent="0.3">
      <c r="A1083" s="36" t="str">
        <f xml:space="preserve"> IF( 'From SvanPC++'!A1073= "", "", ('From SvanPC++'!A1073))</f>
        <v/>
      </c>
      <c r="B1083" s="36"/>
      <c r="C1083" s="36"/>
      <c r="D1083" s="36"/>
      <c r="E1083" s="47"/>
      <c r="F1083" s="19"/>
      <c r="I1083" s="36"/>
      <c r="S1083" s="36"/>
      <c r="T1083" s="36"/>
    </row>
    <row r="1084" spans="1:20" s="38" customFormat="1" x14ac:dyDescent="0.3">
      <c r="A1084" s="36" t="str">
        <f xml:space="preserve"> IF( 'From SvanPC++'!A1074= "", "", ('From SvanPC++'!A1074))</f>
        <v/>
      </c>
      <c r="B1084" s="36"/>
      <c r="C1084" s="36"/>
      <c r="D1084" s="36"/>
      <c r="E1084" s="47"/>
      <c r="F1084" s="19"/>
      <c r="I1084" s="36"/>
      <c r="S1084" s="36"/>
      <c r="T1084" s="36"/>
    </row>
    <row r="1085" spans="1:20" s="38" customFormat="1" x14ac:dyDescent="0.3">
      <c r="A1085" s="36" t="str">
        <f xml:space="preserve"> IF( 'From SvanPC++'!A1075= "", "", ('From SvanPC++'!A1075))</f>
        <v/>
      </c>
      <c r="B1085" s="36"/>
      <c r="C1085" s="36"/>
      <c r="D1085" s="36"/>
      <c r="E1085" s="47"/>
      <c r="F1085" s="19"/>
      <c r="I1085" s="36"/>
      <c r="S1085" s="36"/>
      <c r="T1085" s="36"/>
    </row>
    <row r="1086" spans="1:20" s="38" customFormat="1" x14ac:dyDescent="0.3">
      <c r="A1086" s="36" t="str">
        <f xml:space="preserve"> IF( 'From SvanPC++'!A1076= "", "", ('From SvanPC++'!A1076))</f>
        <v/>
      </c>
      <c r="B1086" s="36"/>
      <c r="C1086" s="36"/>
      <c r="D1086" s="36"/>
      <c r="E1086" s="47"/>
      <c r="F1086" s="19"/>
      <c r="I1086" s="36"/>
      <c r="S1086" s="36"/>
      <c r="T1086" s="36"/>
    </row>
    <row r="1087" spans="1:20" s="38" customFormat="1" x14ac:dyDescent="0.3">
      <c r="A1087" s="36" t="str">
        <f xml:space="preserve"> IF( 'From SvanPC++'!A1077= "", "", ('From SvanPC++'!A1077))</f>
        <v/>
      </c>
      <c r="B1087" s="36"/>
      <c r="C1087" s="36"/>
      <c r="D1087" s="36"/>
      <c r="E1087" s="47"/>
      <c r="F1087" s="19"/>
      <c r="I1087" s="36"/>
      <c r="S1087" s="36"/>
      <c r="T1087" s="36"/>
    </row>
    <row r="1088" spans="1:20" s="38" customFormat="1" x14ac:dyDescent="0.3">
      <c r="A1088" s="36" t="str">
        <f xml:space="preserve"> IF( 'From SvanPC++'!A1078= "", "", ('From SvanPC++'!A1078))</f>
        <v/>
      </c>
      <c r="B1088" s="36"/>
      <c r="C1088" s="36"/>
      <c r="D1088" s="36"/>
      <c r="E1088" s="47"/>
      <c r="F1088" s="19"/>
      <c r="I1088" s="36"/>
      <c r="S1088" s="36"/>
      <c r="T1088" s="36"/>
    </row>
    <row r="1089" spans="1:20" s="38" customFormat="1" x14ac:dyDescent="0.3">
      <c r="A1089" s="36" t="str">
        <f xml:space="preserve"> IF( 'From SvanPC++'!A1079= "", "", ('From SvanPC++'!A1079))</f>
        <v/>
      </c>
      <c r="B1089" s="36"/>
      <c r="C1089" s="36"/>
      <c r="D1089" s="36"/>
      <c r="E1089" s="47"/>
      <c r="F1089" s="19"/>
      <c r="I1089" s="36"/>
      <c r="S1089" s="36"/>
      <c r="T1089" s="36"/>
    </row>
    <row r="1090" spans="1:20" s="38" customFormat="1" x14ac:dyDescent="0.3">
      <c r="A1090" s="36" t="str">
        <f xml:space="preserve"> IF( 'From SvanPC++'!A1080= "", "", ('From SvanPC++'!A1080))</f>
        <v/>
      </c>
      <c r="B1090" s="36"/>
      <c r="C1090" s="36"/>
      <c r="D1090" s="36"/>
      <c r="E1090" s="47"/>
      <c r="F1090" s="19"/>
      <c r="I1090" s="36"/>
      <c r="S1090" s="36"/>
      <c r="T1090" s="36"/>
    </row>
    <row r="1091" spans="1:20" s="38" customFormat="1" x14ac:dyDescent="0.3">
      <c r="A1091" s="36" t="str">
        <f xml:space="preserve"> IF( 'From SvanPC++'!A1081= "", "", ('From SvanPC++'!A1081))</f>
        <v/>
      </c>
      <c r="B1091" s="36"/>
      <c r="C1091" s="36"/>
      <c r="D1091" s="36"/>
      <c r="E1091" s="47"/>
      <c r="F1091" s="19"/>
      <c r="I1091" s="36"/>
      <c r="S1091" s="36"/>
      <c r="T1091" s="36"/>
    </row>
    <row r="1092" spans="1:20" s="38" customFormat="1" x14ac:dyDescent="0.3">
      <c r="A1092" s="36" t="str">
        <f xml:space="preserve"> IF( 'From SvanPC++'!A1082= "", "", ('From SvanPC++'!A1082))</f>
        <v/>
      </c>
      <c r="B1092" s="36"/>
      <c r="C1092" s="36"/>
      <c r="D1092" s="36"/>
      <c r="E1092" s="47"/>
      <c r="F1092" s="19"/>
      <c r="I1092" s="36"/>
      <c r="S1092" s="36"/>
      <c r="T1092" s="36"/>
    </row>
    <row r="1093" spans="1:20" s="38" customFormat="1" x14ac:dyDescent="0.3">
      <c r="A1093" s="36" t="str">
        <f xml:space="preserve"> IF( 'From SvanPC++'!A1083= "", "", ('From SvanPC++'!A1083))</f>
        <v/>
      </c>
      <c r="B1093" s="36"/>
      <c r="C1093" s="36"/>
      <c r="D1093" s="36"/>
      <c r="E1093" s="47"/>
      <c r="F1093" s="19"/>
      <c r="I1093" s="36"/>
      <c r="S1093" s="36"/>
      <c r="T1093" s="36"/>
    </row>
    <row r="1094" spans="1:20" s="38" customFormat="1" x14ac:dyDescent="0.3">
      <c r="A1094" s="36" t="str">
        <f xml:space="preserve"> IF( 'From SvanPC++'!A1084= "", "", ('From SvanPC++'!A1084))</f>
        <v/>
      </c>
      <c r="B1094" s="36"/>
      <c r="C1094" s="36"/>
      <c r="D1094" s="36"/>
      <c r="E1094" s="47"/>
      <c r="F1094" s="19"/>
      <c r="I1094" s="36"/>
      <c r="S1094" s="36"/>
      <c r="T1094" s="36"/>
    </row>
    <row r="1095" spans="1:20" s="38" customFormat="1" x14ac:dyDescent="0.3">
      <c r="A1095" s="36" t="str">
        <f xml:space="preserve"> IF( 'From SvanPC++'!A1085= "", "", ('From SvanPC++'!A1085))</f>
        <v/>
      </c>
      <c r="B1095" s="36"/>
      <c r="C1095" s="36"/>
      <c r="D1095" s="36"/>
      <c r="E1095" s="47"/>
      <c r="F1095" s="19"/>
      <c r="I1095" s="36"/>
      <c r="S1095" s="36"/>
      <c r="T1095" s="36"/>
    </row>
    <row r="1096" spans="1:20" s="38" customFormat="1" x14ac:dyDescent="0.3">
      <c r="A1096" s="36" t="str">
        <f xml:space="preserve"> IF( 'From SvanPC++'!A1086= "", "", ('From SvanPC++'!A1086))</f>
        <v/>
      </c>
      <c r="B1096" s="36"/>
      <c r="C1096" s="36"/>
      <c r="D1096" s="36"/>
      <c r="E1096" s="47"/>
      <c r="F1096" s="19"/>
      <c r="I1096" s="36"/>
      <c r="S1096" s="36"/>
      <c r="T1096" s="36"/>
    </row>
    <row r="1097" spans="1:20" s="38" customFormat="1" x14ac:dyDescent="0.3">
      <c r="A1097" s="36" t="str">
        <f xml:space="preserve"> IF( 'From SvanPC++'!A1087= "", "", ('From SvanPC++'!A1087))</f>
        <v/>
      </c>
      <c r="B1097" s="36"/>
      <c r="C1097" s="36"/>
      <c r="D1097" s="36"/>
      <c r="E1097" s="47"/>
      <c r="F1097" s="19"/>
      <c r="I1097" s="36"/>
      <c r="S1097" s="36"/>
      <c r="T1097" s="36"/>
    </row>
    <row r="1098" spans="1:20" s="38" customFormat="1" x14ac:dyDescent="0.3">
      <c r="A1098" s="36" t="str">
        <f xml:space="preserve"> IF( 'From SvanPC++'!A1088= "", "", ('From SvanPC++'!A1088))</f>
        <v/>
      </c>
      <c r="B1098" s="36"/>
      <c r="C1098" s="36"/>
      <c r="D1098" s="36"/>
      <c r="E1098" s="47"/>
      <c r="F1098" s="19"/>
      <c r="I1098" s="36"/>
      <c r="S1098" s="36"/>
      <c r="T1098" s="36"/>
    </row>
    <row r="1099" spans="1:20" s="38" customFormat="1" x14ac:dyDescent="0.3">
      <c r="A1099" s="36" t="str">
        <f xml:space="preserve"> IF( 'From SvanPC++'!A1089= "", "", ('From SvanPC++'!A1089))</f>
        <v/>
      </c>
      <c r="B1099" s="36"/>
      <c r="C1099" s="36"/>
      <c r="D1099" s="36"/>
      <c r="E1099" s="47"/>
      <c r="F1099" s="19"/>
      <c r="I1099" s="36"/>
      <c r="S1099" s="36"/>
      <c r="T1099" s="36"/>
    </row>
    <row r="1100" spans="1:20" s="38" customFormat="1" x14ac:dyDescent="0.3">
      <c r="A1100" s="36" t="str">
        <f xml:space="preserve"> IF( 'From SvanPC++'!A1090= "", "", ('From SvanPC++'!A1090))</f>
        <v/>
      </c>
      <c r="B1100" s="36"/>
      <c r="C1100" s="36"/>
      <c r="D1100" s="36"/>
      <c r="E1100" s="47"/>
      <c r="F1100" s="19"/>
      <c r="I1100" s="36"/>
      <c r="S1100" s="36"/>
      <c r="T1100" s="36"/>
    </row>
    <row r="1101" spans="1:20" s="38" customFormat="1" x14ac:dyDescent="0.3">
      <c r="A1101" s="36" t="str">
        <f xml:space="preserve"> IF( 'From SvanPC++'!A1091= "", "", ('From SvanPC++'!A1091))</f>
        <v/>
      </c>
      <c r="B1101" s="36"/>
      <c r="C1101" s="36"/>
      <c r="D1101" s="36"/>
      <c r="E1101" s="47"/>
      <c r="F1101" s="19"/>
      <c r="I1101" s="36"/>
      <c r="S1101" s="36"/>
      <c r="T1101" s="36"/>
    </row>
    <row r="1102" spans="1:20" s="38" customFormat="1" x14ac:dyDescent="0.3">
      <c r="A1102" s="36" t="str">
        <f xml:space="preserve"> IF( 'From SvanPC++'!A1092= "", "", ('From SvanPC++'!A1092))</f>
        <v/>
      </c>
      <c r="B1102" s="36"/>
      <c r="C1102" s="36"/>
      <c r="D1102" s="36"/>
      <c r="E1102" s="47"/>
      <c r="F1102" s="19"/>
      <c r="I1102" s="36"/>
      <c r="S1102" s="36"/>
      <c r="T1102" s="36"/>
    </row>
    <row r="1103" spans="1:20" s="38" customFormat="1" x14ac:dyDescent="0.3">
      <c r="A1103" s="36" t="str">
        <f xml:space="preserve"> IF( 'From SvanPC++'!A1093= "", "", ('From SvanPC++'!A1093))</f>
        <v/>
      </c>
      <c r="B1103" s="36"/>
      <c r="C1103" s="36"/>
      <c r="D1103" s="36"/>
      <c r="E1103" s="47"/>
      <c r="F1103" s="19"/>
      <c r="I1103" s="36"/>
      <c r="S1103" s="36"/>
      <c r="T1103" s="36"/>
    </row>
    <row r="1104" spans="1:20" s="38" customFormat="1" x14ac:dyDescent="0.3">
      <c r="A1104" s="36" t="str">
        <f xml:space="preserve"> IF( 'From SvanPC++'!A1094= "", "", ('From SvanPC++'!A1094))</f>
        <v/>
      </c>
      <c r="B1104" s="36"/>
      <c r="C1104" s="36"/>
      <c r="D1104" s="36"/>
      <c r="E1104" s="47"/>
      <c r="F1104" s="19"/>
      <c r="I1104" s="36"/>
      <c r="S1104" s="36"/>
      <c r="T1104" s="36"/>
    </row>
    <row r="1105" spans="1:20" s="38" customFormat="1" x14ac:dyDescent="0.3">
      <c r="A1105" s="36" t="str">
        <f xml:space="preserve"> IF( 'From SvanPC++'!A1095= "", "", ('From SvanPC++'!A1095))</f>
        <v/>
      </c>
      <c r="B1105" s="36"/>
      <c r="C1105" s="36"/>
      <c r="D1105" s="36"/>
      <c r="E1105" s="47"/>
      <c r="F1105" s="19"/>
      <c r="I1105" s="36"/>
      <c r="S1105" s="36"/>
      <c r="T1105" s="36"/>
    </row>
    <row r="1106" spans="1:20" s="38" customFormat="1" x14ac:dyDescent="0.3">
      <c r="A1106" s="36" t="str">
        <f xml:space="preserve"> IF( 'From SvanPC++'!A1096= "", "", ('From SvanPC++'!A1096))</f>
        <v/>
      </c>
      <c r="B1106" s="36"/>
      <c r="C1106" s="36"/>
      <c r="D1106" s="36"/>
      <c r="E1106" s="47"/>
      <c r="F1106" s="19"/>
      <c r="I1106" s="36"/>
      <c r="S1106" s="36"/>
      <c r="T1106" s="36"/>
    </row>
    <row r="1107" spans="1:20" s="38" customFormat="1" x14ac:dyDescent="0.3">
      <c r="A1107" s="36" t="str">
        <f xml:space="preserve"> IF( 'From SvanPC++'!A1097= "", "", ('From SvanPC++'!A1097))</f>
        <v/>
      </c>
      <c r="B1107" s="36"/>
      <c r="C1107" s="36"/>
      <c r="D1107" s="36"/>
      <c r="E1107" s="47"/>
      <c r="F1107" s="19"/>
      <c r="I1107" s="36"/>
      <c r="S1107" s="36"/>
      <c r="T1107" s="36"/>
    </row>
    <row r="1108" spans="1:20" s="38" customFormat="1" x14ac:dyDescent="0.3">
      <c r="A1108" s="36" t="str">
        <f xml:space="preserve"> IF( 'From SvanPC++'!A1098= "", "", ('From SvanPC++'!A1098))</f>
        <v/>
      </c>
      <c r="B1108" s="36"/>
      <c r="C1108" s="36"/>
      <c r="D1108" s="36"/>
      <c r="E1108" s="47"/>
      <c r="F1108" s="19"/>
      <c r="I1108" s="36"/>
      <c r="S1108" s="36"/>
      <c r="T1108" s="36"/>
    </row>
    <row r="1109" spans="1:20" s="38" customFormat="1" x14ac:dyDescent="0.3">
      <c r="A1109" s="36" t="str">
        <f xml:space="preserve"> IF( 'From SvanPC++'!A1099= "", "", ('From SvanPC++'!A1099))</f>
        <v/>
      </c>
      <c r="B1109" s="36"/>
      <c r="C1109" s="36"/>
      <c r="D1109" s="36"/>
      <c r="E1109" s="47"/>
      <c r="F1109" s="19"/>
      <c r="I1109" s="36"/>
      <c r="S1109" s="36"/>
      <c r="T1109" s="36"/>
    </row>
    <row r="1110" spans="1:20" s="38" customFormat="1" x14ac:dyDescent="0.3">
      <c r="A1110" s="36" t="str">
        <f xml:space="preserve"> IF( 'From SvanPC++'!A1100= "", "", ('From SvanPC++'!A1100))</f>
        <v/>
      </c>
      <c r="B1110" s="36"/>
      <c r="C1110" s="36"/>
      <c r="D1110" s="36"/>
      <c r="E1110" s="47"/>
      <c r="F1110" s="19"/>
      <c r="I1110" s="36"/>
      <c r="S1110" s="36"/>
      <c r="T1110" s="36"/>
    </row>
    <row r="1111" spans="1:20" s="38" customFormat="1" x14ac:dyDescent="0.3">
      <c r="A1111" s="36" t="str">
        <f xml:space="preserve"> IF( 'From SvanPC++'!A1101= "", "", ('From SvanPC++'!A1101))</f>
        <v/>
      </c>
      <c r="B1111" s="36"/>
      <c r="C1111" s="36"/>
      <c r="D1111" s="36"/>
      <c r="E1111" s="47"/>
      <c r="F1111" s="19"/>
      <c r="I1111" s="36"/>
      <c r="S1111" s="36"/>
      <c r="T1111" s="36"/>
    </row>
    <row r="1112" spans="1:20" s="38" customFormat="1" x14ac:dyDescent="0.3">
      <c r="A1112" s="36" t="str">
        <f xml:space="preserve"> IF( 'From SvanPC++'!A1102= "", "", ('From SvanPC++'!A1102))</f>
        <v/>
      </c>
      <c r="B1112" s="36"/>
      <c r="C1112" s="36"/>
      <c r="D1112" s="36"/>
      <c r="E1112" s="47"/>
      <c r="F1112" s="19"/>
      <c r="I1112" s="36"/>
      <c r="S1112" s="36"/>
      <c r="T1112" s="36"/>
    </row>
    <row r="1113" spans="1:20" s="38" customFormat="1" x14ac:dyDescent="0.3">
      <c r="A1113" s="36" t="str">
        <f xml:space="preserve"> IF( 'From SvanPC++'!A1103= "", "", ('From SvanPC++'!A1103))</f>
        <v/>
      </c>
      <c r="B1113" s="36"/>
      <c r="C1113" s="36"/>
      <c r="D1113" s="36"/>
      <c r="E1113" s="47"/>
      <c r="F1113" s="19"/>
      <c r="I1113" s="36"/>
      <c r="S1113" s="36"/>
      <c r="T1113" s="36"/>
    </row>
    <row r="1114" spans="1:20" s="38" customFormat="1" x14ac:dyDescent="0.3">
      <c r="A1114" s="36" t="str">
        <f xml:space="preserve"> IF( 'From SvanPC++'!A1104= "", "", ('From SvanPC++'!A1104))</f>
        <v/>
      </c>
      <c r="B1114" s="36"/>
      <c r="C1114" s="36"/>
      <c r="D1114" s="36"/>
      <c r="E1114" s="47"/>
      <c r="F1114" s="19"/>
      <c r="I1114" s="36"/>
      <c r="S1114" s="36"/>
      <c r="T1114" s="36"/>
    </row>
    <row r="1115" spans="1:20" s="38" customFormat="1" x14ac:dyDescent="0.3">
      <c r="A1115" s="36" t="str">
        <f xml:space="preserve"> IF( 'From SvanPC++'!A1105= "", "", ('From SvanPC++'!A1105))</f>
        <v/>
      </c>
      <c r="B1115" s="36"/>
      <c r="C1115" s="36"/>
      <c r="D1115" s="36"/>
      <c r="E1115" s="47"/>
      <c r="F1115" s="19"/>
      <c r="I1115" s="36"/>
      <c r="S1115" s="36"/>
      <c r="T1115" s="36"/>
    </row>
    <row r="1116" spans="1:20" s="38" customFormat="1" x14ac:dyDescent="0.3">
      <c r="A1116" s="36" t="str">
        <f xml:space="preserve"> IF( 'From SvanPC++'!A1106= "", "", ('From SvanPC++'!A1106))</f>
        <v/>
      </c>
      <c r="B1116" s="36"/>
      <c r="C1116" s="36"/>
      <c r="D1116" s="36"/>
      <c r="E1116" s="47"/>
      <c r="F1116" s="19"/>
      <c r="I1116" s="36"/>
      <c r="S1116" s="36"/>
      <c r="T1116" s="36"/>
    </row>
    <row r="1117" spans="1:20" s="38" customFormat="1" x14ac:dyDescent="0.3">
      <c r="A1117" s="36" t="str">
        <f xml:space="preserve"> IF( 'From SvanPC++'!A1107= "", "", ('From SvanPC++'!A1107))</f>
        <v/>
      </c>
      <c r="B1117" s="36"/>
      <c r="C1117" s="36"/>
      <c r="D1117" s="36"/>
      <c r="E1117" s="47"/>
      <c r="F1117" s="19"/>
      <c r="I1117" s="36"/>
      <c r="S1117" s="36"/>
      <c r="T1117" s="36"/>
    </row>
    <row r="1118" spans="1:20" s="38" customFormat="1" x14ac:dyDescent="0.3">
      <c r="A1118" s="36" t="str">
        <f xml:space="preserve"> IF( 'From SvanPC++'!A1108= "", "", ('From SvanPC++'!A1108))</f>
        <v/>
      </c>
      <c r="B1118" s="36"/>
      <c r="C1118" s="36"/>
      <c r="D1118" s="36"/>
      <c r="E1118" s="47"/>
      <c r="F1118" s="19"/>
      <c r="I1118" s="36"/>
      <c r="S1118" s="36"/>
      <c r="T1118" s="36"/>
    </row>
    <row r="1119" spans="1:20" s="38" customFormat="1" x14ac:dyDescent="0.3">
      <c r="A1119" s="36" t="str">
        <f xml:space="preserve"> IF( 'From SvanPC++'!A1109= "", "", ('From SvanPC++'!A1109))</f>
        <v/>
      </c>
      <c r="B1119" s="36"/>
      <c r="C1119" s="36"/>
      <c r="D1119" s="36"/>
      <c r="E1119" s="47"/>
      <c r="F1119" s="19"/>
      <c r="I1119" s="36"/>
      <c r="S1119" s="36"/>
      <c r="T1119" s="36"/>
    </row>
    <row r="1120" spans="1:20" s="38" customFormat="1" x14ac:dyDescent="0.3">
      <c r="A1120" s="36" t="str">
        <f xml:space="preserve"> IF( 'From SvanPC++'!A1110= "", "", ('From SvanPC++'!A1110))</f>
        <v/>
      </c>
      <c r="B1120" s="36"/>
      <c r="C1120" s="36"/>
      <c r="D1120" s="36"/>
      <c r="E1120" s="47"/>
      <c r="F1120" s="19"/>
      <c r="I1120" s="36"/>
      <c r="S1120" s="36"/>
      <c r="T1120" s="36"/>
    </row>
    <row r="1121" spans="1:20" s="38" customFormat="1" x14ac:dyDescent="0.3">
      <c r="A1121" s="36" t="str">
        <f xml:space="preserve"> IF( 'From SvanPC++'!A1111= "", "", ('From SvanPC++'!A1111))</f>
        <v/>
      </c>
      <c r="B1121" s="36"/>
      <c r="C1121" s="36"/>
      <c r="D1121" s="36"/>
      <c r="E1121" s="47"/>
      <c r="F1121" s="19"/>
      <c r="I1121" s="36"/>
      <c r="S1121" s="36"/>
      <c r="T1121" s="36"/>
    </row>
    <row r="1122" spans="1:20" s="38" customFormat="1" x14ac:dyDescent="0.3">
      <c r="A1122" s="36" t="str">
        <f xml:space="preserve"> IF( 'From SvanPC++'!A1112= "", "", ('From SvanPC++'!A1112))</f>
        <v/>
      </c>
      <c r="B1122" s="36"/>
      <c r="C1122" s="36"/>
      <c r="D1122" s="36"/>
      <c r="E1122" s="47"/>
      <c r="F1122" s="19"/>
      <c r="I1122" s="36"/>
      <c r="S1122" s="36"/>
      <c r="T1122" s="36"/>
    </row>
    <row r="1123" spans="1:20" s="38" customFormat="1" x14ac:dyDescent="0.3">
      <c r="A1123" s="36" t="str">
        <f xml:space="preserve"> IF( 'From SvanPC++'!A1113= "", "", ('From SvanPC++'!A1113))</f>
        <v/>
      </c>
      <c r="B1123" s="36"/>
      <c r="C1123" s="36"/>
      <c r="D1123" s="36"/>
      <c r="E1123" s="47"/>
      <c r="F1123" s="19"/>
      <c r="I1123" s="36"/>
      <c r="S1123" s="36"/>
      <c r="T1123" s="36"/>
    </row>
    <row r="1124" spans="1:20" s="38" customFormat="1" x14ac:dyDescent="0.3">
      <c r="A1124" s="36" t="str">
        <f xml:space="preserve"> IF( 'From SvanPC++'!A1114= "", "", ('From SvanPC++'!A1114))</f>
        <v/>
      </c>
      <c r="B1124" s="36"/>
      <c r="C1124" s="36"/>
      <c r="D1124" s="36"/>
      <c r="E1124" s="47"/>
      <c r="F1124" s="19"/>
      <c r="I1124" s="36"/>
      <c r="S1124" s="36"/>
      <c r="T1124" s="36"/>
    </row>
    <row r="1125" spans="1:20" s="38" customFormat="1" x14ac:dyDescent="0.3">
      <c r="A1125" s="36" t="str">
        <f xml:space="preserve"> IF( 'From SvanPC++'!A1115= "", "", ('From SvanPC++'!A1115))</f>
        <v/>
      </c>
      <c r="B1125" s="36"/>
      <c r="C1125" s="36"/>
      <c r="D1125" s="36"/>
      <c r="E1125" s="47"/>
      <c r="F1125" s="19"/>
      <c r="I1125" s="36"/>
      <c r="S1125" s="36"/>
      <c r="T1125" s="36"/>
    </row>
    <row r="1126" spans="1:20" s="38" customFormat="1" x14ac:dyDescent="0.3">
      <c r="A1126" s="36" t="str">
        <f xml:space="preserve"> IF( 'From SvanPC++'!A1116= "", "", ('From SvanPC++'!A1116))</f>
        <v/>
      </c>
      <c r="B1126" s="36"/>
      <c r="C1126" s="36"/>
      <c r="D1126" s="36"/>
      <c r="E1126" s="47"/>
      <c r="F1126" s="19"/>
      <c r="I1126" s="36"/>
      <c r="S1126" s="36"/>
      <c r="T1126" s="36"/>
    </row>
    <row r="1127" spans="1:20" s="38" customFormat="1" x14ac:dyDescent="0.3">
      <c r="A1127" s="36" t="str">
        <f xml:space="preserve"> IF( 'From SvanPC++'!A1117= "", "", ('From SvanPC++'!A1117))</f>
        <v/>
      </c>
      <c r="B1127" s="36"/>
      <c r="C1127" s="36"/>
      <c r="D1127" s="36"/>
      <c r="E1127" s="47"/>
      <c r="F1127" s="19"/>
      <c r="I1127" s="36"/>
      <c r="S1127" s="36"/>
      <c r="T1127" s="36"/>
    </row>
    <row r="1128" spans="1:20" s="38" customFormat="1" x14ac:dyDescent="0.3">
      <c r="A1128" s="36" t="str">
        <f xml:space="preserve"> IF( 'From SvanPC++'!A1118= "", "", ('From SvanPC++'!A1118))</f>
        <v/>
      </c>
      <c r="B1128" s="36"/>
      <c r="C1128" s="36"/>
      <c r="D1128" s="36"/>
      <c r="E1128" s="47"/>
      <c r="F1128" s="19"/>
      <c r="I1128" s="36"/>
      <c r="S1128" s="36"/>
      <c r="T1128" s="36"/>
    </row>
    <row r="1129" spans="1:20" s="38" customFormat="1" x14ac:dyDescent="0.3">
      <c r="A1129" s="36" t="str">
        <f xml:space="preserve"> IF( 'From SvanPC++'!A1119= "", "", ('From SvanPC++'!A1119))</f>
        <v/>
      </c>
      <c r="B1129" s="36"/>
      <c r="C1129" s="36"/>
      <c r="D1129" s="36"/>
      <c r="E1129" s="47"/>
      <c r="F1129" s="19"/>
      <c r="I1129" s="36"/>
      <c r="S1129" s="36"/>
      <c r="T1129" s="36"/>
    </row>
    <row r="1130" spans="1:20" s="38" customFormat="1" x14ac:dyDescent="0.3">
      <c r="A1130" s="36" t="str">
        <f xml:space="preserve"> IF( 'From SvanPC++'!A1120= "", "", ('From SvanPC++'!A1120))</f>
        <v/>
      </c>
      <c r="B1130" s="36"/>
      <c r="C1130" s="36"/>
      <c r="D1130" s="36"/>
      <c r="E1130" s="47"/>
      <c r="F1130" s="19"/>
      <c r="I1130" s="36"/>
      <c r="S1130" s="36"/>
      <c r="T1130" s="36"/>
    </row>
    <row r="1131" spans="1:20" s="38" customFormat="1" x14ac:dyDescent="0.3">
      <c r="A1131" s="36" t="str">
        <f xml:space="preserve"> IF( 'From SvanPC++'!A1121= "", "", ('From SvanPC++'!A1121))</f>
        <v/>
      </c>
      <c r="B1131" s="36"/>
      <c r="C1131" s="36"/>
      <c r="D1131" s="36"/>
      <c r="E1131" s="47"/>
      <c r="F1131" s="19"/>
      <c r="I1131" s="36"/>
      <c r="S1131" s="36"/>
      <c r="T1131" s="36"/>
    </row>
    <row r="1132" spans="1:20" s="38" customFormat="1" x14ac:dyDescent="0.3">
      <c r="A1132" s="36" t="str">
        <f xml:space="preserve"> IF( 'From SvanPC++'!A1122= "", "", ('From SvanPC++'!A1122))</f>
        <v/>
      </c>
      <c r="B1132" s="36"/>
      <c r="C1132" s="36"/>
      <c r="D1132" s="36"/>
      <c r="E1132" s="47"/>
      <c r="F1132" s="19"/>
      <c r="I1132" s="36"/>
      <c r="S1132" s="36"/>
      <c r="T1132" s="36"/>
    </row>
    <row r="1133" spans="1:20" s="38" customFormat="1" x14ac:dyDescent="0.3">
      <c r="A1133" s="36" t="str">
        <f xml:space="preserve"> IF( 'From SvanPC++'!A1123= "", "", ('From SvanPC++'!A1123))</f>
        <v/>
      </c>
      <c r="B1133" s="36"/>
      <c r="C1133" s="36"/>
      <c r="D1133" s="36"/>
      <c r="E1133" s="47"/>
      <c r="F1133" s="19"/>
      <c r="I1133" s="36"/>
      <c r="S1133" s="36"/>
      <c r="T1133" s="36"/>
    </row>
    <row r="1134" spans="1:20" s="38" customFormat="1" x14ac:dyDescent="0.3">
      <c r="A1134" s="36" t="str">
        <f xml:space="preserve"> IF( 'From SvanPC++'!A1124= "", "", ('From SvanPC++'!A1124))</f>
        <v/>
      </c>
      <c r="B1134" s="36"/>
      <c r="C1134" s="36"/>
      <c r="D1134" s="36"/>
      <c r="E1134" s="47"/>
      <c r="F1134" s="19"/>
      <c r="I1134" s="36"/>
      <c r="S1134" s="36"/>
      <c r="T1134" s="36"/>
    </row>
    <row r="1135" spans="1:20" s="38" customFormat="1" x14ac:dyDescent="0.3">
      <c r="A1135" s="36" t="str">
        <f xml:space="preserve"> IF( 'From SvanPC++'!A1125= "", "", ('From SvanPC++'!A1125))</f>
        <v/>
      </c>
      <c r="B1135" s="36"/>
      <c r="C1135" s="36"/>
      <c r="D1135" s="36"/>
      <c r="E1135" s="47"/>
      <c r="F1135" s="19"/>
      <c r="I1135" s="36"/>
      <c r="S1135" s="36"/>
      <c r="T1135" s="36"/>
    </row>
    <row r="1136" spans="1:20" s="38" customFormat="1" x14ac:dyDescent="0.3">
      <c r="A1136" s="36" t="str">
        <f xml:space="preserve"> IF( 'From SvanPC++'!A1126= "", "", ('From SvanPC++'!A1126))</f>
        <v/>
      </c>
      <c r="B1136" s="36"/>
      <c r="C1136" s="36"/>
      <c r="D1136" s="36"/>
      <c r="E1136" s="47"/>
      <c r="F1136" s="19"/>
      <c r="I1136" s="36"/>
      <c r="S1136" s="36"/>
      <c r="T1136" s="36"/>
    </row>
    <row r="1137" spans="1:20" s="38" customFormat="1" x14ac:dyDescent="0.3">
      <c r="A1137" s="36" t="str">
        <f xml:space="preserve"> IF( 'From SvanPC++'!A1127= "", "", ('From SvanPC++'!A1127))</f>
        <v/>
      </c>
      <c r="B1137" s="36"/>
      <c r="C1137" s="36"/>
      <c r="D1137" s="36"/>
      <c r="E1137" s="47"/>
      <c r="F1137" s="19"/>
      <c r="I1137" s="36"/>
      <c r="S1137" s="36"/>
      <c r="T1137" s="36"/>
    </row>
    <row r="1138" spans="1:20" s="38" customFormat="1" x14ac:dyDescent="0.3">
      <c r="A1138" s="36" t="str">
        <f xml:space="preserve"> IF( 'From SvanPC++'!A1128= "", "", ('From SvanPC++'!A1128))</f>
        <v/>
      </c>
      <c r="B1138" s="36"/>
      <c r="C1138" s="36"/>
      <c r="D1138" s="36"/>
      <c r="E1138" s="47"/>
      <c r="F1138" s="19"/>
      <c r="I1138" s="36"/>
      <c r="S1138" s="36"/>
      <c r="T1138" s="36"/>
    </row>
    <row r="1139" spans="1:20" s="38" customFormat="1" x14ac:dyDescent="0.3">
      <c r="A1139" s="36" t="str">
        <f xml:space="preserve"> IF( 'From SvanPC++'!A1129= "", "", ('From SvanPC++'!A1129))</f>
        <v/>
      </c>
      <c r="B1139" s="36"/>
      <c r="C1139" s="36"/>
      <c r="D1139" s="36"/>
      <c r="E1139" s="47"/>
      <c r="F1139" s="19"/>
      <c r="I1139" s="36"/>
      <c r="S1139" s="36"/>
      <c r="T1139" s="36"/>
    </row>
    <row r="1140" spans="1:20" s="38" customFormat="1" x14ac:dyDescent="0.3">
      <c r="A1140" s="36" t="str">
        <f xml:space="preserve"> IF( 'From SvanPC++'!A1130= "", "", ('From SvanPC++'!A1130))</f>
        <v/>
      </c>
      <c r="B1140" s="36"/>
      <c r="C1140" s="36"/>
      <c r="D1140" s="36"/>
      <c r="E1140" s="47"/>
      <c r="F1140" s="19"/>
      <c r="I1140" s="36"/>
      <c r="S1140" s="36"/>
      <c r="T1140" s="36"/>
    </row>
    <row r="1141" spans="1:20" s="38" customFormat="1" x14ac:dyDescent="0.3">
      <c r="A1141" s="36" t="str">
        <f xml:space="preserve"> IF( 'From SvanPC++'!A1131= "", "", ('From SvanPC++'!A1131))</f>
        <v/>
      </c>
      <c r="B1141" s="36"/>
      <c r="C1141" s="36"/>
      <c r="D1141" s="36"/>
      <c r="E1141" s="47"/>
      <c r="F1141" s="19"/>
      <c r="I1141" s="36"/>
      <c r="S1141" s="36"/>
      <c r="T1141" s="36"/>
    </row>
    <row r="1142" spans="1:20" s="38" customFormat="1" x14ac:dyDescent="0.3">
      <c r="A1142" s="36" t="str">
        <f xml:space="preserve"> IF( 'From SvanPC++'!A1132= "", "", ('From SvanPC++'!A1132))</f>
        <v/>
      </c>
      <c r="B1142" s="36"/>
      <c r="C1142" s="36"/>
      <c r="D1142" s="36"/>
      <c r="E1142" s="47"/>
      <c r="F1142" s="19"/>
      <c r="I1142" s="36"/>
      <c r="S1142" s="36"/>
      <c r="T1142" s="36"/>
    </row>
    <row r="1143" spans="1:20" s="38" customFormat="1" x14ac:dyDescent="0.3">
      <c r="A1143" s="36" t="str">
        <f xml:space="preserve"> IF( 'From SvanPC++'!A1133= "", "", ('From SvanPC++'!A1133))</f>
        <v/>
      </c>
      <c r="B1143" s="36"/>
      <c r="C1143" s="36"/>
      <c r="D1143" s="36"/>
      <c r="E1143" s="47"/>
      <c r="F1143" s="19"/>
      <c r="I1143" s="36"/>
      <c r="S1143" s="36"/>
      <c r="T1143" s="36"/>
    </row>
    <row r="1144" spans="1:20" s="38" customFormat="1" x14ac:dyDescent="0.3">
      <c r="A1144" s="36" t="str">
        <f xml:space="preserve"> IF( 'From SvanPC++'!A1134= "", "", ('From SvanPC++'!A1134))</f>
        <v/>
      </c>
      <c r="B1144" s="36"/>
      <c r="C1144" s="36"/>
      <c r="D1144" s="36"/>
      <c r="E1144" s="47"/>
      <c r="F1144" s="19"/>
      <c r="I1144" s="36"/>
      <c r="S1144" s="36"/>
      <c r="T1144" s="36"/>
    </row>
    <row r="1145" spans="1:20" s="38" customFormat="1" x14ac:dyDescent="0.3">
      <c r="A1145" s="36" t="str">
        <f xml:space="preserve"> IF( 'From SvanPC++'!A1135= "", "", ('From SvanPC++'!A1135))</f>
        <v/>
      </c>
      <c r="B1145" s="36"/>
      <c r="C1145" s="36"/>
      <c r="D1145" s="36"/>
      <c r="E1145" s="47"/>
      <c r="F1145" s="19"/>
      <c r="I1145" s="36"/>
      <c r="S1145" s="36"/>
      <c r="T1145" s="36"/>
    </row>
    <row r="1146" spans="1:20" s="38" customFormat="1" x14ac:dyDescent="0.3">
      <c r="A1146" s="36" t="str">
        <f xml:space="preserve"> IF( 'From SvanPC++'!A1136= "", "", ('From SvanPC++'!A1136))</f>
        <v/>
      </c>
      <c r="B1146" s="36"/>
      <c r="C1146" s="36"/>
      <c r="D1146" s="36"/>
      <c r="E1146" s="47"/>
      <c r="F1146" s="19"/>
      <c r="I1146" s="36"/>
      <c r="S1146" s="36"/>
      <c r="T1146" s="36"/>
    </row>
    <row r="1147" spans="1:20" s="38" customFormat="1" x14ac:dyDescent="0.3">
      <c r="A1147" s="36" t="str">
        <f xml:space="preserve"> IF( 'From SvanPC++'!A1137= "", "", ('From SvanPC++'!A1137))</f>
        <v/>
      </c>
      <c r="B1147" s="36"/>
      <c r="C1147" s="36"/>
      <c r="D1147" s="36"/>
      <c r="E1147" s="47"/>
      <c r="F1147" s="19"/>
      <c r="I1147" s="36"/>
      <c r="S1147" s="36"/>
      <c r="T1147" s="36"/>
    </row>
    <row r="1148" spans="1:20" s="38" customFormat="1" x14ac:dyDescent="0.3">
      <c r="A1148" s="36" t="str">
        <f xml:space="preserve"> IF( 'From SvanPC++'!A1138= "", "", ('From SvanPC++'!A1138))</f>
        <v/>
      </c>
      <c r="B1148" s="36"/>
      <c r="C1148" s="36"/>
      <c r="D1148" s="36"/>
      <c r="E1148" s="47"/>
      <c r="F1148" s="19"/>
      <c r="I1148" s="36"/>
      <c r="S1148" s="36"/>
      <c r="T1148" s="36"/>
    </row>
    <row r="1149" spans="1:20" s="38" customFormat="1" x14ac:dyDescent="0.3">
      <c r="A1149" s="36" t="str">
        <f xml:space="preserve"> IF( 'From SvanPC++'!A1139= "", "", ('From SvanPC++'!A1139))</f>
        <v/>
      </c>
      <c r="B1149" s="36"/>
      <c r="C1149" s="36"/>
      <c r="D1149" s="36"/>
      <c r="E1149" s="47"/>
      <c r="F1149" s="19"/>
      <c r="I1149" s="36"/>
      <c r="S1149" s="36"/>
      <c r="T1149" s="36"/>
    </row>
    <row r="1150" spans="1:20" s="38" customFormat="1" x14ac:dyDescent="0.3">
      <c r="A1150" s="36" t="str">
        <f xml:space="preserve"> IF( 'From SvanPC++'!A1140= "", "", ('From SvanPC++'!A1140))</f>
        <v/>
      </c>
      <c r="B1150" s="36"/>
      <c r="C1150" s="36"/>
      <c r="D1150" s="36"/>
      <c r="E1150" s="47"/>
      <c r="F1150" s="19"/>
      <c r="I1150" s="36"/>
      <c r="S1150" s="36"/>
      <c r="T1150" s="36"/>
    </row>
    <row r="1151" spans="1:20" s="38" customFormat="1" x14ac:dyDescent="0.3">
      <c r="A1151" s="36" t="str">
        <f xml:space="preserve"> IF( 'From SvanPC++'!A1141= "", "", ('From SvanPC++'!A1141))</f>
        <v/>
      </c>
      <c r="B1151" s="36"/>
      <c r="C1151" s="36"/>
      <c r="D1151" s="36"/>
      <c r="E1151" s="47"/>
      <c r="F1151" s="19"/>
      <c r="I1151" s="36"/>
      <c r="S1151" s="36"/>
      <c r="T1151" s="36"/>
    </row>
    <row r="1152" spans="1:20" s="38" customFormat="1" x14ac:dyDescent="0.3">
      <c r="A1152" s="36" t="str">
        <f xml:space="preserve"> IF( 'From SvanPC++'!A1142= "", "", ('From SvanPC++'!A1142))</f>
        <v/>
      </c>
      <c r="B1152" s="36"/>
      <c r="C1152" s="36"/>
      <c r="D1152" s="36"/>
      <c r="E1152" s="47"/>
      <c r="F1152" s="19"/>
      <c r="I1152" s="36"/>
      <c r="S1152" s="36"/>
      <c r="T1152" s="36"/>
    </row>
    <row r="1153" spans="1:20" s="38" customFormat="1" x14ac:dyDescent="0.3">
      <c r="A1153" s="36" t="str">
        <f xml:space="preserve"> IF( 'From SvanPC++'!A1143= "", "", ('From SvanPC++'!A1143))</f>
        <v/>
      </c>
      <c r="B1153" s="36"/>
      <c r="C1153" s="36"/>
      <c r="D1153" s="36"/>
      <c r="E1153" s="47"/>
      <c r="F1153" s="19"/>
      <c r="I1153" s="36"/>
      <c r="S1153" s="36"/>
      <c r="T1153" s="36"/>
    </row>
    <row r="1154" spans="1:20" s="38" customFormat="1" x14ac:dyDescent="0.3">
      <c r="A1154" s="36" t="str">
        <f xml:space="preserve"> IF( 'From SvanPC++'!A1144= "", "", ('From SvanPC++'!A1144))</f>
        <v/>
      </c>
      <c r="B1154" s="36"/>
      <c r="C1154" s="36"/>
      <c r="D1154" s="36"/>
      <c r="E1154" s="47"/>
      <c r="F1154" s="19"/>
      <c r="I1154" s="36"/>
      <c r="S1154" s="36"/>
      <c r="T1154" s="36"/>
    </row>
    <row r="1155" spans="1:20" s="38" customFormat="1" x14ac:dyDescent="0.3">
      <c r="A1155" s="36" t="str">
        <f xml:space="preserve"> IF( 'From SvanPC++'!A1145= "", "", ('From SvanPC++'!A1145))</f>
        <v/>
      </c>
      <c r="B1155" s="36"/>
      <c r="C1155" s="36"/>
      <c r="D1155" s="36"/>
      <c r="E1155" s="47"/>
      <c r="F1155" s="19"/>
      <c r="I1155" s="36"/>
      <c r="S1155" s="36"/>
      <c r="T1155" s="36"/>
    </row>
    <row r="1156" spans="1:20" s="38" customFormat="1" x14ac:dyDescent="0.3">
      <c r="A1156" s="36" t="str">
        <f xml:space="preserve"> IF( 'From SvanPC++'!A1146= "", "", ('From SvanPC++'!A1146))</f>
        <v/>
      </c>
      <c r="B1156" s="36"/>
      <c r="C1156" s="36"/>
      <c r="D1156" s="36"/>
      <c r="E1156" s="47"/>
      <c r="F1156" s="19"/>
      <c r="I1156" s="36"/>
      <c r="S1156" s="36"/>
      <c r="T1156" s="36"/>
    </row>
    <row r="1157" spans="1:20" s="38" customFormat="1" x14ac:dyDescent="0.3">
      <c r="A1157" s="36" t="str">
        <f xml:space="preserve"> IF( 'From SvanPC++'!A1147= "", "", ('From SvanPC++'!A1147))</f>
        <v/>
      </c>
      <c r="B1157" s="36"/>
      <c r="C1157" s="36"/>
      <c r="D1157" s="36"/>
      <c r="E1157" s="47"/>
      <c r="F1157" s="19"/>
      <c r="I1157" s="36"/>
      <c r="S1157" s="36"/>
      <c r="T1157" s="36"/>
    </row>
    <row r="1158" spans="1:20" s="38" customFormat="1" x14ac:dyDescent="0.3">
      <c r="A1158" s="36" t="str">
        <f xml:space="preserve"> IF( 'From SvanPC++'!A1148= "", "", ('From SvanPC++'!A1148))</f>
        <v/>
      </c>
      <c r="B1158" s="36"/>
      <c r="C1158" s="36"/>
      <c r="D1158" s="36"/>
      <c r="E1158" s="47"/>
      <c r="F1158" s="19"/>
      <c r="I1158" s="36"/>
      <c r="S1158" s="36"/>
      <c r="T1158" s="36"/>
    </row>
    <row r="1159" spans="1:20" s="38" customFormat="1" x14ac:dyDescent="0.3">
      <c r="A1159" s="36" t="str">
        <f xml:space="preserve"> IF( 'From SvanPC++'!A1149= "", "", ('From SvanPC++'!A1149))</f>
        <v/>
      </c>
      <c r="B1159" s="36"/>
      <c r="C1159" s="36"/>
      <c r="D1159" s="36"/>
      <c r="E1159" s="47"/>
      <c r="F1159" s="19"/>
      <c r="I1159" s="36"/>
      <c r="S1159" s="36"/>
      <c r="T1159" s="36"/>
    </row>
    <row r="1160" spans="1:20" s="38" customFormat="1" x14ac:dyDescent="0.3">
      <c r="A1160" s="36" t="str">
        <f xml:space="preserve"> IF( 'From SvanPC++'!A1150= "", "", ('From SvanPC++'!A1150))</f>
        <v/>
      </c>
      <c r="B1160" s="36"/>
      <c r="C1160" s="36"/>
      <c r="D1160" s="36"/>
      <c r="E1160" s="47"/>
      <c r="F1160" s="19"/>
      <c r="I1160" s="36"/>
      <c r="S1160" s="36"/>
      <c r="T1160" s="36"/>
    </row>
    <row r="1161" spans="1:20" s="38" customFormat="1" x14ac:dyDescent="0.3">
      <c r="A1161" s="36" t="str">
        <f xml:space="preserve"> IF( 'From SvanPC++'!A1151= "", "", ('From SvanPC++'!A1151))</f>
        <v/>
      </c>
      <c r="B1161" s="36"/>
      <c r="C1161" s="36"/>
      <c r="D1161" s="36"/>
      <c r="E1161" s="47"/>
      <c r="F1161" s="19"/>
      <c r="I1161" s="36"/>
      <c r="S1161" s="36"/>
      <c r="T1161" s="36"/>
    </row>
    <row r="1162" spans="1:20" s="38" customFormat="1" x14ac:dyDescent="0.3">
      <c r="A1162" s="36" t="str">
        <f xml:space="preserve"> IF( 'From SvanPC++'!A1152= "", "", ('From SvanPC++'!A1152))</f>
        <v/>
      </c>
      <c r="B1162" s="36"/>
      <c r="C1162" s="36"/>
      <c r="D1162" s="36"/>
      <c r="E1162" s="47"/>
      <c r="F1162" s="19"/>
      <c r="I1162" s="36"/>
      <c r="S1162" s="36"/>
      <c r="T1162" s="36"/>
    </row>
    <row r="1163" spans="1:20" s="38" customFormat="1" x14ac:dyDescent="0.3">
      <c r="A1163" s="36" t="str">
        <f xml:space="preserve"> IF( 'From SvanPC++'!A1153= "", "", ('From SvanPC++'!A1153))</f>
        <v/>
      </c>
      <c r="B1163" s="36"/>
      <c r="C1163" s="36"/>
      <c r="D1163" s="36"/>
      <c r="E1163" s="47"/>
      <c r="F1163" s="19"/>
      <c r="I1163" s="36"/>
      <c r="S1163" s="36"/>
      <c r="T1163" s="36"/>
    </row>
    <row r="1164" spans="1:20" s="38" customFormat="1" x14ac:dyDescent="0.3">
      <c r="A1164" s="36" t="str">
        <f xml:space="preserve"> IF( 'From SvanPC++'!A1154= "", "", ('From SvanPC++'!A1154))</f>
        <v/>
      </c>
      <c r="B1164" s="36"/>
      <c r="C1164" s="36"/>
      <c r="D1164" s="36"/>
      <c r="E1164" s="47"/>
      <c r="F1164" s="19"/>
      <c r="I1164" s="36"/>
      <c r="S1164" s="36"/>
      <c r="T1164" s="36"/>
    </row>
    <row r="1165" spans="1:20" s="38" customFormat="1" x14ac:dyDescent="0.3">
      <c r="A1165" s="36" t="str">
        <f xml:space="preserve"> IF( 'From SvanPC++'!A1155= "", "", ('From SvanPC++'!A1155))</f>
        <v/>
      </c>
      <c r="B1165" s="36"/>
      <c r="C1165" s="36"/>
      <c r="D1165" s="36"/>
      <c r="E1165" s="47"/>
      <c r="F1165" s="19"/>
      <c r="I1165" s="36"/>
      <c r="S1165" s="36"/>
      <c r="T1165" s="36"/>
    </row>
    <row r="1166" spans="1:20" s="38" customFormat="1" x14ac:dyDescent="0.3">
      <c r="A1166" s="36" t="str">
        <f xml:space="preserve"> IF( 'From SvanPC++'!A1156= "", "", ('From SvanPC++'!A1156))</f>
        <v/>
      </c>
      <c r="B1166" s="36"/>
      <c r="C1166" s="36"/>
      <c r="D1166" s="36"/>
      <c r="E1166" s="47"/>
      <c r="F1166" s="19"/>
      <c r="I1166" s="36"/>
      <c r="S1166" s="36"/>
      <c r="T1166" s="36"/>
    </row>
    <row r="1167" spans="1:20" s="38" customFormat="1" x14ac:dyDescent="0.3">
      <c r="A1167" s="36" t="str">
        <f xml:space="preserve"> IF( 'From SvanPC++'!A1157= "", "", ('From SvanPC++'!A1157))</f>
        <v/>
      </c>
      <c r="B1167" s="36"/>
      <c r="C1167" s="36"/>
      <c r="D1167" s="36"/>
      <c r="E1167" s="47"/>
      <c r="F1167" s="19"/>
      <c r="I1167" s="36"/>
      <c r="S1167" s="36"/>
      <c r="T1167" s="36"/>
    </row>
    <row r="1168" spans="1:20" s="38" customFormat="1" x14ac:dyDescent="0.3">
      <c r="A1168" s="36" t="str">
        <f xml:space="preserve"> IF( 'From SvanPC++'!A1158= "", "", ('From SvanPC++'!A1158))</f>
        <v/>
      </c>
      <c r="B1168" s="36"/>
      <c r="C1168" s="36"/>
      <c r="D1168" s="36"/>
      <c r="E1168" s="47"/>
      <c r="F1168" s="19"/>
      <c r="I1168" s="36"/>
      <c r="S1168" s="36"/>
      <c r="T1168" s="36"/>
    </row>
    <row r="1169" spans="1:20" s="38" customFormat="1" x14ac:dyDescent="0.3">
      <c r="A1169" s="36" t="str">
        <f xml:space="preserve"> IF( 'From SvanPC++'!A1159= "", "", ('From SvanPC++'!A1159))</f>
        <v/>
      </c>
      <c r="B1169" s="36"/>
      <c r="C1169" s="36"/>
      <c r="D1169" s="36"/>
      <c r="E1169" s="47"/>
      <c r="F1169" s="19"/>
      <c r="I1169" s="36"/>
      <c r="S1169" s="36"/>
      <c r="T1169" s="36"/>
    </row>
    <row r="1170" spans="1:20" s="38" customFormat="1" x14ac:dyDescent="0.3">
      <c r="A1170" s="36" t="str">
        <f xml:space="preserve"> IF( 'From SvanPC++'!A1160= "", "", ('From SvanPC++'!A1160))</f>
        <v/>
      </c>
      <c r="B1170" s="36"/>
      <c r="C1170" s="36"/>
      <c r="D1170" s="36"/>
      <c r="E1170" s="47"/>
      <c r="F1170" s="19"/>
      <c r="I1170" s="36"/>
      <c r="S1170" s="36"/>
      <c r="T1170" s="36"/>
    </row>
    <row r="1171" spans="1:20" s="38" customFormat="1" x14ac:dyDescent="0.3">
      <c r="A1171" s="36" t="str">
        <f xml:space="preserve"> IF( 'From SvanPC++'!A1161= "", "", ('From SvanPC++'!A1161))</f>
        <v/>
      </c>
      <c r="B1171" s="36"/>
      <c r="C1171" s="36"/>
      <c r="D1171" s="36"/>
      <c r="E1171" s="47"/>
      <c r="F1171" s="19"/>
      <c r="I1171" s="36"/>
      <c r="S1171" s="36"/>
      <c r="T1171" s="36"/>
    </row>
    <row r="1172" spans="1:20" s="38" customFormat="1" x14ac:dyDescent="0.3">
      <c r="A1172" s="36" t="str">
        <f xml:space="preserve"> IF( 'From SvanPC++'!A1162= "", "", ('From SvanPC++'!A1162))</f>
        <v/>
      </c>
      <c r="B1172" s="36"/>
      <c r="C1172" s="36"/>
      <c r="D1172" s="36"/>
      <c r="E1172" s="47"/>
      <c r="F1172" s="19"/>
      <c r="I1172" s="36"/>
      <c r="S1172" s="36"/>
      <c r="T1172" s="36"/>
    </row>
    <row r="1173" spans="1:20" s="38" customFormat="1" x14ac:dyDescent="0.3">
      <c r="A1173" s="36" t="str">
        <f xml:space="preserve"> IF( 'From SvanPC++'!A1163= "", "", ('From SvanPC++'!A1163))</f>
        <v/>
      </c>
      <c r="B1173" s="36"/>
      <c r="C1173" s="36"/>
      <c r="D1173" s="36"/>
      <c r="E1173" s="47"/>
      <c r="F1173" s="19"/>
      <c r="I1173" s="36"/>
      <c r="S1173" s="36"/>
      <c r="T1173" s="36"/>
    </row>
    <row r="1174" spans="1:20" s="38" customFormat="1" x14ac:dyDescent="0.3">
      <c r="A1174" s="36" t="str">
        <f xml:space="preserve"> IF( 'From SvanPC++'!A1164= "", "", ('From SvanPC++'!A1164))</f>
        <v/>
      </c>
      <c r="B1174" s="36"/>
      <c r="C1174" s="36"/>
      <c r="D1174" s="36"/>
      <c r="E1174" s="47"/>
      <c r="F1174" s="19"/>
      <c r="I1174" s="36"/>
      <c r="S1174" s="36"/>
      <c r="T1174" s="36"/>
    </row>
    <row r="1175" spans="1:20" s="38" customFormat="1" x14ac:dyDescent="0.3">
      <c r="A1175" s="36" t="str">
        <f xml:space="preserve"> IF( 'From SvanPC++'!A1165= "", "", ('From SvanPC++'!A1165))</f>
        <v/>
      </c>
      <c r="B1175" s="36"/>
      <c r="C1175" s="36"/>
      <c r="D1175" s="36"/>
      <c r="E1175" s="47"/>
      <c r="F1175" s="19"/>
      <c r="I1175" s="36"/>
      <c r="S1175" s="36"/>
      <c r="T1175" s="36"/>
    </row>
    <row r="1176" spans="1:20" s="38" customFormat="1" x14ac:dyDescent="0.3">
      <c r="A1176" s="36" t="str">
        <f xml:space="preserve"> IF( 'From SvanPC++'!A1166= "", "", ('From SvanPC++'!A1166))</f>
        <v/>
      </c>
      <c r="B1176" s="36"/>
      <c r="C1176" s="36"/>
      <c r="D1176" s="36"/>
      <c r="E1176" s="47"/>
      <c r="F1176" s="19"/>
      <c r="I1176" s="36"/>
      <c r="S1176" s="36"/>
      <c r="T1176" s="36"/>
    </row>
    <row r="1177" spans="1:20" s="38" customFormat="1" x14ac:dyDescent="0.3">
      <c r="A1177" s="36" t="str">
        <f xml:space="preserve"> IF( 'From SvanPC++'!A1167= "", "", ('From SvanPC++'!A1167))</f>
        <v/>
      </c>
      <c r="B1177" s="36"/>
      <c r="C1177" s="36"/>
      <c r="D1177" s="36"/>
      <c r="E1177" s="47"/>
      <c r="F1177" s="19"/>
      <c r="I1177" s="36"/>
      <c r="S1177" s="36"/>
      <c r="T1177" s="36"/>
    </row>
    <row r="1178" spans="1:20" s="38" customFormat="1" x14ac:dyDescent="0.3">
      <c r="A1178" s="36" t="str">
        <f xml:space="preserve"> IF( 'From SvanPC++'!A1168= "", "", ('From SvanPC++'!A1168))</f>
        <v/>
      </c>
      <c r="B1178" s="36"/>
      <c r="C1178" s="36"/>
      <c r="D1178" s="36"/>
      <c r="E1178" s="47"/>
      <c r="F1178" s="19"/>
      <c r="I1178" s="36"/>
      <c r="S1178" s="36"/>
      <c r="T1178" s="36"/>
    </row>
    <row r="1179" spans="1:20" s="38" customFormat="1" x14ac:dyDescent="0.3">
      <c r="A1179" s="36" t="str">
        <f xml:space="preserve"> IF( 'From SvanPC++'!A1169= "", "", ('From SvanPC++'!A1169))</f>
        <v/>
      </c>
      <c r="B1179" s="36"/>
      <c r="C1179" s="36"/>
      <c r="D1179" s="36"/>
      <c r="E1179" s="47"/>
      <c r="F1179" s="19"/>
      <c r="I1179" s="36"/>
      <c r="S1179" s="36"/>
      <c r="T1179" s="36"/>
    </row>
    <row r="1180" spans="1:20" s="38" customFormat="1" x14ac:dyDescent="0.3">
      <c r="A1180" s="36" t="str">
        <f xml:space="preserve"> IF( 'From SvanPC++'!A1170= "", "", ('From SvanPC++'!A1170))</f>
        <v/>
      </c>
      <c r="B1180" s="36"/>
      <c r="C1180" s="36"/>
      <c r="D1180" s="36"/>
      <c r="E1180" s="47"/>
      <c r="F1180" s="19"/>
      <c r="I1180" s="36"/>
      <c r="S1180" s="36"/>
      <c r="T1180" s="36"/>
    </row>
    <row r="1181" spans="1:20" s="38" customFormat="1" x14ac:dyDescent="0.3">
      <c r="A1181" s="36" t="str">
        <f xml:space="preserve"> IF( 'From SvanPC++'!A1171= "", "", ('From SvanPC++'!A1171))</f>
        <v/>
      </c>
      <c r="B1181" s="36"/>
      <c r="C1181" s="36"/>
      <c r="D1181" s="36"/>
      <c r="E1181" s="47"/>
      <c r="F1181" s="19"/>
      <c r="I1181" s="36"/>
      <c r="S1181" s="36"/>
      <c r="T1181" s="36"/>
    </row>
    <row r="1182" spans="1:20" s="38" customFormat="1" x14ac:dyDescent="0.3">
      <c r="A1182" s="36" t="str">
        <f xml:space="preserve"> IF( 'From SvanPC++'!A1172= "", "", ('From SvanPC++'!A1172))</f>
        <v/>
      </c>
      <c r="B1182" s="36"/>
      <c r="C1182" s="36"/>
      <c r="D1182" s="36"/>
      <c r="E1182" s="47"/>
      <c r="F1182" s="19"/>
      <c r="I1182" s="36"/>
      <c r="S1182" s="36"/>
      <c r="T1182" s="36"/>
    </row>
    <row r="1183" spans="1:20" s="38" customFormat="1" x14ac:dyDescent="0.3">
      <c r="A1183" s="36" t="str">
        <f xml:space="preserve"> IF( 'From SvanPC++'!A1173= "", "", ('From SvanPC++'!A1173))</f>
        <v/>
      </c>
      <c r="B1183" s="36"/>
      <c r="C1183" s="36"/>
      <c r="D1183" s="36"/>
      <c r="E1183" s="47"/>
      <c r="F1183" s="19"/>
      <c r="I1183" s="36"/>
      <c r="S1183" s="36"/>
      <c r="T1183" s="36"/>
    </row>
    <row r="1184" spans="1:20" s="38" customFormat="1" x14ac:dyDescent="0.3">
      <c r="A1184" s="36" t="str">
        <f xml:space="preserve"> IF( 'From SvanPC++'!A1174= "", "", ('From SvanPC++'!A1174))</f>
        <v/>
      </c>
      <c r="B1184" s="36"/>
      <c r="C1184" s="36"/>
      <c r="D1184" s="36"/>
      <c r="E1184" s="47"/>
      <c r="F1184" s="19"/>
      <c r="I1184" s="36"/>
      <c r="S1184" s="36"/>
      <c r="T1184" s="36"/>
    </row>
    <row r="1185" spans="1:20" s="38" customFormat="1" x14ac:dyDescent="0.3">
      <c r="A1185" s="36" t="str">
        <f xml:space="preserve"> IF( 'From SvanPC++'!A1175= "", "", ('From SvanPC++'!A1175))</f>
        <v/>
      </c>
      <c r="B1185" s="36"/>
      <c r="C1185" s="36"/>
      <c r="D1185" s="36"/>
      <c r="E1185" s="47"/>
      <c r="F1185" s="19"/>
      <c r="I1185" s="36"/>
      <c r="S1185" s="36"/>
      <c r="T1185" s="36"/>
    </row>
    <row r="1186" spans="1:20" s="38" customFormat="1" x14ac:dyDescent="0.3">
      <c r="A1186" s="36" t="str">
        <f xml:space="preserve"> IF( 'From SvanPC++'!A1176= "", "", ('From SvanPC++'!A1176))</f>
        <v/>
      </c>
      <c r="B1186" s="36"/>
      <c r="C1186" s="36"/>
      <c r="D1186" s="36"/>
      <c r="E1186" s="47"/>
      <c r="F1186" s="19"/>
      <c r="I1186" s="36"/>
      <c r="S1186" s="36"/>
      <c r="T1186" s="36"/>
    </row>
    <row r="1187" spans="1:20" s="38" customFormat="1" x14ac:dyDescent="0.3">
      <c r="A1187" s="36" t="str">
        <f xml:space="preserve"> IF( 'From SvanPC++'!A1177= "", "", ('From SvanPC++'!A1177))</f>
        <v/>
      </c>
      <c r="B1187" s="36"/>
      <c r="C1187" s="36"/>
      <c r="D1187" s="36"/>
      <c r="E1187" s="47"/>
      <c r="F1187" s="19"/>
      <c r="I1187" s="36"/>
      <c r="S1187" s="36"/>
      <c r="T1187" s="36"/>
    </row>
    <row r="1188" spans="1:20" s="38" customFormat="1" x14ac:dyDescent="0.3">
      <c r="A1188" s="36" t="str">
        <f xml:space="preserve"> IF( 'From SvanPC++'!A1178= "", "", ('From SvanPC++'!A1178))</f>
        <v/>
      </c>
      <c r="B1188" s="36"/>
      <c r="C1188" s="36"/>
      <c r="D1188" s="36"/>
      <c r="E1188" s="47"/>
      <c r="F1188" s="19"/>
      <c r="I1188" s="36"/>
      <c r="S1188" s="36"/>
      <c r="T1188" s="36"/>
    </row>
    <row r="1189" spans="1:20" s="38" customFormat="1" x14ac:dyDescent="0.3">
      <c r="A1189" s="36" t="str">
        <f xml:space="preserve"> IF( 'From SvanPC++'!A1179= "", "", ('From SvanPC++'!A1179))</f>
        <v/>
      </c>
      <c r="B1189" s="36"/>
      <c r="C1189" s="36"/>
      <c r="D1189" s="36"/>
      <c r="E1189" s="47"/>
      <c r="F1189" s="19"/>
      <c r="I1189" s="36"/>
      <c r="S1189" s="36"/>
      <c r="T1189" s="36"/>
    </row>
    <row r="1190" spans="1:20" s="38" customFormat="1" x14ac:dyDescent="0.3">
      <c r="A1190" s="36" t="str">
        <f xml:space="preserve"> IF( 'From SvanPC++'!A1180= "", "", ('From SvanPC++'!A1180))</f>
        <v/>
      </c>
      <c r="B1190" s="36"/>
      <c r="C1190" s="36"/>
      <c r="D1190" s="36"/>
      <c r="E1190" s="47"/>
      <c r="F1190" s="19"/>
      <c r="I1190" s="36"/>
      <c r="S1190" s="36"/>
      <c r="T1190" s="36"/>
    </row>
    <row r="1191" spans="1:20" s="38" customFormat="1" x14ac:dyDescent="0.3">
      <c r="A1191" s="36" t="str">
        <f xml:space="preserve"> IF( 'From SvanPC++'!A1181= "", "", ('From SvanPC++'!A1181))</f>
        <v/>
      </c>
      <c r="B1191" s="36"/>
      <c r="C1191" s="36"/>
      <c r="D1191" s="36"/>
      <c r="E1191" s="47"/>
      <c r="F1191" s="19"/>
      <c r="I1191" s="36"/>
      <c r="S1191" s="36"/>
      <c r="T1191" s="36"/>
    </row>
    <row r="1192" spans="1:20" s="38" customFormat="1" x14ac:dyDescent="0.3">
      <c r="A1192" s="36" t="str">
        <f xml:space="preserve"> IF( 'From SvanPC++'!A1182= "", "", ('From SvanPC++'!A1182))</f>
        <v/>
      </c>
      <c r="B1192" s="36"/>
      <c r="C1192" s="36"/>
      <c r="D1192" s="36"/>
      <c r="E1192" s="47"/>
      <c r="F1192" s="19"/>
      <c r="I1192" s="36"/>
      <c r="S1192" s="36"/>
      <c r="T1192" s="36"/>
    </row>
    <row r="1193" spans="1:20" s="38" customFormat="1" x14ac:dyDescent="0.3">
      <c r="A1193" s="36" t="str">
        <f xml:space="preserve"> IF( 'From SvanPC++'!A1183= "", "", ('From SvanPC++'!A1183))</f>
        <v/>
      </c>
      <c r="B1193" s="36"/>
      <c r="C1193" s="36"/>
      <c r="D1193" s="36"/>
      <c r="E1193" s="47"/>
      <c r="F1193" s="19"/>
      <c r="I1193" s="36"/>
      <c r="S1193" s="36"/>
      <c r="T1193" s="36"/>
    </row>
    <row r="1194" spans="1:20" s="38" customFormat="1" x14ac:dyDescent="0.3">
      <c r="A1194" s="36" t="str">
        <f xml:space="preserve"> IF( 'From SvanPC++'!A1184= "", "", ('From SvanPC++'!A1184))</f>
        <v/>
      </c>
      <c r="B1194" s="36"/>
      <c r="C1194" s="36"/>
      <c r="D1194" s="36"/>
      <c r="E1194" s="47"/>
      <c r="F1194" s="19"/>
      <c r="I1194" s="36"/>
      <c r="S1194" s="36"/>
      <c r="T1194" s="36"/>
    </row>
    <row r="1195" spans="1:20" s="38" customFormat="1" x14ac:dyDescent="0.3">
      <c r="A1195" s="36" t="str">
        <f xml:space="preserve"> IF( 'From SvanPC++'!A1185= "", "", ('From SvanPC++'!A1185))</f>
        <v/>
      </c>
      <c r="B1195" s="36"/>
      <c r="C1195" s="36"/>
      <c r="D1195" s="36"/>
      <c r="E1195" s="47"/>
      <c r="F1195" s="19"/>
      <c r="I1195" s="36"/>
      <c r="S1195" s="36"/>
      <c r="T1195" s="36"/>
    </row>
    <row r="1196" spans="1:20" s="38" customFormat="1" x14ac:dyDescent="0.3">
      <c r="A1196" s="36" t="str">
        <f xml:space="preserve"> IF( 'From SvanPC++'!A1186= "", "", ('From SvanPC++'!A1186))</f>
        <v/>
      </c>
      <c r="B1196" s="36"/>
      <c r="C1196" s="36"/>
      <c r="D1196" s="36"/>
      <c r="E1196" s="47"/>
      <c r="F1196" s="19"/>
      <c r="I1196" s="36"/>
      <c r="S1196" s="36"/>
      <c r="T1196" s="36"/>
    </row>
    <row r="1197" spans="1:20" s="38" customFormat="1" x14ac:dyDescent="0.3">
      <c r="A1197" s="36" t="str">
        <f xml:space="preserve"> IF( 'From SvanPC++'!A1187= "", "", ('From SvanPC++'!A1187))</f>
        <v/>
      </c>
      <c r="B1197" s="36"/>
      <c r="C1197" s="36"/>
      <c r="D1197" s="36"/>
      <c r="E1197" s="47"/>
      <c r="F1197" s="19"/>
      <c r="I1197" s="36"/>
      <c r="S1197" s="36"/>
      <c r="T1197" s="36"/>
    </row>
    <row r="1198" spans="1:20" s="38" customFormat="1" x14ac:dyDescent="0.3">
      <c r="A1198" s="36" t="str">
        <f xml:space="preserve"> IF( 'From SvanPC++'!A1188= "", "", ('From SvanPC++'!A1188))</f>
        <v/>
      </c>
      <c r="B1198" s="36"/>
      <c r="C1198" s="36"/>
      <c r="D1198" s="36"/>
      <c r="E1198" s="47"/>
      <c r="F1198" s="19"/>
      <c r="I1198" s="36"/>
      <c r="S1198" s="36"/>
      <c r="T1198" s="36"/>
    </row>
    <row r="1199" spans="1:20" s="38" customFormat="1" x14ac:dyDescent="0.3">
      <c r="A1199" s="36" t="str">
        <f xml:space="preserve"> IF( 'From SvanPC++'!A1189= "", "", ('From SvanPC++'!A1189))</f>
        <v/>
      </c>
      <c r="B1199" s="36"/>
      <c r="C1199" s="36"/>
      <c r="D1199" s="36"/>
      <c r="E1199" s="47"/>
      <c r="F1199" s="19"/>
      <c r="I1199" s="36"/>
      <c r="S1199" s="36"/>
      <c r="T1199" s="36"/>
    </row>
    <row r="1200" spans="1:20" s="38" customFormat="1" x14ac:dyDescent="0.3">
      <c r="A1200" s="36" t="str">
        <f xml:space="preserve"> IF( 'From SvanPC++'!A1190= "", "", ('From SvanPC++'!A1190))</f>
        <v/>
      </c>
      <c r="B1200" s="36"/>
      <c r="C1200" s="36"/>
      <c r="D1200" s="36"/>
      <c r="E1200" s="47"/>
      <c r="F1200" s="19"/>
      <c r="I1200" s="36"/>
      <c r="S1200" s="36"/>
      <c r="T1200" s="36"/>
    </row>
    <row r="1201" spans="1:20" s="38" customFormat="1" x14ac:dyDescent="0.3">
      <c r="A1201" s="36" t="str">
        <f xml:space="preserve"> IF( 'From SvanPC++'!A1191= "", "", ('From SvanPC++'!A1191))</f>
        <v/>
      </c>
      <c r="B1201" s="36"/>
      <c r="C1201" s="36"/>
      <c r="D1201" s="36"/>
      <c r="E1201" s="47"/>
      <c r="F1201" s="19"/>
      <c r="I1201" s="36"/>
      <c r="S1201" s="36"/>
      <c r="T1201" s="36"/>
    </row>
    <row r="1202" spans="1:20" s="38" customFormat="1" x14ac:dyDescent="0.3">
      <c r="A1202" s="36" t="str">
        <f xml:space="preserve"> IF( 'From SvanPC++'!A1192= "", "", ('From SvanPC++'!A1192))</f>
        <v/>
      </c>
      <c r="B1202" s="36"/>
      <c r="C1202" s="36"/>
      <c r="D1202" s="36"/>
      <c r="E1202" s="47"/>
      <c r="F1202" s="19"/>
      <c r="I1202" s="36"/>
      <c r="S1202" s="36"/>
      <c r="T1202" s="36"/>
    </row>
    <row r="1203" spans="1:20" s="38" customFormat="1" x14ac:dyDescent="0.3">
      <c r="A1203" s="36" t="str">
        <f xml:space="preserve"> IF( 'From SvanPC++'!A1193= "", "", ('From SvanPC++'!A1193))</f>
        <v/>
      </c>
      <c r="B1203" s="36"/>
      <c r="C1203" s="36"/>
      <c r="D1203" s="36"/>
      <c r="E1203" s="47"/>
      <c r="F1203" s="19"/>
      <c r="I1203" s="36"/>
      <c r="S1203" s="36"/>
      <c r="T1203" s="36"/>
    </row>
    <row r="1204" spans="1:20" s="38" customFormat="1" x14ac:dyDescent="0.3">
      <c r="A1204" s="36" t="str">
        <f xml:space="preserve"> IF( 'From SvanPC++'!A1194= "", "", ('From SvanPC++'!A1194))</f>
        <v/>
      </c>
      <c r="B1204" s="36"/>
      <c r="C1204" s="36"/>
      <c r="D1204" s="36"/>
      <c r="E1204" s="47"/>
      <c r="F1204" s="19"/>
      <c r="I1204" s="36"/>
      <c r="S1204" s="36"/>
      <c r="T1204" s="36"/>
    </row>
    <row r="1205" spans="1:20" s="38" customFormat="1" x14ac:dyDescent="0.3">
      <c r="A1205" s="36" t="str">
        <f xml:space="preserve"> IF( 'From SvanPC++'!A1195= "", "", ('From SvanPC++'!A1195))</f>
        <v/>
      </c>
      <c r="B1205" s="36"/>
      <c r="C1205" s="36"/>
      <c r="D1205" s="36"/>
      <c r="E1205" s="47"/>
      <c r="F1205" s="19"/>
      <c r="I1205" s="36"/>
      <c r="S1205" s="36"/>
      <c r="T1205" s="36"/>
    </row>
    <row r="1206" spans="1:20" s="38" customFormat="1" x14ac:dyDescent="0.3">
      <c r="A1206" s="36" t="str">
        <f xml:space="preserve"> IF( 'From SvanPC++'!A1196= "", "", ('From SvanPC++'!A1196))</f>
        <v/>
      </c>
      <c r="B1206" s="36"/>
      <c r="C1206" s="36"/>
      <c r="D1206" s="36"/>
      <c r="E1206" s="47"/>
      <c r="F1206" s="19"/>
      <c r="I1206" s="36"/>
      <c r="S1206" s="36"/>
      <c r="T1206" s="36"/>
    </row>
    <row r="1207" spans="1:20" s="38" customFormat="1" x14ac:dyDescent="0.3">
      <c r="A1207" s="36" t="str">
        <f xml:space="preserve"> IF( 'From SvanPC++'!A1197= "", "", ('From SvanPC++'!A1197))</f>
        <v/>
      </c>
      <c r="B1207" s="36"/>
      <c r="C1207" s="36"/>
      <c r="D1207" s="36"/>
      <c r="E1207" s="47"/>
      <c r="F1207" s="19"/>
      <c r="I1207" s="36"/>
      <c r="S1207" s="36"/>
      <c r="T1207" s="36"/>
    </row>
    <row r="1208" spans="1:20" s="38" customFormat="1" x14ac:dyDescent="0.3">
      <c r="A1208" s="36" t="str">
        <f xml:space="preserve"> IF( 'From SvanPC++'!A1198= "", "", ('From SvanPC++'!A1198))</f>
        <v/>
      </c>
      <c r="B1208" s="36"/>
      <c r="C1208" s="36"/>
      <c r="D1208" s="36"/>
      <c r="E1208" s="47"/>
      <c r="F1208" s="19"/>
      <c r="I1208" s="36"/>
      <c r="S1208" s="36"/>
      <c r="T1208" s="36"/>
    </row>
    <row r="1209" spans="1:20" s="38" customFormat="1" x14ac:dyDescent="0.3">
      <c r="A1209" s="36" t="str">
        <f xml:space="preserve"> IF( 'From SvanPC++'!A1199= "", "", ('From SvanPC++'!A1199))</f>
        <v/>
      </c>
      <c r="B1209" s="36"/>
      <c r="C1209" s="36"/>
      <c r="D1209" s="36"/>
      <c r="E1209" s="47"/>
      <c r="F1209" s="19"/>
      <c r="I1209" s="36"/>
      <c r="S1209" s="36"/>
      <c r="T1209" s="36"/>
    </row>
    <row r="1210" spans="1:20" s="38" customFormat="1" x14ac:dyDescent="0.3">
      <c r="A1210" s="36" t="str">
        <f xml:space="preserve"> IF( 'From SvanPC++'!A1200= "", "", ('From SvanPC++'!A1200))</f>
        <v/>
      </c>
      <c r="B1210" s="36"/>
      <c r="C1210" s="36"/>
      <c r="D1210" s="36"/>
      <c r="E1210" s="47"/>
      <c r="F1210" s="19"/>
      <c r="I1210" s="36"/>
      <c r="S1210" s="36"/>
      <c r="T1210" s="36"/>
    </row>
    <row r="1211" spans="1:20" s="38" customFormat="1" x14ac:dyDescent="0.3">
      <c r="A1211" s="36" t="str">
        <f xml:space="preserve"> IF( 'From SvanPC++'!A1201= "", "", ('From SvanPC++'!A1201))</f>
        <v/>
      </c>
      <c r="B1211" s="36"/>
      <c r="C1211" s="36"/>
      <c r="D1211" s="36"/>
      <c r="E1211" s="47"/>
      <c r="F1211" s="19"/>
      <c r="I1211" s="36"/>
      <c r="S1211" s="36"/>
      <c r="T1211" s="36"/>
    </row>
    <row r="1212" spans="1:20" s="38" customFormat="1" x14ac:dyDescent="0.3">
      <c r="A1212" s="36" t="str">
        <f xml:space="preserve"> IF( 'From SvanPC++'!A1202= "", "", ('From SvanPC++'!A1202))</f>
        <v/>
      </c>
      <c r="B1212" s="36"/>
      <c r="C1212" s="36"/>
      <c r="D1212" s="36"/>
      <c r="E1212" s="47"/>
      <c r="F1212" s="19"/>
      <c r="I1212" s="36"/>
      <c r="S1212" s="36"/>
      <c r="T1212" s="36"/>
    </row>
    <row r="1213" spans="1:20" s="38" customFormat="1" x14ac:dyDescent="0.3">
      <c r="A1213" s="36" t="str">
        <f xml:space="preserve"> IF( 'From SvanPC++'!A1203= "", "", ('From SvanPC++'!A1203))</f>
        <v/>
      </c>
      <c r="B1213" s="36"/>
      <c r="C1213" s="36"/>
      <c r="D1213" s="36"/>
      <c r="E1213" s="47"/>
      <c r="F1213" s="19"/>
      <c r="I1213" s="36"/>
      <c r="S1213" s="36"/>
      <c r="T1213" s="36"/>
    </row>
    <row r="1214" spans="1:20" s="38" customFormat="1" x14ac:dyDescent="0.3">
      <c r="A1214" s="36" t="str">
        <f xml:space="preserve"> IF( 'From SvanPC++'!A1204= "", "", ('From SvanPC++'!A1204))</f>
        <v/>
      </c>
      <c r="B1214" s="36"/>
      <c r="C1214" s="36"/>
      <c r="D1214" s="36"/>
      <c r="E1214" s="47"/>
      <c r="F1214" s="19"/>
      <c r="I1214" s="36"/>
      <c r="S1214" s="36"/>
      <c r="T1214" s="36"/>
    </row>
    <row r="1215" spans="1:20" s="38" customFormat="1" x14ac:dyDescent="0.3">
      <c r="A1215" s="36" t="str">
        <f xml:space="preserve"> IF( 'From SvanPC++'!A1205= "", "", ('From SvanPC++'!A1205))</f>
        <v/>
      </c>
      <c r="B1215" s="36"/>
      <c r="C1215" s="36"/>
      <c r="D1215" s="36"/>
      <c r="E1215" s="47"/>
      <c r="F1215" s="19"/>
      <c r="I1215" s="36"/>
      <c r="S1215" s="36"/>
      <c r="T1215" s="36"/>
    </row>
    <row r="1216" spans="1:20" s="38" customFormat="1" x14ac:dyDescent="0.3">
      <c r="A1216" s="36" t="str">
        <f xml:space="preserve"> IF( 'From SvanPC++'!A1206= "", "", ('From SvanPC++'!A1206))</f>
        <v/>
      </c>
      <c r="B1216" s="36"/>
      <c r="C1216" s="36"/>
      <c r="D1216" s="36"/>
      <c r="E1216" s="47"/>
      <c r="F1216" s="19"/>
      <c r="I1216" s="36"/>
      <c r="S1216" s="36"/>
      <c r="T1216" s="36"/>
    </row>
    <row r="1217" spans="1:20" s="38" customFormat="1" x14ac:dyDescent="0.3">
      <c r="A1217" s="36" t="str">
        <f xml:space="preserve"> IF( 'From SvanPC++'!A1207= "", "", ('From SvanPC++'!A1207))</f>
        <v/>
      </c>
      <c r="B1217" s="36"/>
      <c r="C1217" s="36"/>
      <c r="D1217" s="36"/>
      <c r="E1217" s="47"/>
      <c r="F1217" s="19"/>
      <c r="I1217" s="36"/>
      <c r="S1217" s="36"/>
      <c r="T1217" s="36"/>
    </row>
    <row r="1218" spans="1:20" s="38" customFormat="1" x14ac:dyDescent="0.3">
      <c r="A1218" s="36" t="str">
        <f xml:space="preserve"> IF( 'From SvanPC++'!A1208= "", "", ('From SvanPC++'!A1208))</f>
        <v/>
      </c>
      <c r="B1218" s="36"/>
      <c r="C1218" s="36"/>
      <c r="D1218" s="36"/>
      <c r="E1218" s="47"/>
      <c r="F1218" s="19"/>
      <c r="I1218" s="36"/>
      <c r="S1218" s="36"/>
      <c r="T1218" s="36"/>
    </row>
    <row r="1219" spans="1:20" s="38" customFormat="1" x14ac:dyDescent="0.3">
      <c r="A1219" s="36" t="str">
        <f xml:space="preserve"> IF( 'From SvanPC++'!A1209= "", "", ('From SvanPC++'!A1209))</f>
        <v/>
      </c>
      <c r="B1219" s="36"/>
      <c r="C1219" s="36"/>
      <c r="D1219" s="36"/>
      <c r="E1219" s="47"/>
      <c r="F1219" s="19"/>
      <c r="I1219" s="36"/>
      <c r="S1219" s="36"/>
      <c r="T1219" s="36"/>
    </row>
    <row r="1220" spans="1:20" s="38" customFormat="1" x14ac:dyDescent="0.3">
      <c r="A1220" s="36" t="str">
        <f xml:space="preserve"> IF( 'From SvanPC++'!A1210= "", "", ('From SvanPC++'!A1210))</f>
        <v/>
      </c>
      <c r="B1220" s="36"/>
      <c r="C1220" s="36"/>
      <c r="D1220" s="36"/>
      <c r="E1220" s="47"/>
      <c r="F1220" s="19"/>
      <c r="I1220" s="36"/>
      <c r="S1220" s="36"/>
      <c r="T1220" s="36"/>
    </row>
    <row r="1221" spans="1:20" s="38" customFormat="1" x14ac:dyDescent="0.3">
      <c r="A1221" s="36" t="str">
        <f xml:space="preserve"> IF( 'From SvanPC++'!A1211= "", "", ('From SvanPC++'!A1211))</f>
        <v/>
      </c>
      <c r="B1221" s="36"/>
      <c r="C1221" s="36"/>
      <c r="D1221" s="36"/>
      <c r="E1221" s="47"/>
      <c r="F1221" s="19"/>
      <c r="I1221" s="36"/>
      <c r="S1221" s="36"/>
      <c r="T1221" s="36"/>
    </row>
    <row r="1222" spans="1:20" s="38" customFormat="1" x14ac:dyDescent="0.3">
      <c r="A1222" s="36" t="str">
        <f xml:space="preserve"> IF( 'From SvanPC++'!A1212= "", "", ('From SvanPC++'!A1212))</f>
        <v/>
      </c>
      <c r="B1222" s="36"/>
      <c r="C1222" s="36"/>
      <c r="D1222" s="36"/>
      <c r="E1222" s="47"/>
      <c r="F1222" s="19"/>
      <c r="I1222" s="36"/>
      <c r="S1222" s="36"/>
      <c r="T1222" s="36"/>
    </row>
    <row r="1223" spans="1:20" s="38" customFormat="1" x14ac:dyDescent="0.3">
      <c r="A1223" s="36" t="str">
        <f xml:space="preserve"> IF( 'From SvanPC++'!A1213= "", "", ('From SvanPC++'!A1213))</f>
        <v/>
      </c>
      <c r="B1223" s="36"/>
      <c r="C1223" s="36"/>
      <c r="D1223" s="36"/>
      <c r="E1223" s="47"/>
      <c r="F1223" s="19"/>
      <c r="I1223" s="36"/>
      <c r="S1223" s="36"/>
      <c r="T1223" s="36"/>
    </row>
    <row r="1224" spans="1:20" s="38" customFormat="1" x14ac:dyDescent="0.3">
      <c r="A1224" s="36" t="str">
        <f xml:space="preserve"> IF( 'From SvanPC++'!A1214= "", "", ('From SvanPC++'!A1214))</f>
        <v/>
      </c>
      <c r="B1224" s="36"/>
      <c r="C1224" s="36"/>
      <c r="D1224" s="36"/>
      <c r="E1224" s="47"/>
      <c r="F1224" s="19"/>
      <c r="I1224" s="36"/>
      <c r="S1224" s="36"/>
      <c r="T1224" s="36"/>
    </row>
    <row r="1225" spans="1:20" s="38" customFormat="1" x14ac:dyDescent="0.3">
      <c r="A1225" s="36" t="str">
        <f xml:space="preserve"> IF( 'From SvanPC++'!A1215= "", "", ('From SvanPC++'!A1215))</f>
        <v/>
      </c>
      <c r="B1225" s="36"/>
      <c r="C1225" s="36"/>
      <c r="D1225" s="36"/>
      <c r="E1225" s="47"/>
      <c r="F1225" s="19"/>
      <c r="I1225" s="36"/>
      <c r="S1225" s="36"/>
      <c r="T1225" s="36"/>
    </row>
    <row r="1226" spans="1:20" s="38" customFormat="1" x14ac:dyDescent="0.3">
      <c r="A1226" s="36" t="str">
        <f xml:space="preserve"> IF( 'From SvanPC++'!A1216= "", "", ('From SvanPC++'!A1216))</f>
        <v/>
      </c>
      <c r="B1226" s="36"/>
      <c r="C1226" s="36"/>
      <c r="D1226" s="36"/>
      <c r="E1226" s="47"/>
      <c r="F1226" s="19"/>
      <c r="I1226" s="36"/>
      <c r="S1226" s="36"/>
      <c r="T1226" s="36"/>
    </row>
    <row r="1227" spans="1:20" s="38" customFormat="1" x14ac:dyDescent="0.3">
      <c r="A1227" s="36" t="str">
        <f xml:space="preserve"> IF( 'From SvanPC++'!A1217= "", "", ('From SvanPC++'!A1217))</f>
        <v/>
      </c>
      <c r="B1227" s="36"/>
      <c r="C1227" s="36"/>
      <c r="D1227" s="36"/>
      <c r="E1227" s="47"/>
      <c r="F1227" s="19"/>
      <c r="I1227" s="36"/>
      <c r="S1227" s="36"/>
      <c r="T1227" s="36"/>
    </row>
    <row r="1228" spans="1:20" s="38" customFormat="1" x14ac:dyDescent="0.3">
      <c r="A1228" s="36" t="str">
        <f xml:space="preserve"> IF( 'From SvanPC++'!A1218= "", "", ('From SvanPC++'!A1218))</f>
        <v/>
      </c>
      <c r="B1228" s="36"/>
      <c r="C1228" s="36"/>
      <c r="D1228" s="36"/>
      <c r="E1228" s="47"/>
      <c r="F1228" s="19"/>
      <c r="I1228" s="36"/>
      <c r="S1228" s="36"/>
      <c r="T1228" s="36"/>
    </row>
    <row r="1229" spans="1:20" s="38" customFormat="1" x14ac:dyDescent="0.3">
      <c r="A1229" s="36" t="str">
        <f xml:space="preserve"> IF( 'From SvanPC++'!A1219= "", "", ('From SvanPC++'!A1219))</f>
        <v/>
      </c>
      <c r="B1229" s="36"/>
      <c r="C1229" s="36"/>
      <c r="D1229" s="36"/>
      <c r="E1229" s="47"/>
      <c r="F1229" s="19"/>
      <c r="I1229" s="36"/>
      <c r="S1229" s="36"/>
      <c r="T1229" s="36"/>
    </row>
    <row r="1230" spans="1:20" s="38" customFormat="1" x14ac:dyDescent="0.3">
      <c r="A1230" s="36" t="str">
        <f xml:space="preserve"> IF( 'From SvanPC++'!A1220= "", "", ('From SvanPC++'!A1220))</f>
        <v/>
      </c>
      <c r="B1230" s="36"/>
      <c r="C1230" s="36"/>
      <c r="D1230" s="36"/>
      <c r="E1230" s="47"/>
      <c r="F1230" s="19"/>
      <c r="I1230" s="36"/>
      <c r="S1230" s="36"/>
      <c r="T1230" s="36"/>
    </row>
    <row r="1231" spans="1:20" s="38" customFormat="1" x14ac:dyDescent="0.3">
      <c r="A1231" s="36" t="str">
        <f xml:space="preserve"> IF( 'From SvanPC++'!A1221= "", "", ('From SvanPC++'!A1221))</f>
        <v/>
      </c>
      <c r="B1231" s="36"/>
      <c r="C1231" s="36"/>
      <c r="D1231" s="36"/>
      <c r="E1231" s="47"/>
      <c r="F1231" s="19"/>
      <c r="I1231" s="36"/>
      <c r="S1231" s="36"/>
      <c r="T1231" s="36"/>
    </row>
    <row r="1232" spans="1:20" s="38" customFormat="1" x14ac:dyDescent="0.3">
      <c r="A1232" s="36" t="str">
        <f xml:space="preserve"> IF( 'From SvanPC++'!A1222= "", "", ('From SvanPC++'!A1222))</f>
        <v/>
      </c>
      <c r="B1232" s="36"/>
      <c r="C1232" s="36"/>
      <c r="D1232" s="36"/>
      <c r="E1232" s="47"/>
      <c r="F1232" s="19"/>
      <c r="I1232" s="36"/>
      <c r="S1232" s="36"/>
      <c r="T1232" s="36"/>
    </row>
    <row r="1233" spans="1:20" s="38" customFormat="1" x14ac:dyDescent="0.3">
      <c r="A1233" s="36" t="str">
        <f xml:space="preserve"> IF( 'From SvanPC++'!A1223= "", "", ('From SvanPC++'!A1223))</f>
        <v/>
      </c>
      <c r="B1233" s="36"/>
      <c r="C1233" s="36"/>
      <c r="D1233" s="36"/>
      <c r="E1233" s="47"/>
      <c r="F1233" s="19"/>
      <c r="I1233" s="36"/>
      <c r="S1233" s="36"/>
      <c r="T1233" s="36"/>
    </row>
    <row r="1234" spans="1:20" s="38" customFormat="1" x14ac:dyDescent="0.3">
      <c r="A1234" s="36" t="str">
        <f xml:space="preserve"> IF( 'From SvanPC++'!A1224= "", "", ('From SvanPC++'!A1224))</f>
        <v/>
      </c>
      <c r="B1234" s="36"/>
      <c r="C1234" s="36"/>
      <c r="D1234" s="36"/>
      <c r="E1234" s="47"/>
      <c r="F1234" s="19"/>
      <c r="I1234" s="36"/>
      <c r="S1234" s="36"/>
      <c r="T1234" s="36"/>
    </row>
    <row r="1235" spans="1:20" s="38" customFormat="1" x14ac:dyDescent="0.3">
      <c r="A1235" s="36" t="str">
        <f xml:space="preserve"> IF( 'From SvanPC++'!A1225= "", "", ('From SvanPC++'!A1225))</f>
        <v/>
      </c>
      <c r="B1235" s="36"/>
      <c r="C1235" s="36"/>
      <c r="D1235" s="36"/>
      <c r="E1235" s="47"/>
      <c r="F1235" s="19"/>
      <c r="I1235" s="36"/>
      <c r="S1235" s="36"/>
      <c r="T1235" s="36"/>
    </row>
    <row r="1236" spans="1:20" s="38" customFormat="1" x14ac:dyDescent="0.3">
      <c r="A1236" s="36" t="str">
        <f xml:space="preserve"> IF( 'From SvanPC++'!A1226= "", "", ('From SvanPC++'!A1226))</f>
        <v/>
      </c>
      <c r="B1236" s="36"/>
      <c r="C1236" s="36"/>
      <c r="D1236" s="36"/>
      <c r="E1236" s="47"/>
      <c r="F1236" s="19"/>
      <c r="I1236" s="36"/>
      <c r="S1236" s="36"/>
      <c r="T1236" s="36"/>
    </row>
    <row r="1237" spans="1:20" s="38" customFormat="1" x14ac:dyDescent="0.3">
      <c r="A1237" s="36" t="str">
        <f xml:space="preserve"> IF( 'From SvanPC++'!A1227= "", "", ('From SvanPC++'!A1227))</f>
        <v/>
      </c>
      <c r="B1237" s="36"/>
      <c r="C1237" s="36"/>
      <c r="D1237" s="36"/>
      <c r="E1237" s="47"/>
      <c r="F1237" s="19"/>
      <c r="I1237" s="36"/>
      <c r="S1237" s="36"/>
      <c r="T1237" s="36"/>
    </row>
    <row r="1238" spans="1:20" s="38" customFormat="1" x14ac:dyDescent="0.3">
      <c r="A1238" s="36" t="str">
        <f xml:space="preserve"> IF( 'From SvanPC++'!A1228= "", "", ('From SvanPC++'!A1228))</f>
        <v/>
      </c>
      <c r="B1238" s="36"/>
      <c r="C1238" s="36"/>
      <c r="D1238" s="36"/>
      <c r="E1238" s="47"/>
      <c r="F1238" s="19"/>
      <c r="I1238" s="36"/>
      <c r="S1238" s="36"/>
      <c r="T1238" s="36"/>
    </row>
    <row r="1239" spans="1:20" s="38" customFormat="1" x14ac:dyDescent="0.3">
      <c r="A1239" s="36" t="str">
        <f xml:space="preserve"> IF( 'From SvanPC++'!A1229= "", "", ('From SvanPC++'!A1229))</f>
        <v/>
      </c>
      <c r="B1239" s="36"/>
      <c r="C1239" s="36"/>
      <c r="D1239" s="36"/>
      <c r="E1239" s="47"/>
      <c r="F1239" s="19"/>
      <c r="I1239" s="36"/>
      <c r="S1239" s="36"/>
      <c r="T1239" s="36"/>
    </row>
    <row r="1240" spans="1:20" s="38" customFormat="1" x14ac:dyDescent="0.3">
      <c r="A1240" s="36" t="str">
        <f xml:space="preserve"> IF( 'From SvanPC++'!A1230= "", "", ('From SvanPC++'!A1230))</f>
        <v/>
      </c>
      <c r="B1240" s="36"/>
      <c r="C1240" s="36"/>
      <c r="D1240" s="36"/>
      <c r="E1240" s="47"/>
      <c r="F1240" s="19"/>
      <c r="I1240" s="36"/>
      <c r="S1240" s="36"/>
      <c r="T1240" s="36"/>
    </row>
    <row r="1241" spans="1:20" s="38" customFormat="1" x14ac:dyDescent="0.3">
      <c r="A1241" s="36" t="str">
        <f xml:space="preserve"> IF( 'From SvanPC++'!A1231= "", "", ('From SvanPC++'!A1231))</f>
        <v/>
      </c>
      <c r="B1241" s="36"/>
      <c r="C1241" s="36"/>
      <c r="D1241" s="36"/>
      <c r="E1241" s="47"/>
      <c r="F1241" s="19"/>
      <c r="I1241" s="36"/>
      <c r="S1241" s="36"/>
      <c r="T1241" s="36"/>
    </row>
    <row r="1242" spans="1:20" s="38" customFormat="1" x14ac:dyDescent="0.3">
      <c r="A1242" s="36" t="str">
        <f xml:space="preserve"> IF( 'From SvanPC++'!A1232= "", "", ('From SvanPC++'!A1232))</f>
        <v/>
      </c>
      <c r="B1242" s="36"/>
      <c r="C1242" s="36"/>
      <c r="D1242" s="36"/>
      <c r="E1242" s="47"/>
      <c r="F1242" s="19"/>
      <c r="I1242" s="36"/>
      <c r="S1242" s="36"/>
      <c r="T1242" s="36"/>
    </row>
    <row r="1243" spans="1:20" s="38" customFormat="1" x14ac:dyDescent="0.3">
      <c r="A1243" s="36" t="str">
        <f xml:space="preserve"> IF( 'From SvanPC++'!A1233= "", "", ('From SvanPC++'!A1233))</f>
        <v/>
      </c>
      <c r="B1243" s="36"/>
      <c r="C1243" s="36"/>
      <c r="D1243" s="36"/>
      <c r="E1243" s="47"/>
      <c r="F1243" s="19"/>
      <c r="I1243" s="36"/>
      <c r="S1243" s="36"/>
      <c r="T1243" s="36"/>
    </row>
    <row r="1244" spans="1:20" s="38" customFormat="1" x14ac:dyDescent="0.3">
      <c r="A1244" s="36" t="str">
        <f xml:space="preserve"> IF( 'From SvanPC++'!A1234= "", "", ('From SvanPC++'!A1234))</f>
        <v/>
      </c>
      <c r="B1244" s="36"/>
      <c r="C1244" s="36"/>
      <c r="D1244" s="36"/>
      <c r="E1244" s="47"/>
      <c r="F1244" s="19"/>
      <c r="I1244" s="36"/>
      <c r="S1244" s="36"/>
      <c r="T1244" s="36"/>
    </row>
    <row r="1245" spans="1:20" s="38" customFormat="1" x14ac:dyDescent="0.3">
      <c r="A1245" s="36" t="str">
        <f xml:space="preserve"> IF( 'From SvanPC++'!A1235= "", "", ('From SvanPC++'!A1235))</f>
        <v/>
      </c>
      <c r="B1245" s="36"/>
      <c r="C1245" s="36"/>
      <c r="D1245" s="36"/>
      <c r="E1245" s="47"/>
      <c r="F1245" s="19"/>
      <c r="I1245" s="36"/>
      <c r="S1245" s="36"/>
      <c r="T1245" s="36"/>
    </row>
    <row r="1246" spans="1:20" s="38" customFormat="1" x14ac:dyDescent="0.3">
      <c r="A1246" s="36" t="str">
        <f xml:space="preserve"> IF( 'From SvanPC++'!A1236= "", "", ('From SvanPC++'!A1236))</f>
        <v/>
      </c>
      <c r="B1246" s="36"/>
      <c r="C1246" s="36"/>
      <c r="D1246" s="36"/>
      <c r="E1246" s="47"/>
      <c r="F1246" s="19"/>
      <c r="I1246" s="36"/>
      <c r="S1246" s="36"/>
      <c r="T1246" s="36"/>
    </row>
    <row r="1247" spans="1:20" s="38" customFormat="1" x14ac:dyDescent="0.3">
      <c r="A1247" s="36" t="str">
        <f xml:space="preserve"> IF( 'From SvanPC++'!A1237= "", "", ('From SvanPC++'!A1237))</f>
        <v/>
      </c>
      <c r="B1247" s="36"/>
      <c r="C1247" s="36"/>
      <c r="D1247" s="36"/>
      <c r="E1247" s="47"/>
      <c r="F1247" s="19"/>
      <c r="I1247" s="36"/>
      <c r="S1247" s="36"/>
      <c r="T1247" s="36"/>
    </row>
    <row r="1248" spans="1:20" s="38" customFormat="1" x14ac:dyDescent="0.3">
      <c r="A1248" s="36" t="str">
        <f xml:space="preserve"> IF( 'From SvanPC++'!A1238= "", "", ('From SvanPC++'!A1238))</f>
        <v/>
      </c>
      <c r="B1248" s="36"/>
      <c r="C1248" s="36"/>
      <c r="D1248" s="36"/>
      <c r="E1248" s="47"/>
      <c r="F1248" s="19"/>
      <c r="I1248" s="36"/>
      <c r="S1248" s="36"/>
      <c r="T1248" s="36"/>
    </row>
    <row r="1249" spans="1:20" s="38" customFormat="1" x14ac:dyDescent="0.3">
      <c r="A1249" s="36" t="str">
        <f xml:space="preserve"> IF( 'From SvanPC++'!A1239= "", "", ('From SvanPC++'!A1239))</f>
        <v/>
      </c>
      <c r="B1249" s="36"/>
      <c r="C1249" s="36"/>
      <c r="D1249" s="36"/>
      <c r="E1249" s="47"/>
      <c r="F1249" s="19"/>
      <c r="I1249" s="36"/>
      <c r="S1249" s="36"/>
      <c r="T1249" s="36"/>
    </row>
    <row r="1250" spans="1:20" s="38" customFormat="1" x14ac:dyDescent="0.3">
      <c r="A1250" s="36" t="str">
        <f xml:space="preserve"> IF( 'From SvanPC++'!A1240= "", "", ('From SvanPC++'!A1240))</f>
        <v/>
      </c>
      <c r="B1250" s="36"/>
      <c r="C1250" s="36"/>
      <c r="D1250" s="36"/>
      <c r="E1250" s="47"/>
      <c r="F1250" s="19"/>
      <c r="I1250" s="36"/>
      <c r="S1250" s="36"/>
      <c r="T1250" s="36"/>
    </row>
    <row r="1251" spans="1:20" s="38" customFormat="1" x14ac:dyDescent="0.3">
      <c r="A1251" s="36" t="str">
        <f xml:space="preserve"> IF( 'From SvanPC++'!A1241= "", "", ('From SvanPC++'!A1241))</f>
        <v/>
      </c>
      <c r="B1251" s="36"/>
      <c r="C1251" s="36"/>
      <c r="D1251" s="36"/>
      <c r="E1251" s="47"/>
      <c r="F1251" s="19"/>
      <c r="I1251" s="36"/>
      <c r="S1251" s="36"/>
      <c r="T1251" s="36"/>
    </row>
    <row r="1252" spans="1:20" s="38" customFormat="1" x14ac:dyDescent="0.3">
      <c r="A1252" s="36" t="str">
        <f xml:space="preserve"> IF( 'From SvanPC++'!A1242= "", "", ('From SvanPC++'!A1242))</f>
        <v/>
      </c>
      <c r="B1252" s="36"/>
      <c r="C1252" s="36"/>
      <c r="D1252" s="36"/>
      <c r="E1252" s="47"/>
      <c r="F1252" s="19"/>
      <c r="I1252" s="36"/>
      <c r="S1252" s="36"/>
      <c r="T1252" s="36"/>
    </row>
    <row r="1253" spans="1:20" s="38" customFormat="1" x14ac:dyDescent="0.3">
      <c r="A1253" s="36" t="str">
        <f xml:space="preserve"> IF( 'From SvanPC++'!A1243= "", "", ('From SvanPC++'!A1243))</f>
        <v/>
      </c>
      <c r="B1253" s="36"/>
      <c r="C1253" s="36"/>
      <c r="D1253" s="36"/>
      <c r="E1253" s="47"/>
      <c r="F1253" s="19"/>
      <c r="I1253" s="36"/>
      <c r="S1253" s="36"/>
      <c r="T1253" s="36"/>
    </row>
    <row r="1254" spans="1:20" s="38" customFormat="1" x14ac:dyDescent="0.3">
      <c r="A1254" s="36" t="str">
        <f xml:space="preserve"> IF( 'From SvanPC++'!A1244= "", "", ('From SvanPC++'!A1244))</f>
        <v/>
      </c>
      <c r="B1254" s="36"/>
      <c r="C1254" s="36"/>
      <c r="D1254" s="36"/>
      <c r="E1254" s="47"/>
      <c r="F1254" s="19"/>
      <c r="I1254" s="36"/>
      <c r="S1254" s="36"/>
      <c r="T1254" s="36"/>
    </row>
    <row r="1255" spans="1:20" s="38" customFormat="1" x14ac:dyDescent="0.3">
      <c r="A1255" s="36" t="str">
        <f xml:space="preserve"> IF( 'From SvanPC++'!A1245= "", "", ('From SvanPC++'!A1245))</f>
        <v/>
      </c>
      <c r="B1255" s="36"/>
      <c r="C1255" s="36"/>
      <c r="D1255" s="36"/>
      <c r="E1255" s="47"/>
      <c r="F1255" s="19"/>
      <c r="I1255" s="36"/>
      <c r="S1255" s="36"/>
      <c r="T1255" s="36"/>
    </row>
    <row r="1256" spans="1:20" s="38" customFormat="1" x14ac:dyDescent="0.3">
      <c r="A1256" s="36" t="str">
        <f xml:space="preserve"> IF( 'From SvanPC++'!A1246= "", "", ('From SvanPC++'!A1246))</f>
        <v/>
      </c>
      <c r="B1256" s="36"/>
      <c r="C1256" s="36"/>
      <c r="D1256" s="36"/>
      <c r="E1256" s="47"/>
      <c r="F1256" s="19"/>
      <c r="I1256" s="36"/>
      <c r="S1256" s="36"/>
      <c r="T1256" s="36"/>
    </row>
    <row r="1257" spans="1:20" s="38" customFormat="1" x14ac:dyDescent="0.3">
      <c r="A1257" s="36" t="str">
        <f xml:space="preserve"> IF( 'From SvanPC++'!A1247= "", "", ('From SvanPC++'!A1247))</f>
        <v/>
      </c>
      <c r="B1257" s="36"/>
      <c r="C1257" s="36"/>
      <c r="D1257" s="36"/>
      <c r="E1257" s="47"/>
      <c r="F1257" s="19"/>
      <c r="I1257" s="36"/>
      <c r="S1257" s="36"/>
      <c r="T1257" s="36"/>
    </row>
    <row r="1258" spans="1:20" s="38" customFormat="1" x14ac:dyDescent="0.3">
      <c r="A1258" s="36" t="str">
        <f xml:space="preserve"> IF( 'From SvanPC++'!A1248= "", "", ('From SvanPC++'!A1248))</f>
        <v/>
      </c>
      <c r="B1258" s="36"/>
      <c r="C1258" s="36"/>
      <c r="D1258" s="36"/>
      <c r="E1258" s="47"/>
      <c r="F1258" s="19"/>
      <c r="I1258" s="36"/>
      <c r="S1258" s="36"/>
      <c r="T1258" s="36"/>
    </row>
    <row r="1259" spans="1:20" s="38" customFormat="1" x14ac:dyDescent="0.3">
      <c r="A1259" s="36" t="str">
        <f xml:space="preserve"> IF( 'From SvanPC++'!A1249= "", "", ('From SvanPC++'!A1249))</f>
        <v/>
      </c>
      <c r="B1259" s="36"/>
      <c r="C1259" s="36"/>
      <c r="D1259" s="36"/>
      <c r="E1259" s="47"/>
      <c r="F1259" s="19"/>
      <c r="I1259" s="36"/>
      <c r="S1259" s="36"/>
      <c r="T1259" s="36"/>
    </row>
    <row r="1260" spans="1:20" s="38" customFormat="1" x14ac:dyDescent="0.3">
      <c r="A1260" s="36" t="str">
        <f xml:space="preserve"> IF( 'From SvanPC++'!A1250= "", "", ('From SvanPC++'!A1250))</f>
        <v/>
      </c>
      <c r="B1260" s="36"/>
      <c r="C1260" s="36"/>
      <c r="D1260" s="36"/>
      <c r="E1260" s="47"/>
      <c r="F1260" s="19"/>
      <c r="I1260" s="36"/>
      <c r="S1260" s="36"/>
      <c r="T1260" s="36"/>
    </row>
    <row r="1261" spans="1:20" s="38" customFormat="1" x14ac:dyDescent="0.3">
      <c r="A1261" s="36" t="str">
        <f xml:space="preserve"> IF( 'From SvanPC++'!A1251= "", "", ('From SvanPC++'!A1251))</f>
        <v/>
      </c>
      <c r="B1261" s="36"/>
      <c r="C1261" s="36"/>
      <c r="D1261" s="36"/>
      <c r="E1261" s="47"/>
      <c r="F1261" s="19"/>
      <c r="I1261" s="36"/>
      <c r="S1261" s="36"/>
      <c r="T1261" s="36"/>
    </row>
    <row r="1262" spans="1:20" s="38" customFormat="1" x14ac:dyDescent="0.3">
      <c r="A1262" s="36" t="str">
        <f xml:space="preserve"> IF( 'From SvanPC++'!A1252= "", "", ('From SvanPC++'!A1252))</f>
        <v/>
      </c>
      <c r="B1262" s="36"/>
      <c r="C1262" s="36"/>
      <c r="D1262" s="36"/>
      <c r="E1262" s="47"/>
      <c r="F1262" s="19"/>
      <c r="I1262" s="36"/>
      <c r="S1262" s="36"/>
      <c r="T1262" s="36"/>
    </row>
    <row r="1263" spans="1:20" s="38" customFormat="1" x14ac:dyDescent="0.3">
      <c r="A1263" s="36" t="str">
        <f xml:space="preserve"> IF( 'From SvanPC++'!A1253= "", "", ('From SvanPC++'!A1253))</f>
        <v/>
      </c>
      <c r="B1263" s="36"/>
      <c r="C1263" s="36"/>
      <c r="D1263" s="36"/>
      <c r="E1263" s="47"/>
      <c r="F1263" s="19"/>
      <c r="I1263" s="36"/>
      <c r="S1263" s="36"/>
      <c r="T1263" s="36"/>
    </row>
    <row r="1264" spans="1:20" s="38" customFormat="1" x14ac:dyDescent="0.3">
      <c r="A1264" s="36" t="str">
        <f xml:space="preserve"> IF( 'From SvanPC++'!A1254= "", "", ('From SvanPC++'!A1254))</f>
        <v/>
      </c>
      <c r="B1264" s="36"/>
      <c r="C1264" s="36"/>
      <c r="D1264" s="36"/>
      <c r="E1264" s="47"/>
      <c r="F1264" s="19"/>
      <c r="I1264" s="36"/>
      <c r="S1264" s="36"/>
      <c r="T1264" s="36"/>
    </row>
    <row r="1265" spans="1:20" s="38" customFormat="1" x14ac:dyDescent="0.3">
      <c r="A1265" s="36" t="str">
        <f xml:space="preserve"> IF( 'From SvanPC++'!A1255= "", "", ('From SvanPC++'!A1255))</f>
        <v/>
      </c>
      <c r="B1265" s="36"/>
      <c r="C1265" s="36"/>
      <c r="D1265" s="36"/>
      <c r="E1265" s="47"/>
      <c r="F1265" s="19"/>
      <c r="I1265" s="36"/>
      <c r="S1265" s="36"/>
      <c r="T1265" s="36"/>
    </row>
    <row r="1266" spans="1:20" s="38" customFormat="1" x14ac:dyDescent="0.3">
      <c r="A1266" s="36" t="str">
        <f xml:space="preserve"> IF( 'From SvanPC++'!A1256= "", "", ('From SvanPC++'!A1256))</f>
        <v/>
      </c>
      <c r="B1266" s="36"/>
      <c r="C1266" s="36"/>
      <c r="D1266" s="36"/>
      <c r="E1266" s="47"/>
      <c r="F1266" s="19"/>
      <c r="I1266" s="36"/>
      <c r="S1266" s="36"/>
      <c r="T1266" s="36"/>
    </row>
    <row r="1267" spans="1:20" s="38" customFormat="1" x14ac:dyDescent="0.3">
      <c r="A1267" s="36" t="str">
        <f xml:space="preserve"> IF( 'From SvanPC++'!A1257= "", "", ('From SvanPC++'!A1257))</f>
        <v/>
      </c>
      <c r="B1267" s="36"/>
      <c r="C1267" s="36"/>
      <c r="D1267" s="36"/>
      <c r="E1267" s="47"/>
      <c r="F1267" s="19"/>
      <c r="I1267" s="36"/>
      <c r="S1267" s="36"/>
      <c r="T1267" s="36"/>
    </row>
    <row r="1268" spans="1:20" s="38" customFormat="1" x14ac:dyDescent="0.3">
      <c r="A1268" s="36" t="str">
        <f xml:space="preserve"> IF( 'From SvanPC++'!A1258= "", "", ('From SvanPC++'!A1258))</f>
        <v/>
      </c>
      <c r="B1268" s="36"/>
      <c r="C1268" s="36"/>
      <c r="D1268" s="36"/>
      <c r="E1268" s="47"/>
      <c r="F1268" s="19"/>
      <c r="I1268" s="36"/>
      <c r="S1268" s="36"/>
      <c r="T1268" s="36"/>
    </row>
    <row r="1269" spans="1:20" s="38" customFormat="1" x14ac:dyDescent="0.3">
      <c r="A1269" s="36" t="str">
        <f xml:space="preserve"> IF( 'From SvanPC++'!A1259= "", "", ('From SvanPC++'!A1259))</f>
        <v/>
      </c>
      <c r="B1269" s="36"/>
      <c r="C1269" s="36"/>
      <c r="D1269" s="36"/>
      <c r="E1269" s="47"/>
      <c r="F1269" s="19"/>
      <c r="I1269" s="36"/>
      <c r="S1269" s="36"/>
      <c r="T1269" s="36"/>
    </row>
    <row r="1270" spans="1:20" s="38" customFormat="1" x14ac:dyDescent="0.3">
      <c r="A1270" s="36" t="str">
        <f xml:space="preserve"> IF( 'From SvanPC++'!A1260= "", "", ('From SvanPC++'!A1260))</f>
        <v/>
      </c>
      <c r="B1270" s="36"/>
      <c r="C1270" s="36"/>
      <c r="D1270" s="36"/>
      <c r="E1270" s="47"/>
      <c r="F1270" s="19"/>
      <c r="I1270" s="36"/>
      <c r="S1270" s="36"/>
      <c r="T1270" s="36"/>
    </row>
    <row r="1271" spans="1:20" s="38" customFormat="1" x14ac:dyDescent="0.3">
      <c r="A1271" s="36" t="str">
        <f xml:space="preserve"> IF( 'From SvanPC++'!A1261= "", "", ('From SvanPC++'!A1261))</f>
        <v/>
      </c>
      <c r="B1271" s="36"/>
      <c r="C1271" s="36"/>
      <c r="D1271" s="36"/>
      <c r="E1271" s="47"/>
      <c r="F1271" s="19"/>
      <c r="I1271" s="36"/>
      <c r="S1271" s="36"/>
      <c r="T1271" s="36"/>
    </row>
    <row r="1272" spans="1:20" s="38" customFormat="1" x14ac:dyDescent="0.3">
      <c r="A1272" s="36" t="str">
        <f xml:space="preserve"> IF( 'From SvanPC++'!A1262= "", "", ('From SvanPC++'!A1262))</f>
        <v/>
      </c>
      <c r="B1272" s="36"/>
      <c r="C1272" s="36"/>
      <c r="D1272" s="36"/>
      <c r="E1272" s="47"/>
      <c r="F1272" s="19"/>
      <c r="I1272" s="36"/>
      <c r="S1272" s="36"/>
      <c r="T1272" s="36"/>
    </row>
    <row r="1273" spans="1:20" s="38" customFormat="1" x14ac:dyDescent="0.3">
      <c r="A1273" s="36" t="str">
        <f xml:space="preserve"> IF( 'From SvanPC++'!A1263= "", "", ('From SvanPC++'!A1263))</f>
        <v/>
      </c>
      <c r="B1273" s="36"/>
      <c r="C1273" s="36"/>
      <c r="D1273" s="36"/>
      <c r="E1273" s="47"/>
      <c r="F1273" s="19"/>
      <c r="I1273" s="36"/>
      <c r="S1273" s="36"/>
      <c r="T1273" s="36"/>
    </row>
    <row r="1274" spans="1:20" s="38" customFormat="1" x14ac:dyDescent="0.3">
      <c r="A1274" s="36" t="str">
        <f xml:space="preserve"> IF( 'From SvanPC++'!A1264= "", "", ('From SvanPC++'!A1264))</f>
        <v/>
      </c>
      <c r="B1274" s="36"/>
      <c r="C1274" s="36"/>
      <c r="D1274" s="36"/>
      <c r="E1274" s="47"/>
      <c r="F1274" s="19"/>
      <c r="I1274" s="36"/>
      <c r="S1274" s="36"/>
      <c r="T1274" s="36"/>
    </row>
    <row r="1275" spans="1:20" s="38" customFormat="1" x14ac:dyDescent="0.3">
      <c r="A1275" s="36" t="str">
        <f xml:space="preserve"> IF( 'From SvanPC++'!A1265= "", "", ('From SvanPC++'!A1265))</f>
        <v/>
      </c>
      <c r="B1275" s="36"/>
      <c r="C1275" s="36"/>
      <c r="D1275" s="36"/>
      <c r="E1275" s="47"/>
      <c r="F1275" s="19"/>
      <c r="I1275" s="36"/>
      <c r="S1275" s="36"/>
      <c r="T1275" s="36"/>
    </row>
    <row r="1276" spans="1:20" s="38" customFormat="1" x14ac:dyDescent="0.3">
      <c r="A1276" s="36" t="str">
        <f xml:space="preserve"> IF( 'From SvanPC++'!A1266= "", "", ('From SvanPC++'!A1266))</f>
        <v/>
      </c>
      <c r="B1276" s="36"/>
      <c r="C1276" s="36"/>
      <c r="D1276" s="36"/>
      <c r="E1276" s="47"/>
      <c r="F1276" s="19"/>
      <c r="I1276" s="36"/>
      <c r="S1276" s="36"/>
      <c r="T1276" s="36"/>
    </row>
    <row r="1277" spans="1:20" s="38" customFormat="1" x14ac:dyDescent="0.3">
      <c r="A1277" s="36" t="str">
        <f xml:space="preserve"> IF( 'From SvanPC++'!A1267= "", "", ('From SvanPC++'!A1267))</f>
        <v/>
      </c>
      <c r="B1277" s="36"/>
      <c r="C1277" s="36"/>
      <c r="D1277" s="36"/>
      <c r="E1277" s="47"/>
      <c r="F1277" s="19"/>
      <c r="I1277" s="36"/>
      <c r="S1277" s="36"/>
      <c r="T1277" s="36"/>
    </row>
    <row r="1278" spans="1:20" s="38" customFormat="1" x14ac:dyDescent="0.3">
      <c r="A1278" s="36" t="str">
        <f xml:space="preserve"> IF( 'From SvanPC++'!A1268= "", "", ('From SvanPC++'!A1268))</f>
        <v/>
      </c>
      <c r="B1278" s="36"/>
      <c r="C1278" s="36"/>
      <c r="D1278" s="36"/>
      <c r="E1278" s="47"/>
      <c r="F1278" s="19"/>
      <c r="I1278" s="36"/>
      <c r="S1278" s="36"/>
      <c r="T1278" s="36"/>
    </row>
    <row r="1279" spans="1:20" s="38" customFormat="1" x14ac:dyDescent="0.3">
      <c r="A1279" s="36" t="str">
        <f xml:space="preserve"> IF( 'From SvanPC++'!A1269= "", "", ('From SvanPC++'!A1269))</f>
        <v/>
      </c>
      <c r="B1279" s="36"/>
      <c r="C1279" s="36"/>
      <c r="D1279" s="36"/>
      <c r="E1279" s="47"/>
      <c r="F1279" s="19"/>
      <c r="I1279" s="36"/>
      <c r="S1279" s="36"/>
      <c r="T1279" s="36"/>
    </row>
    <row r="1280" spans="1:20" s="38" customFormat="1" x14ac:dyDescent="0.3">
      <c r="A1280" s="36" t="str">
        <f xml:space="preserve"> IF( 'From SvanPC++'!A1270= "", "", ('From SvanPC++'!A1270))</f>
        <v/>
      </c>
      <c r="B1280" s="36"/>
      <c r="C1280" s="36"/>
      <c r="D1280" s="36"/>
      <c r="E1280" s="47"/>
      <c r="F1280" s="19"/>
      <c r="I1280" s="36"/>
      <c r="S1280" s="36"/>
      <c r="T1280" s="36"/>
    </row>
    <row r="1281" spans="1:20" s="38" customFormat="1" x14ac:dyDescent="0.3">
      <c r="A1281" s="36" t="str">
        <f xml:space="preserve"> IF( 'From SvanPC++'!A1271= "", "", ('From SvanPC++'!A1271))</f>
        <v/>
      </c>
      <c r="B1281" s="36"/>
      <c r="C1281" s="36"/>
      <c r="D1281" s="36"/>
      <c r="E1281" s="47"/>
      <c r="F1281" s="19"/>
      <c r="I1281" s="36"/>
      <c r="S1281" s="36"/>
      <c r="T1281" s="36"/>
    </row>
    <row r="1282" spans="1:20" s="38" customFormat="1" x14ac:dyDescent="0.3">
      <c r="A1282" s="36" t="str">
        <f xml:space="preserve"> IF( 'From SvanPC++'!A1272= "", "", ('From SvanPC++'!A1272))</f>
        <v/>
      </c>
      <c r="B1282" s="36"/>
      <c r="C1282" s="36"/>
      <c r="D1282" s="36"/>
      <c r="E1282" s="47"/>
      <c r="F1282" s="19"/>
      <c r="I1282" s="36"/>
      <c r="S1282" s="36"/>
      <c r="T1282" s="36"/>
    </row>
    <row r="1283" spans="1:20" s="38" customFormat="1" x14ac:dyDescent="0.3">
      <c r="A1283" s="36" t="str">
        <f xml:space="preserve"> IF( 'From SvanPC++'!A1273= "", "", ('From SvanPC++'!A1273))</f>
        <v/>
      </c>
      <c r="B1283" s="36"/>
      <c r="C1283" s="36"/>
      <c r="D1283" s="36"/>
      <c r="E1283" s="47"/>
      <c r="F1283" s="19"/>
      <c r="I1283" s="36"/>
      <c r="S1283" s="36"/>
      <c r="T1283" s="36"/>
    </row>
    <row r="1284" spans="1:20" s="38" customFormat="1" x14ac:dyDescent="0.3">
      <c r="A1284" s="36" t="str">
        <f xml:space="preserve"> IF( 'From SvanPC++'!A1274= "", "", ('From SvanPC++'!A1274))</f>
        <v/>
      </c>
      <c r="B1284" s="36"/>
      <c r="C1284" s="36"/>
      <c r="D1284" s="36"/>
      <c r="E1284" s="47"/>
      <c r="F1284" s="19"/>
      <c r="I1284" s="36"/>
      <c r="S1284" s="36"/>
      <c r="T1284" s="36"/>
    </row>
    <row r="1285" spans="1:20" s="38" customFormat="1" x14ac:dyDescent="0.3">
      <c r="A1285" s="36" t="str">
        <f xml:space="preserve"> IF( 'From SvanPC++'!A1275= "", "", ('From SvanPC++'!A1275))</f>
        <v/>
      </c>
      <c r="B1285" s="36"/>
      <c r="C1285" s="36"/>
      <c r="D1285" s="36"/>
      <c r="E1285" s="47"/>
      <c r="F1285" s="19"/>
      <c r="I1285" s="36"/>
      <c r="S1285" s="36"/>
      <c r="T1285" s="36"/>
    </row>
    <row r="1286" spans="1:20" s="38" customFormat="1" x14ac:dyDescent="0.3">
      <c r="A1286" s="36" t="str">
        <f xml:space="preserve"> IF( 'From SvanPC++'!A1276= "", "", ('From SvanPC++'!A1276))</f>
        <v/>
      </c>
      <c r="B1286" s="36"/>
      <c r="C1286" s="36"/>
      <c r="D1286" s="36"/>
      <c r="E1286" s="47"/>
      <c r="F1286" s="19"/>
      <c r="I1286" s="36"/>
      <c r="S1286" s="36"/>
      <c r="T1286" s="36"/>
    </row>
    <row r="1287" spans="1:20" s="38" customFormat="1" x14ac:dyDescent="0.3">
      <c r="A1287" s="36" t="str">
        <f xml:space="preserve"> IF( 'From SvanPC++'!A1277= "", "", ('From SvanPC++'!A1277))</f>
        <v/>
      </c>
      <c r="B1287" s="36"/>
      <c r="C1287" s="36"/>
      <c r="D1287" s="36"/>
      <c r="E1287" s="47"/>
      <c r="F1287" s="19"/>
      <c r="I1287" s="36"/>
      <c r="S1287" s="36"/>
      <c r="T1287" s="36"/>
    </row>
    <row r="1288" spans="1:20" s="38" customFormat="1" x14ac:dyDescent="0.3">
      <c r="A1288" s="36" t="str">
        <f xml:space="preserve"> IF( 'From SvanPC++'!A1278= "", "", ('From SvanPC++'!A1278))</f>
        <v/>
      </c>
      <c r="B1288" s="36"/>
      <c r="C1288" s="36"/>
      <c r="D1288" s="36"/>
      <c r="E1288" s="47"/>
      <c r="F1288" s="19"/>
      <c r="I1288" s="36"/>
      <c r="S1288" s="36"/>
      <c r="T1288" s="36"/>
    </row>
    <row r="1289" spans="1:20" s="38" customFormat="1" x14ac:dyDescent="0.3">
      <c r="A1289" s="36" t="str">
        <f xml:space="preserve"> IF( 'From SvanPC++'!A1279= "", "", ('From SvanPC++'!A1279))</f>
        <v/>
      </c>
      <c r="B1289" s="36"/>
      <c r="C1289" s="36"/>
      <c r="D1289" s="36"/>
      <c r="E1289" s="47"/>
      <c r="F1289" s="19"/>
      <c r="I1289" s="36"/>
      <c r="S1289" s="36"/>
      <c r="T1289" s="36"/>
    </row>
    <row r="1290" spans="1:20" s="38" customFormat="1" x14ac:dyDescent="0.3">
      <c r="A1290" s="36" t="str">
        <f xml:space="preserve"> IF( 'From SvanPC++'!A1280= "", "", ('From SvanPC++'!A1280))</f>
        <v/>
      </c>
      <c r="B1290" s="36"/>
      <c r="C1290" s="36"/>
      <c r="D1290" s="36"/>
      <c r="E1290" s="47"/>
      <c r="F1290" s="19"/>
      <c r="I1290" s="36"/>
      <c r="S1290" s="36"/>
      <c r="T1290" s="36"/>
    </row>
    <row r="1291" spans="1:20" s="38" customFormat="1" x14ac:dyDescent="0.3">
      <c r="A1291" s="36" t="str">
        <f xml:space="preserve"> IF( 'From SvanPC++'!A1281= "", "", ('From SvanPC++'!A1281))</f>
        <v/>
      </c>
      <c r="B1291" s="36"/>
      <c r="C1291" s="36"/>
      <c r="D1291" s="36"/>
      <c r="E1291" s="47"/>
      <c r="F1291" s="19"/>
      <c r="I1291" s="36"/>
      <c r="S1291" s="36"/>
      <c r="T1291" s="36"/>
    </row>
    <row r="1292" spans="1:20" s="38" customFormat="1" x14ac:dyDescent="0.3">
      <c r="A1292" s="36" t="str">
        <f xml:space="preserve"> IF( 'From SvanPC++'!A1282= "", "", ('From SvanPC++'!A1282))</f>
        <v/>
      </c>
      <c r="B1292" s="36"/>
      <c r="C1292" s="36"/>
      <c r="D1292" s="36"/>
      <c r="E1292" s="47"/>
      <c r="F1292" s="19"/>
      <c r="I1292" s="36"/>
      <c r="S1292" s="36"/>
      <c r="T1292" s="36"/>
    </row>
    <row r="1293" spans="1:20" s="38" customFormat="1" x14ac:dyDescent="0.3">
      <c r="A1293" s="36" t="str">
        <f xml:space="preserve"> IF( 'From SvanPC++'!A1283= "", "", ('From SvanPC++'!A1283))</f>
        <v/>
      </c>
      <c r="B1293" s="36"/>
      <c r="C1293" s="36"/>
      <c r="D1293" s="36"/>
      <c r="E1293" s="47"/>
      <c r="F1293" s="19"/>
      <c r="I1293" s="36"/>
      <c r="S1293" s="36"/>
      <c r="T1293" s="36"/>
    </row>
    <row r="1294" spans="1:20" s="38" customFormat="1" x14ac:dyDescent="0.3">
      <c r="A1294" s="36" t="str">
        <f xml:space="preserve"> IF( 'From SvanPC++'!A1284= "", "", ('From SvanPC++'!A1284))</f>
        <v/>
      </c>
      <c r="B1294" s="36"/>
      <c r="C1294" s="36"/>
      <c r="D1294" s="36"/>
      <c r="E1294" s="47"/>
      <c r="F1294" s="19"/>
      <c r="I1294" s="36"/>
      <c r="S1294" s="36"/>
      <c r="T1294" s="36"/>
    </row>
    <row r="1295" spans="1:20" s="38" customFormat="1" x14ac:dyDescent="0.3">
      <c r="A1295" s="36" t="str">
        <f xml:space="preserve"> IF( 'From SvanPC++'!A1285= "", "", ('From SvanPC++'!A1285))</f>
        <v/>
      </c>
      <c r="B1295" s="36"/>
      <c r="C1295" s="36"/>
      <c r="D1295" s="36"/>
      <c r="E1295" s="47"/>
      <c r="F1295" s="19"/>
      <c r="I1295" s="36"/>
      <c r="S1295" s="36"/>
      <c r="T1295" s="36"/>
    </row>
    <row r="1296" spans="1:20" s="38" customFormat="1" x14ac:dyDescent="0.3">
      <c r="A1296" s="36" t="str">
        <f xml:space="preserve"> IF( 'From SvanPC++'!A1286= "", "", ('From SvanPC++'!A1286))</f>
        <v/>
      </c>
      <c r="B1296" s="36"/>
      <c r="C1296" s="36"/>
      <c r="D1296" s="36"/>
      <c r="E1296" s="47"/>
      <c r="F1296" s="19"/>
      <c r="I1296" s="36"/>
      <c r="S1296" s="36"/>
      <c r="T1296" s="36"/>
    </row>
    <row r="1297" spans="1:20" s="38" customFormat="1" x14ac:dyDescent="0.3">
      <c r="A1297" s="36" t="str">
        <f xml:space="preserve"> IF( 'From SvanPC++'!A1287= "", "", ('From SvanPC++'!A1287))</f>
        <v/>
      </c>
      <c r="B1297" s="36"/>
      <c r="C1297" s="36"/>
      <c r="D1297" s="36"/>
      <c r="E1297" s="47"/>
      <c r="F1297" s="19"/>
      <c r="I1297" s="36"/>
      <c r="S1297" s="36"/>
      <c r="T1297" s="36"/>
    </row>
    <row r="1298" spans="1:20" s="38" customFormat="1" x14ac:dyDescent="0.3">
      <c r="A1298" s="36" t="str">
        <f xml:space="preserve"> IF( 'From SvanPC++'!A1288= "", "", ('From SvanPC++'!A1288))</f>
        <v/>
      </c>
      <c r="B1298" s="36"/>
      <c r="C1298" s="36"/>
      <c r="D1298" s="36"/>
      <c r="E1298" s="47"/>
      <c r="F1298" s="19"/>
      <c r="I1298" s="36"/>
      <c r="S1298" s="36"/>
      <c r="T1298" s="36"/>
    </row>
    <row r="1299" spans="1:20" s="38" customFormat="1" x14ac:dyDescent="0.3">
      <c r="A1299" s="36" t="str">
        <f xml:space="preserve"> IF( 'From SvanPC++'!A1289= "", "", ('From SvanPC++'!A1289))</f>
        <v/>
      </c>
      <c r="B1299" s="36"/>
      <c r="C1299" s="36"/>
      <c r="D1299" s="36"/>
      <c r="E1299" s="47"/>
      <c r="F1299" s="19"/>
      <c r="I1299" s="36"/>
      <c r="S1299" s="36"/>
      <c r="T1299" s="36"/>
    </row>
    <row r="1300" spans="1:20" s="38" customFormat="1" x14ac:dyDescent="0.3">
      <c r="A1300" s="36" t="str">
        <f xml:space="preserve"> IF( 'From SvanPC++'!A1290= "", "", ('From SvanPC++'!A1290))</f>
        <v/>
      </c>
      <c r="B1300" s="36"/>
      <c r="C1300" s="36"/>
      <c r="D1300" s="36"/>
      <c r="E1300" s="47"/>
      <c r="F1300" s="19"/>
      <c r="I1300" s="36"/>
      <c r="S1300" s="36"/>
      <c r="T1300" s="36"/>
    </row>
    <row r="1301" spans="1:20" s="38" customFormat="1" x14ac:dyDescent="0.3">
      <c r="A1301" s="36" t="str">
        <f xml:space="preserve"> IF( 'From SvanPC++'!A1291= "", "", ('From SvanPC++'!A1291))</f>
        <v/>
      </c>
      <c r="B1301" s="36"/>
      <c r="C1301" s="36"/>
      <c r="D1301" s="36"/>
      <c r="E1301" s="47"/>
      <c r="F1301" s="19"/>
      <c r="I1301" s="36"/>
      <c r="S1301" s="36"/>
      <c r="T1301" s="36"/>
    </row>
    <row r="1302" spans="1:20" s="38" customFormat="1" x14ac:dyDescent="0.3">
      <c r="A1302" s="36" t="str">
        <f xml:space="preserve"> IF( 'From SvanPC++'!A1292= "", "", ('From SvanPC++'!A1292))</f>
        <v/>
      </c>
      <c r="B1302" s="36"/>
      <c r="C1302" s="36"/>
      <c r="D1302" s="36"/>
      <c r="E1302" s="47"/>
      <c r="F1302" s="19"/>
      <c r="I1302" s="36"/>
      <c r="S1302" s="36"/>
      <c r="T1302" s="36"/>
    </row>
    <row r="1303" spans="1:20" s="38" customFormat="1" x14ac:dyDescent="0.3">
      <c r="A1303" s="36" t="str">
        <f xml:space="preserve"> IF( 'From SvanPC++'!A1293= "", "", ('From SvanPC++'!A1293))</f>
        <v/>
      </c>
      <c r="B1303" s="36"/>
      <c r="C1303" s="36"/>
      <c r="D1303" s="36"/>
      <c r="E1303" s="47"/>
      <c r="F1303" s="19"/>
      <c r="I1303" s="36"/>
      <c r="S1303" s="36"/>
      <c r="T1303" s="36"/>
    </row>
    <row r="1304" spans="1:20" s="38" customFormat="1" x14ac:dyDescent="0.3">
      <c r="A1304" s="36" t="str">
        <f xml:space="preserve"> IF( 'From SvanPC++'!A1294= "", "", ('From SvanPC++'!A1294))</f>
        <v/>
      </c>
      <c r="B1304" s="36"/>
      <c r="C1304" s="36"/>
      <c r="D1304" s="36"/>
      <c r="E1304" s="47"/>
      <c r="F1304" s="19"/>
      <c r="I1304" s="36"/>
      <c r="S1304" s="36"/>
      <c r="T1304" s="36"/>
    </row>
    <row r="1305" spans="1:20" s="38" customFormat="1" x14ac:dyDescent="0.3">
      <c r="A1305" s="36" t="str">
        <f xml:space="preserve"> IF( 'From SvanPC++'!A1295= "", "", ('From SvanPC++'!A1295))</f>
        <v/>
      </c>
      <c r="B1305" s="36"/>
      <c r="C1305" s="36"/>
      <c r="D1305" s="36"/>
      <c r="E1305" s="47"/>
      <c r="F1305" s="19"/>
      <c r="I1305" s="36"/>
      <c r="S1305" s="36"/>
      <c r="T1305" s="36"/>
    </row>
    <row r="1306" spans="1:20" s="38" customFormat="1" x14ac:dyDescent="0.3">
      <c r="A1306" s="36" t="str">
        <f xml:space="preserve"> IF( 'From SvanPC++'!A1296= "", "", ('From SvanPC++'!A1296))</f>
        <v/>
      </c>
      <c r="B1306" s="36"/>
      <c r="C1306" s="36"/>
      <c r="D1306" s="36"/>
      <c r="E1306" s="47"/>
      <c r="F1306" s="19"/>
      <c r="I1306" s="36"/>
      <c r="S1306" s="36"/>
      <c r="T1306" s="36"/>
    </row>
    <row r="1307" spans="1:20" s="38" customFormat="1" x14ac:dyDescent="0.3">
      <c r="A1307" s="36" t="str">
        <f xml:space="preserve"> IF( 'From SvanPC++'!A1297= "", "", ('From SvanPC++'!A1297))</f>
        <v/>
      </c>
      <c r="B1307" s="36"/>
      <c r="C1307" s="36"/>
      <c r="D1307" s="36"/>
      <c r="E1307" s="47"/>
      <c r="F1307" s="19"/>
      <c r="I1307" s="36"/>
      <c r="S1307" s="36"/>
      <c r="T1307" s="36"/>
    </row>
    <row r="1308" spans="1:20" s="38" customFormat="1" x14ac:dyDescent="0.3">
      <c r="A1308" s="36" t="str">
        <f xml:space="preserve"> IF( 'From SvanPC++'!A1298= "", "", ('From SvanPC++'!A1298))</f>
        <v/>
      </c>
      <c r="B1308" s="36"/>
      <c r="C1308" s="36"/>
      <c r="D1308" s="36"/>
      <c r="E1308" s="47"/>
      <c r="F1308" s="19"/>
      <c r="I1308" s="36"/>
      <c r="S1308" s="36"/>
      <c r="T1308" s="36"/>
    </row>
    <row r="1309" spans="1:20" s="38" customFormat="1" x14ac:dyDescent="0.3">
      <c r="A1309" s="36" t="str">
        <f xml:space="preserve"> IF( 'From SvanPC++'!A1299= "", "", ('From SvanPC++'!A1299))</f>
        <v/>
      </c>
      <c r="B1309" s="36"/>
      <c r="C1309" s="36"/>
      <c r="D1309" s="36"/>
      <c r="E1309" s="47"/>
      <c r="F1309" s="19"/>
      <c r="I1309" s="36"/>
      <c r="S1309" s="36"/>
      <c r="T1309" s="36"/>
    </row>
    <row r="1310" spans="1:20" s="38" customFormat="1" x14ac:dyDescent="0.3">
      <c r="A1310" s="36" t="str">
        <f xml:space="preserve"> IF( 'From SvanPC++'!A1300= "", "", ('From SvanPC++'!A1300))</f>
        <v/>
      </c>
      <c r="B1310" s="36"/>
      <c r="C1310" s="36"/>
      <c r="D1310" s="36"/>
      <c r="E1310" s="47"/>
      <c r="F1310" s="19"/>
      <c r="I1310" s="36"/>
      <c r="S1310" s="36"/>
      <c r="T1310" s="36"/>
    </row>
    <row r="1311" spans="1:20" s="38" customFormat="1" x14ac:dyDescent="0.3">
      <c r="A1311" s="36" t="str">
        <f xml:space="preserve"> IF( 'From SvanPC++'!A1301= "", "", ('From SvanPC++'!A1301))</f>
        <v/>
      </c>
      <c r="B1311" s="36"/>
      <c r="C1311" s="36"/>
      <c r="D1311" s="36"/>
      <c r="E1311" s="47"/>
      <c r="F1311" s="19"/>
      <c r="I1311" s="36"/>
      <c r="S1311" s="36"/>
      <c r="T1311" s="36"/>
    </row>
    <row r="1312" spans="1:20" s="38" customFormat="1" x14ac:dyDescent="0.3">
      <c r="A1312" s="36" t="str">
        <f xml:space="preserve"> IF( 'From SvanPC++'!A1302= "", "", ('From SvanPC++'!A1302))</f>
        <v/>
      </c>
      <c r="B1312" s="36"/>
      <c r="C1312" s="36"/>
      <c r="D1312" s="36"/>
      <c r="E1312" s="47"/>
      <c r="F1312" s="19"/>
      <c r="I1312" s="36"/>
      <c r="S1312" s="36"/>
      <c r="T1312" s="36"/>
    </row>
    <row r="1313" spans="1:20" s="38" customFormat="1" x14ac:dyDescent="0.3">
      <c r="A1313" s="36" t="str">
        <f xml:space="preserve"> IF( 'From SvanPC++'!A1303= "", "", ('From SvanPC++'!A1303))</f>
        <v/>
      </c>
      <c r="B1313" s="36"/>
      <c r="C1313" s="36"/>
      <c r="D1313" s="36"/>
      <c r="E1313" s="47"/>
      <c r="F1313" s="19"/>
      <c r="I1313" s="36"/>
      <c r="S1313" s="36"/>
      <c r="T1313" s="36"/>
    </row>
    <row r="1314" spans="1:20" s="38" customFormat="1" x14ac:dyDescent="0.3">
      <c r="A1314" s="36" t="str">
        <f xml:space="preserve"> IF( 'From SvanPC++'!A1304= "", "", ('From SvanPC++'!A1304))</f>
        <v/>
      </c>
      <c r="B1314" s="36"/>
      <c r="C1314" s="36"/>
      <c r="D1314" s="36"/>
      <c r="E1314" s="47"/>
      <c r="F1314" s="19"/>
      <c r="I1314" s="36"/>
      <c r="S1314" s="36"/>
      <c r="T1314" s="36"/>
    </row>
    <row r="1315" spans="1:20" s="38" customFormat="1" x14ac:dyDescent="0.3">
      <c r="A1315" s="36" t="str">
        <f xml:space="preserve"> IF( 'From SvanPC++'!A1305= "", "", ('From SvanPC++'!A1305))</f>
        <v/>
      </c>
      <c r="B1315" s="36"/>
      <c r="C1315" s="36"/>
      <c r="D1315" s="36"/>
      <c r="E1315" s="47"/>
      <c r="F1315" s="19"/>
      <c r="I1315" s="36"/>
      <c r="S1315" s="36"/>
      <c r="T1315" s="36"/>
    </row>
    <row r="1316" spans="1:20" s="38" customFormat="1" x14ac:dyDescent="0.3">
      <c r="A1316" s="36" t="str">
        <f xml:space="preserve"> IF( 'From SvanPC++'!A1306= "", "", ('From SvanPC++'!A1306))</f>
        <v/>
      </c>
      <c r="B1316" s="36"/>
      <c r="C1316" s="36"/>
      <c r="D1316" s="36"/>
      <c r="E1316" s="47"/>
      <c r="F1316" s="19"/>
      <c r="I1316" s="36"/>
      <c r="S1316" s="36"/>
      <c r="T1316" s="36"/>
    </row>
    <row r="1317" spans="1:20" s="38" customFormat="1" x14ac:dyDescent="0.3">
      <c r="A1317" s="36" t="str">
        <f xml:space="preserve"> IF( 'From SvanPC++'!A1307= "", "", ('From SvanPC++'!A1307))</f>
        <v/>
      </c>
      <c r="B1317" s="36"/>
      <c r="C1317" s="36"/>
      <c r="D1317" s="36"/>
      <c r="E1317" s="47"/>
      <c r="F1317" s="19"/>
      <c r="I1317" s="36"/>
      <c r="S1317" s="36"/>
      <c r="T1317" s="36"/>
    </row>
    <row r="1318" spans="1:20" s="38" customFormat="1" x14ac:dyDescent="0.3">
      <c r="A1318" s="36" t="str">
        <f xml:space="preserve"> IF( 'From SvanPC++'!A1308= "", "", ('From SvanPC++'!A1308))</f>
        <v/>
      </c>
      <c r="B1318" s="36"/>
      <c r="C1318" s="36"/>
      <c r="D1318" s="36"/>
      <c r="E1318" s="47"/>
      <c r="F1318" s="19"/>
      <c r="I1318" s="36"/>
      <c r="S1318" s="36"/>
      <c r="T1318" s="36"/>
    </row>
    <row r="1319" spans="1:20" s="38" customFormat="1" x14ac:dyDescent="0.3">
      <c r="A1319" s="36" t="str">
        <f xml:space="preserve"> IF( 'From SvanPC++'!A1309= "", "", ('From SvanPC++'!A1309))</f>
        <v/>
      </c>
      <c r="B1319" s="36"/>
      <c r="C1319" s="36"/>
      <c r="D1319" s="36"/>
      <c r="E1319" s="47"/>
      <c r="F1319" s="19"/>
      <c r="I1319" s="36"/>
      <c r="S1319" s="36"/>
      <c r="T1319" s="36"/>
    </row>
    <row r="1320" spans="1:20" s="38" customFormat="1" x14ac:dyDescent="0.3">
      <c r="A1320" s="36" t="str">
        <f xml:space="preserve"> IF( 'From SvanPC++'!A1310= "", "", ('From SvanPC++'!A1310))</f>
        <v/>
      </c>
      <c r="B1320" s="36"/>
      <c r="C1320" s="36"/>
      <c r="D1320" s="36"/>
      <c r="E1320" s="47"/>
      <c r="F1320" s="19"/>
      <c r="I1320" s="36"/>
      <c r="S1320" s="36"/>
      <c r="T1320" s="36"/>
    </row>
    <row r="1321" spans="1:20" s="38" customFormat="1" x14ac:dyDescent="0.3">
      <c r="A1321" s="36" t="str">
        <f xml:space="preserve"> IF( 'From SvanPC++'!A1311= "", "", ('From SvanPC++'!A1311))</f>
        <v/>
      </c>
      <c r="B1321" s="36"/>
      <c r="C1321" s="36"/>
      <c r="D1321" s="36"/>
      <c r="E1321" s="47"/>
      <c r="F1321" s="19"/>
      <c r="I1321" s="36"/>
      <c r="S1321" s="36"/>
      <c r="T1321" s="36"/>
    </row>
    <row r="1322" spans="1:20" s="38" customFormat="1" x14ac:dyDescent="0.3">
      <c r="A1322" s="36" t="str">
        <f xml:space="preserve"> IF( 'From SvanPC++'!A1312= "", "", ('From SvanPC++'!A1312))</f>
        <v/>
      </c>
      <c r="B1322" s="36"/>
      <c r="C1322" s="36"/>
      <c r="D1322" s="36"/>
      <c r="E1322" s="47"/>
      <c r="F1322" s="19"/>
      <c r="I1322" s="36"/>
      <c r="S1322" s="36"/>
      <c r="T1322" s="36"/>
    </row>
    <row r="1323" spans="1:20" s="38" customFormat="1" x14ac:dyDescent="0.3">
      <c r="A1323" s="36" t="str">
        <f xml:space="preserve"> IF( 'From SvanPC++'!A1313= "", "", ('From SvanPC++'!A1313))</f>
        <v/>
      </c>
      <c r="B1323" s="36"/>
      <c r="C1323" s="36"/>
      <c r="D1323" s="36"/>
      <c r="E1323" s="47"/>
      <c r="F1323" s="19"/>
      <c r="I1323" s="36"/>
      <c r="S1323" s="36"/>
      <c r="T1323" s="36"/>
    </row>
    <row r="1324" spans="1:20" s="38" customFormat="1" x14ac:dyDescent="0.3">
      <c r="A1324" s="36" t="str">
        <f xml:space="preserve"> IF( 'From SvanPC++'!A1314= "", "", ('From SvanPC++'!A1314))</f>
        <v/>
      </c>
      <c r="B1324" s="36"/>
      <c r="C1324" s="36"/>
      <c r="D1324" s="36"/>
      <c r="E1324" s="47"/>
      <c r="F1324" s="19"/>
      <c r="I1324" s="36"/>
      <c r="S1324" s="36"/>
      <c r="T1324" s="36"/>
    </row>
    <row r="1325" spans="1:20" s="38" customFormat="1" x14ac:dyDescent="0.3">
      <c r="A1325" s="36" t="str">
        <f xml:space="preserve"> IF( 'From SvanPC++'!A1315= "", "", ('From SvanPC++'!A1315))</f>
        <v/>
      </c>
      <c r="B1325" s="36"/>
      <c r="C1325" s="36"/>
      <c r="D1325" s="36"/>
      <c r="E1325" s="47"/>
      <c r="F1325" s="19"/>
      <c r="I1325" s="36"/>
      <c r="S1325" s="36"/>
      <c r="T1325" s="36"/>
    </row>
    <row r="1326" spans="1:20" s="38" customFormat="1" x14ac:dyDescent="0.3">
      <c r="A1326" s="36" t="str">
        <f xml:space="preserve"> IF( 'From SvanPC++'!A1316= "", "", ('From SvanPC++'!A1316))</f>
        <v/>
      </c>
      <c r="B1326" s="36"/>
      <c r="C1326" s="36"/>
      <c r="D1326" s="36"/>
      <c r="E1326" s="47"/>
      <c r="F1326" s="19"/>
      <c r="I1326" s="36"/>
      <c r="S1326" s="36"/>
      <c r="T1326" s="36"/>
    </row>
    <row r="1327" spans="1:20" s="38" customFormat="1" x14ac:dyDescent="0.3">
      <c r="A1327" s="36" t="str">
        <f xml:space="preserve"> IF( 'From SvanPC++'!A1317= "", "", ('From SvanPC++'!A1317))</f>
        <v/>
      </c>
      <c r="B1327" s="36"/>
      <c r="C1327" s="36"/>
      <c r="D1327" s="36"/>
      <c r="E1327" s="47"/>
      <c r="F1327" s="19"/>
      <c r="I1327" s="36"/>
      <c r="S1327" s="36"/>
      <c r="T1327" s="36"/>
    </row>
    <row r="1328" spans="1:20" s="38" customFormat="1" x14ac:dyDescent="0.3">
      <c r="A1328" s="36" t="str">
        <f xml:space="preserve"> IF( 'From SvanPC++'!A1318= "", "", ('From SvanPC++'!A1318))</f>
        <v/>
      </c>
      <c r="B1328" s="36"/>
      <c r="C1328" s="36"/>
      <c r="D1328" s="36"/>
      <c r="E1328" s="47"/>
      <c r="F1328" s="19"/>
      <c r="I1328" s="36"/>
      <c r="S1328" s="36"/>
      <c r="T1328" s="36"/>
    </row>
    <row r="1329" spans="1:20" s="38" customFormat="1" x14ac:dyDescent="0.3">
      <c r="A1329" s="36" t="str">
        <f xml:space="preserve"> IF( 'From SvanPC++'!A1319= "", "", ('From SvanPC++'!A1319))</f>
        <v/>
      </c>
      <c r="B1329" s="36"/>
      <c r="C1329" s="36"/>
      <c r="D1329" s="36"/>
      <c r="E1329" s="47"/>
      <c r="F1329" s="19"/>
      <c r="I1329" s="36"/>
      <c r="S1329" s="36"/>
      <c r="T1329" s="36"/>
    </row>
    <row r="1330" spans="1:20" s="38" customFormat="1" x14ac:dyDescent="0.3">
      <c r="A1330" s="36" t="str">
        <f xml:space="preserve"> IF( 'From SvanPC++'!A1320= "", "", ('From SvanPC++'!A1320))</f>
        <v/>
      </c>
      <c r="B1330" s="36"/>
      <c r="C1330" s="36"/>
      <c r="D1330" s="36"/>
      <c r="E1330" s="47"/>
      <c r="F1330" s="19"/>
      <c r="I1330" s="36"/>
      <c r="S1330" s="36"/>
      <c r="T1330" s="36"/>
    </row>
    <row r="1331" spans="1:20" s="38" customFormat="1" x14ac:dyDescent="0.3">
      <c r="A1331" s="36" t="str">
        <f xml:space="preserve"> IF( 'From SvanPC++'!A1321= "", "", ('From SvanPC++'!A1321))</f>
        <v/>
      </c>
      <c r="B1331" s="36"/>
      <c r="C1331" s="36"/>
      <c r="D1331" s="36"/>
      <c r="E1331" s="47"/>
      <c r="F1331" s="19"/>
      <c r="I1331" s="36"/>
      <c r="S1331" s="36"/>
      <c r="T1331" s="36"/>
    </row>
    <row r="1332" spans="1:20" s="38" customFormat="1" x14ac:dyDescent="0.3">
      <c r="A1332" s="36" t="str">
        <f xml:space="preserve"> IF( 'From SvanPC++'!A1322= "", "", ('From SvanPC++'!A1322))</f>
        <v/>
      </c>
      <c r="B1332" s="36"/>
      <c r="C1332" s="36"/>
      <c r="D1332" s="36"/>
      <c r="E1332" s="47"/>
      <c r="F1332" s="19"/>
      <c r="I1332" s="36"/>
      <c r="S1332" s="36"/>
      <c r="T1332" s="36"/>
    </row>
    <row r="1333" spans="1:20" s="38" customFormat="1" x14ac:dyDescent="0.3">
      <c r="A1333" s="36" t="str">
        <f xml:space="preserve"> IF( 'From SvanPC++'!A1323= "", "", ('From SvanPC++'!A1323))</f>
        <v/>
      </c>
      <c r="B1333" s="36"/>
      <c r="C1333" s="36"/>
      <c r="D1333" s="36"/>
      <c r="E1333" s="47"/>
      <c r="F1333" s="19"/>
      <c r="I1333" s="36"/>
      <c r="S1333" s="36"/>
      <c r="T1333" s="36"/>
    </row>
    <row r="1334" spans="1:20" s="38" customFormat="1" x14ac:dyDescent="0.3">
      <c r="A1334" s="36" t="str">
        <f xml:space="preserve"> IF( 'From SvanPC++'!A1324= "", "", ('From SvanPC++'!A1324))</f>
        <v/>
      </c>
      <c r="B1334" s="36"/>
      <c r="C1334" s="36"/>
      <c r="D1334" s="36"/>
      <c r="E1334" s="47"/>
      <c r="F1334" s="19"/>
      <c r="I1334" s="36"/>
      <c r="S1334" s="36"/>
      <c r="T1334" s="36"/>
    </row>
    <row r="1335" spans="1:20" s="38" customFormat="1" x14ac:dyDescent="0.3">
      <c r="A1335" s="36" t="str">
        <f xml:space="preserve"> IF( 'From SvanPC++'!A1325= "", "", ('From SvanPC++'!A1325))</f>
        <v/>
      </c>
      <c r="B1335" s="36"/>
      <c r="C1335" s="36"/>
      <c r="D1335" s="36"/>
      <c r="E1335" s="47"/>
      <c r="F1335" s="19"/>
      <c r="I1335" s="36"/>
      <c r="S1335" s="36"/>
      <c r="T1335" s="36"/>
    </row>
    <row r="1336" spans="1:20" s="38" customFormat="1" x14ac:dyDescent="0.3">
      <c r="A1336" s="36" t="str">
        <f xml:space="preserve"> IF( 'From SvanPC++'!A1326= "", "", ('From SvanPC++'!A1326))</f>
        <v/>
      </c>
      <c r="B1336" s="36"/>
      <c r="C1336" s="36"/>
      <c r="D1336" s="36"/>
      <c r="E1336" s="47"/>
      <c r="F1336" s="19"/>
      <c r="I1336" s="36"/>
      <c r="S1336" s="36"/>
      <c r="T1336" s="36"/>
    </row>
    <row r="1337" spans="1:20" s="38" customFormat="1" x14ac:dyDescent="0.3">
      <c r="A1337" s="36" t="str">
        <f xml:space="preserve"> IF( 'From SvanPC++'!A1327= "", "", ('From SvanPC++'!A1327))</f>
        <v/>
      </c>
      <c r="B1337" s="36"/>
      <c r="C1337" s="36"/>
      <c r="D1337" s="36"/>
      <c r="E1337" s="47"/>
      <c r="F1337" s="19"/>
      <c r="I1337" s="36"/>
      <c r="S1337" s="36"/>
      <c r="T1337" s="36"/>
    </row>
    <row r="1338" spans="1:20" s="38" customFormat="1" x14ac:dyDescent="0.3">
      <c r="A1338" s="36" t="str">
        <f xml:space="preserve"> IF( 'From SvanPC++'!A1328= "", "", ('From SvanPC++'!A1328))</f>
        <v/>
      </c>
      <c r="B1338" s="36"/>
      <c r="C1338" s="36"/>
      <c r="D1338" s="36"/>
      <c r="E1338" s="47"/>
      <c r="F1338" s="19"/>
      <c r="I1338" s="36"/>
      <c r="S1338" s="36"/>
      <c r="T1338" s="36"/>
    </row>
    <row r="1339" spans="1:20" s="38" customFormat="1" x14ac:dyDescent="0.3">
      <c r="A1339" s="36" t="str">
        <f xml:space="preserve"> IF( 'From SvanPC++'!A1329= "", "", ('From SvanPC++'!A1329))</f>
        <v/>
      </c>
      <c r="B1339" s="36"/>
      <c r="C1339" s="36"/>
      <c r="D1339" s="36"/>
      <c r="E1339" s="47"/>
      <c r="F1339" s="19"/>
      <c r="I1339" s="36"/>
      <c r="S1339" s="36"/>
      <c r="T1339" s="36"/>
    </row>
    <row r="1340" spans="1:20" s="38" customFormat="1" x14ac:dyDescent="0.3">
      <c r="A1340" s="36" t="str">
        <f xml:space="preserve"> IF( 'From SvanPC++'!A1330= "", "", ('From SvanPC++'!A1330))</f>
        <v/>
      </c>
      <c r="B1340" s="36"/>
      <c r="C1340" s="36"/>
      <c r="D1340" s="36"/>
      <c r="E1340" s="47"/>
      <c r="F1340" s="19"/>
      <c r="I1340" s="36"/>
      <c r="S1340" s="36"/>
      <c r="T1340" s="36"/>
    </row>
    <row r="1341" spans="1:20" s="38" customFormat="1" x14ac:dyDescent="0.3">
      <c r="A1341" s="36" t="str">
        <f xml:space="preserve"> IF( 'From SvanPC++'!A1331= "", "", ('From SvanPC++'!A1331))</f>
        <v/>
      </c>
      <c r="B1341" s="36"/>
      <c r="C1341" s="36"/>
      <c r="D1341" s="36"/>
      <c r="E1341" s="47"/>
      <c r="F1341" s="19"/>
      <c r="I1341" s="36"/>
      <c r="S1341" s="36"/>
      <c r="T1341" s="36"/>
    </row>
    <row r="1342" spans="1:20" s="38" customFormat="1" x14ac:dyDescent="0.3">
      <c r="A1342" s="36" t="str">
        <f xml:space="preserve"> IF( 'From SvanPC++'!A1332= "", "", ('From SvanPC++'!A1332))</f>
        <v/>
      </c>
      <c r="B1342" s="36"/>
      <c r="C1342" s="36"/>
      <c r="D1342" s="36"/>
      <c r="E1342" s="47"/>
      <c r="F1342" s="19"/>
      <c r="I1342" s="36"/>
      <c r="S1342" s="36"/>
      <c r="T1342" s="36"/>
    </row>
    <row r="1343" spans="1:20" s="38" customFormat="1" x14ac:dyDescent="0.3">
      <c r="A1343" s="36" t="str">
        <f xml:space="preserve"> IF( 'From SvanPC++'!A1333= "", "", ('From SvanPC++'!A1333))</f>
        <v/>
      </c>
      <c r="B1343" s="36"/>
      <c r="C1343" s="36"/>
      <c r="D1343" s="36"/>
      <c r="E1343" s="47"/>
      <c r="F1343" s="19"/>
      <c r="I1343" s="36"/>
      <c r="S1343" s="36"/>
      <c r="T1343" s="36"/>
    </row>
    <row r="1344" spans="1:20" s="38" customFormat="1" x14ac:dyDescent="0.3">
      <c r="A1344" s="36" t="str">
        <f xml:space="preserve"> IF( 'From SvanPC++'!A1334= "", "", ('From SvanPC++'!A1334))</f>
        <v/>
      </c>
      <c r="B1344" s="36"/>
      <c r="C1344" s="36"/>
      <c r="D1344" s="36"/>
      <c r="E1344" s="47"/>
      <c r="F1344" s="19"/>
      <c r="I1344" s="36"/>
      <c r="S1344" s="36"/>
      <c r="T1344" s="36"/>
    </row>
    <row r="1345" spans="1:20" s="38" customFormat="1" x14ac:dyDescent="0.3">
      <c r="A1345" s="36" t="str">
        <f xml:space="preserve"> IF( 'From SvanPC++'!A1335= "", "", ('From SvanPC++'!A1335))</f>
        <v/>
      </c>
      <c r="B1345" s="36"/>
      <c r="C1345" s="36"/>
      <c r="D1345" s="36"/>
      <c r="E1345" s="47"/>
      <c r="F1345" s="19"/>
      <c r="I1345" s="36"/>
      <c r="S1345" s="36"/>
      <c r="T1345" s="36"/>
    </row>
    <row r="1346" spans="1:20" s="38" customFormat="1" x14ac:dyDescent="0.3">
      <c r="A1346" s="36" t="str">
        <f xml:space="preserve"> IF( 'From SvanPC++'!A1336= "", "", ('From SvanPC++'!A1336))</f>
        <v/>
      </c>
      <c r="B1346" s="36"/>
      <c r="C1346" s="36"/>
      <c r="D1346" s="36"/>
      <c r="E1346" s="47"/>
      <c r="F1346" s="19"/>
      <c r="I1346" s="36"/>
      <c r="S1346" s="36"/>
      <c r="T1346" s="36"/>
    </row>
    <row r="1347" spans="1:20" s="38" customFormat="1" x14ac:dyDescent="0.3">
      <c r="A1347" s="36" t="str">
        <f xml:space="preserve"> IF( 'From SvanPC++'!A1337= "", "", ('From SvanPC++'!A1337))</f>
        <v/>
      </c>
      <c r="B1347" s="36"/>
      <c r="C1347" s="36"/>
      <c r="D1347" s="36"/>
      <c r="E1347" s="47"/>
      <c r="F1347" s="19"/>
      <c r="I1347" s="36"/>
      <c r="S1347" s="36"/>
      <c r="T1347" s="36"/>
    </row>
    <row r="1348" spans="1:20" s="38" customFormat="1" x14ac:dyDescent="0.3">
      <c r="A1348" s="36" t="str">
        <f xml:space="preserve"> IF( 'From SvanPC++'!A1338= "", "", ('From SvanPC++'!A1338))</f>
        <v/>
      </c>
      <c r="B1348" s="36"/>
      <c r="C1348" s="36"/>
      <c r="D1348" s="36"/>
      <c r="E1348" s="47"/>
      <c r="F1348" s="19"/>
      <c r="I1348" s="36"/>
      <c r="S1348" s="36"/>
      <c r="T1348" s="36"/>
    </row>
    <row r="1349" spans="1:20" s="38" customFormat="1" x14ac:dyDescent="0.3">
      <c r="A1349" s="36" t="str">
        <f xml:space="preserve"> IF( 'From SvanPC++'!A1339= "", "", ('From SvanPC++'!A1339))</f>
        <v/>
      </c>
      <c r="B1349" s="36"/>
      <c r="C1349" s="36"/>
      <c r="D1349" s="36"/>
      <c r="E1349" s="47"/>
      <c r="F1349" s="19"/>
      <c r="I1349" s="36"/>
      <c r="S1349" s="36"/>
      <c r="T1349" s="36"/>
    </row>
    <row r="1350" spans="1:20" s="38" customFormat="1" x14ac:dyDescent="0.3">
      <c r="A1350" s="36" t="str">
        <f xml:space="preserve"> IF( 'From SvanPC++'!A1340= "", "", ('From SvanPC++'!A1340))</f>
        <v/>
      </c>
      <c r="B1350" s="36"/>
      <c r="C1350" s="36"/>
      <c r="D1350" s="36"/>
      <c r="E1350" s="47"/>
      <c r="F1350" s="19"/>
      <c r="I1350" s="36"/>
      <c r="S1350" s="36"/>
      <c r="T1350" s="36"/>
    </row>
    <row r="1351" spans="1:20" s="38" customFormat="1" x14ac:dyDescent="0.3">
      <c r="A1351" s="36" t="str">
        <f xml:space="preserve"> IF( 'From SvanPC++'!A1341= "", "", ('From SvanPC++'!A1341))</f>
        <v/>
      </c>
      <c r="B1351" s="36"/>
      <c r="C1351" s="36"/>
      <c r="D1351" s="36"/>
      <c r="E1351" s="47"/>
      <c r="F1351" s="19"/>
      <c r="I1351" s="36"/>
      <c r="S1351" s="36"/>
      <c r="T1351" s="36"/>
    </row>
    <row r="1352" spans="1:20" s="38" customFormat="1" x14ac:dyDescent="0.3">
      <c r="A1352" s="36" t="str">
        <f xml:space="preserve"> IF( 'From SvanPC++'!A1342= "", "", ('From SvanPC++'!A1342))</f>
        <v/>
      </c>
      <c r="B1352" s="36"/>
      <c r="C1352" s="36"/>
      <c r="D1352" s="36"/>
      <c r="E1352" s="47"/>
      <c r="F1352" s="19"/>
      <c r="I1352" s="36"/>
      <c r="S1352" s="36"/>
      <c r="T1352" s="36"/>
    </row>
    <row r="1353" spans="1:20" s="38" customFormat="1" x14ac:dyDescent="0.3">
      <c r="A1353" s="36" t="str">
        <f xml:space="preserve"> IF( 'From SvanPC++'!A1343= "", "", ('From SvanPC++'!A1343))</f>
        <v/>
      </c>
      <c r="B1353" s="36"/>
      <c r="C1353" s="36"/>
      <c r="D1353" s="36"/>
      <c r="E1353" s="47"/>
      <c r="F1353" s="19"/>
      <c r="I1353" s="36"/>
      <c r="S1353" s="36"/>
      <c r="T1353" s="36"/>
    </row>
    <row r="1354" spans="1:20" s="38" customFormat="1" x14ac:dyDescent="0.3">
      <c r="A1354" s="36" t="str">
        <f xml:space="preserve"> IF( 'From SvanPC++'!A1344= "", "", ('From SvanPC++'!A1344))</f>
        <v/>
      </c>
      <c r="B1354" s="36"/>
      <c r="C1354" s="36"/>
      <c r="D1354" s="36"/>
      <c r="E1354" s="47"/>
      <c r="F1354" s="19"/>
      <c r="I1354" s="36"/>
      <c r="S1354" s="36"/>
      <c r="T1354" s="36"/>
    </row>
    <row r="1355" spans="1:20" s="38" customFormat="1" x14ac:dyDescent="0.3">
      <c r="A1355" s="36" t="str">
        <f xml:space="preserve"> IF( 'From SvanPC++'!A1345= "", "", ('From SvanPC++'!A1345))</f>
        <v/>
      </c>
      <c r="B1355" s="36"/>
      <c r="C1355" s="36"/>
      <c r="D1355" s="36"/>
      <c r="E1355" s="47"/>
      <c r="F1355" s="19"/>
      <c r="I1355" s="36"/>
      <c r="S1355" s="36"/>
      <c r="T1355" s="36"/>
    </row>
    <row r="1356" spans="1:20" s="38" customFormat="1" x14ac:dyDescent="0.3">
      <c r="A1356" s="36" t="str">
        <f xml:space="preserve"> IF( 'From SvanPC++'!A1346= "", "", ('From SvanPC++'!A1346))</f>
        <v/>
      </c>
      <c r="B1356" s="36"/>
      <c r="C1356" s="36"/>
      <c r="D1356" s="36"/>
      <c r="E1356" s="47"/>
      <c r="F1356" s="19"/>
      <c r="I1356" s="36"/>
      <c r="S1356" s="36"/>
      <c r="T1356" s="36"/>
    </row>
    <row r="1357" spans="1:20" s="38" customFormat="1" x14ac:dyDescent="0.3">
      <c r="A1357" s="36" t="str">
        <f xml:space="preserve"> IF( 'From SvanPC++'!A1347= "", "", ('From SvanPC++'!A1347))</f>
        <v/>
      </c>
      <c r="B1357" s="36"/>
      <c r="C1357" s="36"/>
      <c r="D1357" s="36"/>
      <c r="E1357" s="47"/>
      <c r="F1357" s="19"/>
      <c r="I1357" s="36"/>
      <c r="S1357" s="36"/>
      <c r="T1357" s="36"/>
    </row>
    <row r="1358" spans="1:20" s="38" customFormat="1" x14ac:dyDescent="0.3">
      <c r="A1358" s="36" t="str">
        <f xml:space="preserve"> IF( 'From SvanPC++'!A1348= "", "", ('From SvanPC++'!A1348))</f>
        <v/>
      </c>
      <c r="B1358" s="36"/>
      <c r="C1358" s="36"/>
      <c r="D1358" s="36"/>
      <c r="E1358" s="47"/>
      <c r="F1358" s="19"/>
      <c r="I1358" s="36"/>
      <c r="S1358" s="36"/>
      <c r="T1358" s="36"/>
    </row>
    <row r="1359" spans="1:20" s="38" customFormat="1" x14ac:dyDescent="0.3">
      <c r="A1359" s="36" t="str">
        <f xml:space="preserve"> IF( 'From SvanPC++'!A1349= "", "", ('From SvanPC++'!A1349))</f>
        <v/>
      </c>
      <c r="B1359" s="36"/>
      <c r="C1359" s="36"/>
      <c r="D1359" s="36"/>
      <c r="E1359" s="47"/>
      <c r="F1359" s="19"/>
      <c r="I1359" s="36"/>
      <c r="S1359" s="36"/>
      <c r="T1359" s="36"/>
    </row>
    <row r="1360" spans="1:20" s="38" customFormat="1" x14ac:dyDescent="0.3">
      <c r="A1360" s="36" t="str">
        <f xml:space="preserve"> IF( 'From SvanPC++'!A1350= "", "", ('From SvanPC++'!A1350))</f>
        <v/>
      </c>
      <c r="B1360" s="36"/>
      <c r="C1360" s="36"/>
      <c r="D1360" s="36"/>
      <c r="E1360" s="47"/>
      <c r="F1360" s="19"/>
      <c r="I1360" s="36"/>
      <c r="S1360" s="36"/>
      <c r="T1360" s="36"/>
    </row>
    <row r="1361" spans="1:20" s="38" customFormat="1" x14ac:dyDescent="0.3">
      <c r="A1361" s="36" t="str">
        <f xml:space="preserve"> IF( 'From SvanPC++'!A1351= "", "", ('From SvanPC++'!A1351))</f>
        <v/>
      </c>
      <c r="B1361" s="36"/>
      <c r="C1361" s="36"/>
      <c r="D1361" s="36"/>
      <c r="E1361" s="47"/>
      <c r="F1361" s="19"/>
      <c r="I1361" s="36"/>
      <c r="S1361" s="36"/>
      <c r="T1361" s="36"/>
    </row>
    <row r="1362" spans="1:20" s="38" customFormat="1" x14ac:dyDescent="0.3">
      <c r="A1362" s="36" t="str">
        <f xml:space="preserve"> IF( 'From SvanPC++'!A1352= "", "", ('From SvanPC++'!A1352))</f>
        <v/>
      </c>
      <c r="B1362" s="36"/>
      <c r="C1362" s="36"/>
      <c r="D1362" s="36"/>
      <c r="E1362" s="47"/>
      <c r="F1362" s="19"/>
      <c r="I1362" s="36"/>
      <c r="S1362" s="36"/>
      <c r="T1362" s="36"/>
    </row>
    <row r="1363" spans="1:20" s="38" customFormat="1" x14ac:dyDescent="0.3">
      <c r="A1363" s="36" t="str">
        <f xml:space="preserve"> IF( 'From SvanPC++'!A1353= "", "", ('From SvanPC++'!A1353))</f>
        <v/>
      </c>
      <c r="B1363" s="36"/>
      <c r="C1363" s="36"/>
      <c r="D1363" s="36"/>
      <c r="E1363" s="47"/>
      <c r="F1363" s="19"/>
      <c r="I1363" s="36"/>
      <c r="S1363" s="36"/>
      <c r="T1363" s="36"/>
    </row>
    <row r="1364" spans="1:20" s="38" customFormat="1" x14ac:dyDescent="0.3">
      <c r="A1364" s="36" t="str">
        <f xml:space="preserve"> IF( 'From SvanPC++'!A1354= "", "", ('From SvanPC++'!A1354))</f>
        <v/>
      </c>
      <c r="B1364" s="36"/>
      <c r="C1364" s="36"/>
      <c r="D1364" s="36"/>
      <c r="E1364" s="47"/>
      <c r="F1364" s="19"/>
      <c r="I1364" s="36"/>
      <c r="S1364" s="36"/>
      <c r="T1364" s="36"/>
    </row>
    <row r="1365" spans="1:20" s="38" customFormat="1" x14ac:dyDescent="0.3">
      <c r="A1365" s="36" t="str">
        <f xml:space="preserve"> IF( 'From SvanPC++'!A1355= "", "", ('From SvanPC++'!A1355))</f>
        <v/>
      </c>
      <c r="B1365" s="36"/>
      <c r="C1365" s="36"/>
      <c r="D1365" s="36"/>
      <c r="E1365" s="47"/>
      <c r="F1365" s="19"/>
      <c r="I1365" s="36"/>
      <c r="S1365" s="36"/>
      <c r="T1365" s="36"/>
    </row>
    <row r="1366" spans="1:20" s="38" customFormat="1" x14ac:dyDescent="0.3">
      <c r="A1366" s="36" t="str">
        <f xml:space="preserve"> IF( 'From SvanPC++'!A1356= "", "", ('From SvanPC++'!A1356))</f>
        <v/>
      </c>
      <c r="B1366" s="36"/>
      <c r="C1366" s="36"/>
      <c r="D1366" s="36"/>
      <c r="E1366" s="47"/>
      <c r="F1366" s="19"/>
      <c r="I1366" s="36"/>
      <c r="S1366" s="36"/>
      <c r="T1366" s="36"/>
    </row>
    <row r="1367" spans="1:20" s="38" customFormat="1" x14ac:dyDescent="0.3">
      <c r="A1367" s="36" t="str">
        <f xml:space="preserve"> IF( 'From SvanPC++'!A1357= "", "", ('From SvanPC++'!A1357))</f>
        <v/>
      </c>
      <c r="B1367" s="36"/>
      <c r="C1367" s="36"/>
      <c r="D1367" s="36"/>
      <c r="E1367" s="47"/>
      <c r="F1367" s="19"/>
      <c r="I1367" s="36"/>
      <c r="S1367" s="36"/>
      <c r="T1367" s="36"/>
    </row>
    <row r="1368" spans="1:20" s="38" customFormat="1" x14ac:dyDescent="0.3">
      <c r="A1368" s="36" t="str">
        <f xml:space="preserve"> IF( 'From SvanPC++'!A1358= "", "", ('From SvanPC++'!A1358))</f>
        <v/>
      </c>
      <c r="B1368" s="36"/>
      <c r="C1368" s="36"/>
      <c r="D1368" s="36"/>
      <c r="E1368" s="47"/>
      <c r="F1368" s="19"/>
      <c r="I1368" s="36"/>
      <c r="S1368" s="36"/>
      <c r="T1368" s="36"/>
    </row>
    <row r="1369" spans="1:20" s="38" customFormat="1" x14ac:dyDescent="0.3">
      <c r="A1369" s="36" t="str">
        <f xml:space="preserve"> IF( 'From SvanPC++'!A1359= "", "", ('From SvanPC++'!A1359))</f>
        <v/>
      </c>
      <c r="B1369" s="36"/>
      <c r="C1369" s="36"/>
      <c r="D1369" s="36"/>
      <c r="E1369" s="47"/>
      <c r="F1369" s="19"/>
      <c r="I1369" s="36"/>
      <c r="S1369" s="36"/>
      <c r="T1369" s="36"/>
    </row>
    <row r="1370" spans="1:20" s="38" customFormat="1" x14ac:dyDescent="0.3">
      <c r="A1370" s="36" t="str">
        <f xml:space="preserve"> IF( 'From SvanPC++'!A1360= "", "", ('From SvanPC++'!A1360))</f>
        <v/>
      </c>
      <c r="B1370" s="36"/>
      <c r="C1370" s="36"/>
      <c r="D1370" s="36"/>
      <c r="E1370" s="47"/>
      <c r="F1370" s="19"/>
      <c r="I1370" s="36"/>
      <c r="S1370" s="36"/>
      <c r="T1370" s="36"/>
    </row>
    <row r="1371" spans="1:20" s="38" customFormat="1" x14ac:dyDescent="0.3">
      <c r="A1371" s="36" t="str">
        <f xml:space="preserve"> IF( 'From SvanPC++'!A1361= "", "", ('From SvanPC++'!A1361))</f>
        <v/>
      </c>
      <c r="B1371" s="36"/>
      <c r="C1371" s="36"/>
      <c r="D1371" s="36"/>
      <c r="E1371" s="47"/>
      <c r="F1371" s="19"/>
      <c r="I1371" s="36"/>
      <c r="S1371" s="36"/>
      <c r="T1371" s="36"/>
    </row>
    <row r="1372" spans="1:20" s="38" customFormat="1" x14ac:dyDescent="0.3">
      <c r="A1372" s="36" t="str">
        <f xml:space="preserve"> IF( 'From SvanPC++'!A1362= "", "", ('From SvanPC++'!A1362))</f>
        <v/>
      </c>
      <c r="B1372" s="36"/>
      <c r="C1372" s="36"/>
      <c r="D1372" s="36"/>
      <c r="E1372" s="47"/>
      <c r="F1372" s="19"/>
      <c r="I1372" s="36"/>
      <c r="S1372" s="36"/>
      <c r="T1372" s="36"/>
    </row>
    <row r="1373" spans="1:20" s="38" customFormat="1" x14ac:dyDescent="0.3">
      <c r="A1373" s="36" t="str">
        <f xml:space="preserve"> IF( 'From SvanPC++'!A1363= "", "", ('From SvanPC++'!A1363))</f>
        <v/>
      </c>
      <c r="B1373" s="36"/>
      <c r="C1373" s="36"/>
      <c r="D1373" s="36"/>
      <c r="E1373" s="47"/>
      <c r="F1373" s="19"/>
      <c r="I1373" s="36"/>
      <c r="S1373" s="36"/>
      <c r="T1373" s="36"/>
    </row>
    <row r="1374" spans="1:20" s="38" customFormat="1" x14ac:dyDescent="0.3">
      <c r="A1374" s="36" t="str">
        <f xml:space="preserve"> IF( 'From SvanPC++'!A1364= "", "", ('From SvanPC++'!A1364))</f>
        <v/>
      </c>
      <c r="B1374" s="36"/>
      <c r="C1374" s="36"/>
      <c r="D1374" s="36"/>
      <c r="E1374" s="47"/>
      <c r="F1374" s="19"/>
      <c r="I1374" s="36"/>
      <c r="S1374" s="36"/>
      <c r="T1374" s="36"/>
    </row>
    <row r="1375" spans="1:20" s="38" customFormat="1" x14ac:dyDescent="0.3">
      <c r="A1375" s="36" t="str">
        <f xml:space="preserve"> IF( 'From SvanPC++'!A1365= "", "", ('From SvanPC++'!A1365))</f>
        <v/>
      </c>
      <c r="B1375" s="36"/>
      <c r="C1375" s="36"/>
      <c r="D1375" s="36"/>
      <c r="E1375" s="47"/>
      <c r="F1375" s="19"/>
      <c r="I1375" s="36"/>
      <c r="S1375" s="36"/>
      <c r="T1375" s="36"/>
    </row>
    <row r="1376" spans="1:20" s="38" customFormat="1" x14ac:dyDescent="0.3">
      <c r="A1376" s="36" t="str">
        <f xml:space="preserve"> IF( 'From SvanPC++'!A1366= "", "", ('From SvanPC++'!A1366))</f>
        <v/>
      </c>
      <c r="B1376" s="36"/>
      <c r="C1376" s="36"/>
      <c r="D1376" s="36"/>
      <c r="E1376" s="47"/>
      <c r="F1376" s="19"/>
      <c r="I1376" s="36"/>
      <c r="S1376" s="36"/>
      <c r="T1376" s="36"/>
    </row>
    <row r="1377" spans="1:20" s="38" customFormat="1" x14ac:dyDescent="0.3">
      <c r="A1377" s="36" t="str">
        <f xml:space="preserve"> IF( 'From SvanPC++'!A1367= "", "", ('From SvanPC++'!A1367))</f>
        <v/>
      </c>
      <c r="B1377" s="36"/>
      <c r="C1377" s="36"/>
      <c r="D1377" s="36"/>
      <c r="E1377" s="47"/>
      <c r="F1377" s="19"/>
      <c r="I1377" s="36"/>
      <c r="S1377" s="36"/>
      <c r="T1377" s="36"/>
    </row>
    <row r="1378" spans="1:20" s="38" customFormat="1" x14ac:dyDescent="0.3">
      <c r="A1378" s="36" t="str">
        <f xml:space="preserve"> IF( 'From SvanPC++'!A1368= "", "", ('From SvanPC++'!A1368))</f>
        <v/>
      </c>
      <c r="B1378" s="36"/>
      <c r="C1378" s="36"/>
      <c r="D1378" s="36"/>
      <c r="E1378" s="47"/>
      <c r="F1378" s="19"/>
      <c r="I1378" s="36"/>
      <c r="S1378" s="36"/>
      <c r="T1378" s="36"/>
    </row>
    <row r="1379" spans="1:20" s="38" customFormat="1" x14ac:dyDescent="0.3">
      <c r="A1379" s="36" t="str">
        <f xml:space="preserve"> IF( 'From SvanPC++'!A1369= "", "", ('From SvanPC++'!A1369))</f>
        <v/>
      </c>
      <c r="B1379" s="36"/>
      <c r="C1379" s="36"/>
      <c r="D1379" s="36"/>
      <c r="E1379" s="47"/>
      <c r="F1379" s="19"/>
      <c r="I1379" s="36"/>
      <c r="S1379" s="36"/>
      <c r="T1379" s="36"/>
    </row>
    <row r="1380" spans="1:20" s="38" customFormat="1" x14ac:dyDescent="0.3">
      <c r="A1380" s="36" t="str">
        <f xml:space="preserve"> IF( 'From SvanPC++'!A1370= "", "", ('From SvanPC++'!A1370))</f>
        <v/>
      </c>
      <c r="B1380" s="36"/>
      <c r="C1380" s="36"/>
      <c r="D1380" s="36"/>
      <c r="E1380" s="47"/>
      <c r="F1380" s="19"/>
      <c r="I1380" s="36"/>
      <c r="S1380" s="36"/>
      <c r="T1380" s="36"/>
    </row>
    <row r="1381" spans="1:20" s="38" customFormat="1" x14ac:dyDescent="0.3">
      <c r="A1381" s="36" t="str">
        <f xml:space="preserve"> IF( 'From SvanPC++'!A1371= "", "", ('From SvanPC++'!A1371))</f>
        <v/>
      </c>
      <c r="B1381" s="36"/>
      <c r="C1381" s="36"/>
      <c r="D1381" s="36"/>
      <c r="E1381" s="47"/>
      <c r="F1381" s="19"/>
      <c r="I1381" s="36"/>
      <c r="S1381" s="36"/>
      <c r="T1381" s="36"/>
    </row>
    <row r="1382" spans="1:20" s="38" customFormat="1" x14ac:dyDescent="0.3">
      <c r="A1382" s="36" t="str">
        <f xml:space="preserve"> IF( 'From SvanPC++'!A1372= "", "", ('From SvanPC++'!A1372))</f>
        <v/>
      </c>
      <c r="B1382" s="36"/>
      <c r="C1382" s="36"/>
      <c r="D1382" s="36"/>
      <c r="E1382" s="47"/>
      <c r="F1382" s="19"/>
      <c r="I1382" s="36"/>
      <c r="S1382" s="36"/>
      <c r="T1382" s="36"/>
    </row>
    <row r="1383" spans="1:20" s="38" customFormat="1" x14ac:dyDescent="0.3">
      <c r="A1383" s="36" t="str">
        <f xml:space="preserve"> IF( 'From SvanPC++'!A1373= "", "", ('From SvanPC++'!A1373))</f>
        <v/>
      </c>
      <c r="B1383" s="36"/>
      <c r="C1383" s="36"/>
      <c r="D1383" s="36"/>
      <c r="E1383" s="47"/>
      <c r="F1383" s="19"/>
      <c r="I1383" s="36"/>
      <c r="S1383" s="36"/>
      <c r="T1383" s="36"/>
    </row>
    <row r="1384" spans="1:20" s="38" customFormat="1" x14ac:dyDescent="0.3">
      <c r="A1384" s="36" t="str">
        <f xml:space="preserve"> IF( 'From SvanPC++'!A1374= "", "", ('From SvanPC++'!A1374))</f>
        <v/>
      </c>
      <c r="B1384" s="36"/>
      <c r="C1384" s="36"/>
      <c r="D1384" s="36"/>
      <c r="E1384" s="47"/>
      <c r="F1384" s="19"/>
      <c r="I1384" s="36"/>
      <c r="S1384" s="36"/>
      <c r="T1384" s="36"/>
    </row>
    <row r="1385" spans="1:20" s="38" customFormat="1" x14ac:dyDescent="0.3">
      <c r="A1385" s="36" t="str">
        <f xml:space="preserve"> IF( 'From SvanPC++'!A1375= "", "", ('From SvanPC++'!A1375))</f>
        <v/>
      </c>
      <c r="B1385" s="36"/>
      <c r="C1385" s="36"/>
      <c r="D1385" s="36"/>
      <c r="E1385" s="47"/>
      <c r="F1385" s="19"/>
      <c r="I1385" s="36"/>
      <c r="S1385" s="36"/>
      <c r="T1385" s="36"/>
    </row>
    <row r="1386" spans="1:20" s="38" customFormat="1" x14ac:dyDescent="0.3">
      <c r="A1386" s="36" t="str">
        <f xml:space="preserve"> IF( 'From SvanPC++'!A1376= "", "", ('From SvanPC++'!A1376))</f>
        <v/>
      </c>
      <c r="B1386" s="36"/>
      <c r="C1386" s="36"/>
      <c r="D1386" s="36"/>
      <c r="E1386" s="47"/>
      <c r="F1386" s="19"/>
      <c r="I1386" s="36"/>
      <c r="S1386" s="36"/>
      <c r="T1386" s="36"/>
    </row>
    <row r="1387" spans="1:20" s="38" customFormat="1" x14ac:dyDescent="0.3">
      <c r="A1387" s="36" t="str">
        <f xml:space="preserve"> IF( 'From SvanPC++'!A1377= "", "", ('From SvanPC++'!A1377))</f>
        <v/>
      </c>
      <c r="B1387" s="36"/>
      <c r="C1387" s="36"/>
      <c r="D1387" s="36"/>
      <c r="E1387" s="47"/>
      <c r="F1387" s="19"/>
      <c r="I1387" s="36"/>
      <c r="S1387" s="36"/>
      <c r="T1387" s="36"/>
    </row>
    <row r="1388" spans="1:20" s="38" customFormat="1" x14ac:dyDescent="0.3">
      <c r="A1388" s="36" t="str">
        <f xml:space="preserve"> IF( 'From SvanPC++'!A1378= "", "", ('From SvanPC++'!A1378))</f>
        <v/>
      </c>
      <c r="B1388" s="36"/>
      <c r="C1388" s="36"/>
      <c r="D1388" s="36"/>
      <c r="E1388" s="47"/>
      <c r="F1388" s="19"/>
      <c r="I1388" s="36"/>
      <c r="S1388" s="36"/>
      <c r="T1388" s="36"/>
    </row>
    <row r="1389" spans="1:20" s="38" customFormat="1" x14ac:dyDescent="0.3">
      <c r="A1389" s="36" t="str">
        <f xml:space="preserve"> IF( 'From SvanPC++'!A1379= "", "", ('From SvanPC++'!A1379))</f>
        <v/>
      </c>
      <c r="B1389" s="36"/>
      <c r="C1389" s="36"/>
      <c r="D1389" s="36"/>
      <c r="E1389" s="47"/>
      <c r="F1389" s="19"/>
      <c r="I1389" s="36"/>
      <c r="S1389" s="36"/>
      <c r="T1389" s="36"/>
    </row>
    <row r="1390" spans="1:20" s="38" customFormat="1" x14ac:dyDescent="0.3">
      <c r="A1390" s="36" t="str">
        <f xml:space="preserve"> IF( 'From SvanPC++'!A1380= "", "", ('From SvanPC++'!A1380))</f>
        <v/>
      </c>
      <c r="B1390" s="36"/>
      <c r="C1390" s="36"/>
      <c r="D1390" s="36"/>
      <c r="E1390" s="47"/>
      <c r="F1390" s="19"/>
      <c r="I1390" s="36"/>
      <c r="S1390" s="36"/>
      <c r="T1390" s="36"/>
    </row>
    <row r="1391" spans="1:20" s="38" customFormat="1" x14ac:dyDescent="0.3">
      <c r="A1391" s="36" t="str">
        <f xml:space="preserve"> IF( 'From SvanPC++'!A1381= "", "", ('From SvanPC++'!A1381))</f>
        <v/>
      </c>
      <c r="B1391" s="36"/>
      <c r="C1391" s="36"/>
      <c r="D1391" s="36"/>
      <c r="E1391" s="47"/>
      <c r="F1391" s="19"/>
      <c r="I1391" s="36"/>
      <c r="S1391" s="36"/>
      <c r="T1391" s="36"/>
    </row>
    <row r="1392" spans="1:20" s="38" customFormat="1" x14ac:dyDescent="0.3">
      <c r="A1392" s="36" t="str">
        <f xml:space="preserve"> IF( 'From SvanPC++'!A1382= "", "", ('From SvanPC++'!A1382))</f>
        <v/>
      </c>
      <c r="B1392" s="36"/>
      <c r="C1392" s="36"/>
      <c r="D1392" s="36"/>
      <c r="E1392" s="47"/>
      <c r="F1392" s="19"/>
      <c r="I1392" s="36"/>
      <c r="S1392" s="36"/>
      <c r="T1392" s="36"/>
    </row>
    <row r="1393" spans="1:20" s="38" customFormat="1" x14ac:dyDescent="0.3">
      <c r="A1393" s="36" t="str">
        <f xml:space="preserve"> IF( 'From SvanPC++'!A1383= "", "", ('From SvanPC++'!A1383))</f>
        <v/>
      </c>
      <c r="B1393" s="36"/>
      <c r="C1393" s="36"/>
      <c r="D1393" s="36"/>
      <c r="E1393" s="47"/>
      <c r="F1393" s="19"/>
      <c r="I1393" s="36"/>
      <c r="S1393" s="36"/>
      <c r="T1393" s="36"/>
    </row>
    <row r="1394" spans="1:20" s="38" customFormat="1" x14ac:dyDescent="0.3">
      <c r="A1394" s="36" t="str">
        <f xml:space="preserve"> IF( 'From SvanPC++'!A1384= "", "", ('From SvanPC++'!A1384))</f>
        <v/>
      </c>
      <c r="B1394" s="36"/>
      <c r="C1394" s="36"/>
      <c r="D1394" s="36"/>
      <c r="E1394" s="47"/>
      <c r="F1394" s="19"/>
      <c r="I1394" s="36"/>
      <c r="S1394" s="36"/>
      <c r="T1394" s="36"/>
    </row>
    <row r="1395" spans="1:20" s="38" customFormat="1" x14ac:dyDescent="0.3">
      <c r="A1395" s="36" t="str">
        <f xml:space="preserve"> IF( 'From SvanPC++'!A1385= "", "", ('From SvanPC++'!A1385))</f>
        <v/>
      </c>
      <c r="B1395" s="36"/>
      <c r="C1395" s="36"/>
      <c r="D1395" s="36"/>
      <c r="E1395" s="47"/>
      <c r="F1395" s="19"/>
      <c r="I1395" s="36"/>
      <c r="S1395" s="36"/>
      <c r="T1395" s="36"/>
    </row>
    <row r="1396" spans="1:20" s="38" customFormat="1" x14ac:dyDescent="0.3">
      <c r="A1396" s="36" t="str">
        <f xml:space="preserve"> IF( 'From SvanPC++'!A1386= "", "", ('From SvanPC++'!A1386))</f>
        <v/>
      </c>
      <c r="B1396" s="36"/>
      <c r="C1396" s="36"/>
      <c r="D1396" s="36"/>
      <c r="E1396" s="47"/>
      <c r="F1396" s="19"/>
      <c r="I1396" s="36"/>
      <c r="S1396" s="36"/>
      <c r="T1396" s="36"/>
    </row>
    <row r="1397" spans="1:20" s="38" customFormat="1" x14ac:dyDescent="0.3">
      <c r="A1397" s="36" t="str">
        <f xml:space="preserve"> IF( 'From SvanPC++'!A1387= "", "", ('From SvanPC++'!A1387))</f>
        <v/>
      </c>
      <c r="B1397" s="36"/>
      <c r="C1397" s="36"/>
      <c r="D1397" s="36"/>
      <c r="E1397" s="47"/>
      <c r="F1397" s="19"/>
      <c r="I1397" s="36"/>
      <c r="S1397" s="36"/>
      <c r="T1397" s="36"/>
    </row>
    <row r="1398" spans="1:20" s="38" customFormat="1" x14ac:dyDescent="0.3">
      <c r="A1398" s="36" t="str">
        <f xml:space="preserve"> IF( 'From SvanPC++'!A1388= "", "", ('From SvanPC++'!A1388))</f>
        <v/>
      </c>
      <c r="B1398" s="36"/>
      <c r="C1398" s="36"/>
      <c r="D1398" s="36"/>
      <c r="E1398" s="47"/>
      <c r="F1398" s="19"/>
      <c r="I1398" s="36"/>
      <c r="S1398" s="36"/>
      <c r="T1398" s="36"/>
    </row>
    <row r="1399" spans="1:20" s="38" customFormat="1" x14ac:dyDescent="0.3">
      <c r="A1399" s="36" t="str">
        <f xml:space="preserve"> IF( 'From SvanPC++'!A1389= "", "", ('From SvanPC++'!A1389))</f>
        <v/>
      </c>
      <c r="B1399" s="36"/>
      <c r="C1399" s="36"/>
      <c r="D1399" s="36"/>
      <c r="E1399" s="47"/>
      <c r="F1399" s="19"/>
      <c r="I1399" s="36"/>
      <c r="S1399" s="36"/>
      <c r="T1399" s="36"/>
    </row>
    <row r="1400" spans="1:20" s="38" customFormat="1" x14ac:dyDescent="0.3">
      <c r="A1400" s="36" t="str">
        <f xml:space="preserve"> IF( 'From SvanPC++'!A1390= "", "", ('From SvanPC++'!A1390))</f>
        <v/>
      </c>
      <c r="B1400" s="36"/>
      <c r="C1400" s="36"/>
      <c r="D1400" s="36"/>
      <c r="E1400" s="47"/>
      <c r="F1400" s="19"/>
      <c r="I1400" s="36"/>
      <c r="S1400" s="36"/>
      <c r="T1400" s="36"/>
    </row>
    <row r="1401" spans="1:20" s="38" customFormat="1" x14ac:dyDescent="0.3">
      <c r="A1401" s="36" t="str">
        <f xml:space="preserve"> IF( 'From SvanPC++'!A1391= "", "", ('From SvanPC++'!A1391))</f>
        <v/>
      </c>
      <c r="B1401" s="36"/>
      <c r="C1401" s="36"/>
      <c r="D1401" s="36"/>
      <c r="E1401" s="47"/>
      <c r="F1401" s="19"/>
      <c r="I1401" s="36"/>
      <c r="S1401" s="36"/>
      <c r="T1401" s="36"/>
    </row>
    <row r="1402" spans="1:20" s="38" customFormat="1" x14ac:dyDescent="0.3">
      <c r="A1402" s="36" t="str">
        <f xml:space="preserve"> IF( 'From SvanPC++'!A1392= "", "", ('From SvanPC++'!A1392))</f>
        <v/>
      </c>
      <c r="B1402" s="36"/>
      <c r="C1402" s="36"/>
      <c r="D1402" s="36"/>
      <c r="E1402" s="47"/>
      <c r="F1402" s="19"/>
      <c r="I1402" s="36"/>
      <c r="S1402" s="36"/>
      <c r="T1402" s="36"/>
    </row>
    <row r="1403" spans="1:20" s="38" customFormat="1" x14ac:dyDescent="0.3">
      <c r="A1403" s="36" t="str">
        <f xml:space="preserve"> IF( 'From SvanPC++'!A1393= "", "", ('From SvanPC++'!A1393))</f>
        <v/>
      </c>
      <c r="B1403" s="36"/>
      <c r="C1403" s="36"/>
      <c r="D1403" s="36"/>
      <c r="E1403" s="47"/>
      <c r="F1403" s="19"/>
      <c r="I1403" s="36"/>
      <c r="S1403" s="36"/>
      <c r="T1403" s="36"/>
    </row>
    <row r="1404" spans="1:20" s="38" customFormat="1" x14ac:dyDescent="0.3">
      <c r="A1404" s="36" t="str">
        <f xml:space="preserve"> IF( 'From SvanPC++'!A1394= "", "", ('From SvanPC++'!A1394))</f>
        <v/>
      </c>
      <c r="B1404" s="36"/>
      <c r="C1404" s="36"/>
      <c r="D1404" s="36"/>
      <c r="E1404" s="47"/>
      <c r="F1404" s="19"/>
      <c r="I1404" s="36"/>
      <c r="S1404" s="36"/>
      <c r="T1404" s="36"/>
    </row>
    <row r="1405" spans="1:20" s="38" customFormat="1" x14ac:dyDescent="0.3">
      <c r="A1405" s="36" t="str">
        <f xml:space="preserve"> IF( 'From SvanPC++'!A1395= "", "", ('From SvanPC++'!A1395))</f>
        <v/>
      </c>
      <c r="B1405" s="36"/>
      <c r="C1405" s="36"/>
      <c r="D1405" s="36"/>
      <c r="E1405" s="47"/>
      <c r="F1405" s="19"/>
      <c r="I1405" s="36"/>
      <c r="S1405" s="36"/>
      <c r="T1405" s="36"/>
    </row>
    <row r="1406" spans="1:20" s="38" customFormat="1" x14ac:dyDescent="0.3">
      <c r="A1406" s="36" t="str">
        <f xml:space="preserve"> IF( 'From SvanPC++'!A1396= "", "", ('From SvanPC++'!A1396))</f>
        <v/>
      </c>
      <c r="B1406" s="36"/>
      <c r="C1406" s="36"/>
      <c r="D1406" s="36"/>
      <c r="E1406" s="47"/>
      <c r="F1406" s="19"/>
      <c r="I1406" s="36"/>
      <c r="S1406" s="36"/>
      <c r="T1406" s="36"/>
    </row>
    <row r="1407" spans="1:20" s="38" customFormat="1" x14ac:dyDescent="0.3">
      <c r="A1407" s="36" t="str">
        <f xml:space="preserve"> IF( 'From SvanPC++'!A1397= "", "", ('From SvanPC++'!A1397))</f>
        <v/>
      </c>
      <c r="B1407" s="36"/>
      <c r="C1407" s="36"/>
      <c r="D1407" s="36"/>
      <c r="E1407" s="47"/>
      <c r="F1407" s="19"/>
      <c r="I1407" s="36"/>
      <c r="S1407" s="36"/>
      <c r="T1407" s="36"/>
    </row>
    <row r="1408" spans="1:20" s="38" customFormat="1" x14ac:dyDescent="0.3">
      <c r="A1408" s="36" t="str">
        <f xml:space="preserve"> IF( 'From SvanPC++'!A1398= "", "", ('From SvanPC++'!A1398))</f>
        <v/>
      </c>
      <c r="B1408" s="36"/>
      <c r="C1408" s="36"/>
      <c r="D1408" s="36"/>
      <c r="E1408" s="47"/>
      <c r="F1408" s="19"/>
      <c r="I1408" s="36"/>
      <c r="S1408" s="36"/>
      <c r="T1408" s="36"/>
    </row>
    <row r="1409" spans="1:20" s="38" customFormat="1" x14ac:dyDescent="0.3">
      <c r="A1409" s="36" t="str">
        <f xml:space="preserve"> IF( 'From SvanPC++'!A1399= "", "", ('From SvanPC++'!A1399))</f>
        <v/>
      </c>
      <c r="B1409" s="36"/>
      <c r="C1409" s="36"/>
      <c r="D1409" s="36"/>
      <c r="E1409" s="47"/>
      <c r="F1409" s="19"/>
      <c r="I1409" s="36"/>
      <c r="S1409" s="36"/>
      <c r="T1409" s="36"/>
    </row>
    <row r="1410" spans="1:20" s="38" customFormat="1" x14ac:dyDescent="0.3">
      <c r="A1410" s="36" t="str">
        <f xml:space="preserve"> IF( 'From SvanPC++'!A1400= "", "", ('From SvanPC++'!A1400))</f>
        <v/>
      </c>
      <c r="B1410" s="36"/>
      <c r="C1410" s="36"/>
      <c r="D1410" s="36"/>
      <c r="E1410" s="47"/>
      <c r="F1410" s="19"/>
      <c r="I1410" s="36"/>
      <c r="S1410" s="36"/>
      <c r="T1410" s="36"/>
    </row>
    <row r="1411" spans="1:20" s="38" customFormat="1" x14ac:dyDescent="0.3">
      <c r="A1411" s="36" t="str">
        <f xml:space="preserve"> IF( 'From SvanPC++'!A1401= "", "", ('From SvanPC++'!A1401))</f>
        <v/>
      </c>
      <c r="B1411" s="36"/>
      <c r="C1411" s="36"/>
      <c r="D1411" s="36"/>
      <c r="E1411" s="47"/>
      <c r="F1411" s="19"/>
      <c r="I1411" s="36"/>
      <c r="S1411" s="36"/>
      <c r="T1411" s="36"/>
    </row>
    <row r="1412" spans="1:20" s="38" customFormat="1" x14ac:dyDescent="0.3">
      <c r="A1412" s="36" t="str">
        <f xml:space="preserve"> IF( 'From SvanPC++'!A1402= "", "", ('From SvanPC++'!A1402))</f>
        <v/>
      </c>
      <c r="B1412" s="36"/>
      <c r="C1412" s="36"/>
      <c r="D1412" s="36"/>
      <c r="E1412" s="47"/>
      <c r="F1412" s="19"/>
      <c r="I1412" s="36"/>
      <c r="S1412" s="36"/>
      <c r="T1412" s="36"/>
    </row>
    <row r="1413" spans="1:20" s="38" customFormat="1" x14ac:dyDescent="0.3">
      <c r="A1413" s="36" t="str">
        <f xml:space="preserve"> IF( 'From SvanPC++'!A1403= "", "", ('From SvanPC++'!A1403))</f>
        <v/>
      </c>
      <c r="B1413" s="36"/>
      <c r="C1413" s="36"/>
      <c r="D1413" s="36"/>
      <c r="E1413" s="47"/>
      <c r="F1413" s="19"/>
      <c r="I1413" s="36"/>
      <c r="S1413" s="36"/>
      <c r="T1413" s="36"/>
    </row>
    <row r="1414" spans="1:20" s="38" customFormat="1" x14ac:dyDescent="0.3">
      <c r="A1414" s="36" t="str">
        <f xml:space="preserve"> IF( 'From SvanPC++'!A1404= "", "", ('From SvanPC++'!A1404))</f>
        <v/>
      </c>
      <c r="B1414" s="36"/>
      <c r="C1414" s="36"/>
      <c r="D1414" s="36"/>
      <c r="E1414" s="47"/>
      <c r="F1414" s="19"/>
      <c r="I1414" s="36"/>
      <c r="S1414" s="36"/>
      <c r="T1414" s="36"/>
    </row>
    <row r="1415" spans="1:20" s="38" customFormat="1" x14ac:dyDescent="0.3">
      <c r="A1415" s="36" t="str">
        <f xml:space="preserve"> IF( 'From SvanPC++'!A1405= "", "", ('From SvanPC++'!A1405))</f>
        <v/>
      </c>
      <c r="B1415" s="36"/>
      <c r="C1415" s="36"/>
      <c r="D1415" s="36"/>
      <c r="E1415" s="47"/>
      <c r="F1415" s="19"/>
      <c r="I1415" s="36"/>
      <c r="S1415" s="36"/>
      <c r="T1415" s="36"/>
    </row>
    <row r="1416" spans="1:20" s="38" customFormat="1" x14ac:dyDescent="0.3">
      <c r="A1416" s="36" t="str">
        <f xml:space="preserve"> IF( 'From SvanPC++'!A1406= "", "", ('From SvanPC++'!A1406))</f>
        <v/>
      </c>
      <c r="B1416" s="36"/>
      <c r="C1416" s="36"/>
      <c r="D1416" s="36"/>
      <c r="E1416" s="47"/>
      <c r="F1416" s="19"/>
      <c r="I1416" s="36"/>
      <c r="S1416" s="36"/>
      <c r="T1416" s="36"/>
    </row>
    <row r="1417" spans="1:20" s="38" customFormat="1" x14ac:dyDescent="0.3">
      <c r="A1417" s="36" t="str">
        <f xml:space="preserve"> IF( 'From SvanPC++'!A1407= "", "", ('From SvanPC++'!A1407))</f>
        <v/>
      </c>
      <c r="B1417" s="36"/>
      <c r="C1417" s="36"/>
      <c r="D1417" s="36"/>
      <c r="E1417" s="47"/>
      <c r="F1417" s="19"/>
      <c r="I1417" s="36"/>
      <c r="S1417" s="36"/>
      <c r="T1417" s="36"/>
    </row>
    <row r="1418" spans="1:20" s="38" customFormat="1" x14ac:dyDescent="0.3">
      <c r="A1418" s="36" t="str">
        <f xml:space="preserve"> IF( 'From SvanPC++'!A1408= "", "", ('From SvanPC++'!A1408))</f>
        <v/>
      </c>
      <c r="B1418" s="36"/>
      <c r="C1418" s="36"/>
      <c r="D1418" s="36"/>
      <c r="E1418" s="47"/>
      <c r="F1418" s="19"/>
      <c r="I1418" s="36"/>
      <c r="S1418" s="36"/>
      <c r="T1418" s="36"/>
    </row>
    <row r="1419" spans="1:20" s="38" customFormat="1" x14ac:dyDescent="0.3">
      <c r="A1419" s="36" t="str">
        <f xml:space="preserve"> IF( 'From SvanPC++'!A1409= "", "", ('From SvanPC++'!A1409))</f>
        <v/>
      </c>
      <c r="B1419" s="36"/>
      <c r="C1419" s="36"/>
      <c r="D1419" s="36"/>
      <c r="E1419" s="47"/>
      <c r="F1419" s="19"/>
      <c r="I1419" s="36"/>
      <c r="S1419" s="36"/>
      <c r="T1419" s="36"/>
    </row>
    <row r="1420" spans="1:20" s="38" customFormat="1" x14ac:dyDescent="0.3">
      <c r="A1420" s="36" t="str">
        <f xml:space="preserve"> IF( 'From SvanPC++'!A1410= "", "", ('From SvanPC++'!A1410))</f>
        <v/>
      </c>
      <c r="B1420" s="36"/>
      <c r="C1420" s="36"/>
      <c r="D1420" s="36"/>
      <c r="E1420" s="47"/>
      <c r="F1420" s="19"/>
      <c r="I1420" s="36"/>
      <c r="S1420" s="36"/>
      <c r="T1420" s="36"/>
    </row>
    <row r="1421" spans="1:20" s="38" customFormat="1" x14ac:dyDescent="0.3">
      <c r="A1421" s="36" t="str">
        <f xml:space="preserve"> IF( 'From SvanPC++'!A1411= "", "", ('From SvanPC++'!A1411))</f>
        <v/>
      </c>
      <c r="B1421" s="36"/>
      <c r="C1421" s="36"/>
      <c r="D1421" s="36"/>
      <c r="E1421" s="47"/>
      <c r="F1421" s="19"/>
      <c r="I1421" s="36"/>
      <c r="S1421" s="36"/>
      <c r="T1421" s="36"/>
    </row>
    <row r="1422" spans="1:20" s="38" customFormat="1" x14ac:dyDescent="0.3">
      <c r="A1422" s="36" t="str">
        <f xml:space="preserve"> IF( 'From SvanPC++'!A1412= "", "", ('From SvanPC++'!A1412))</f>
        <v/>
      </c>
      <c r="B1422" s="36"/>
      <c r="C1422" s="36"/>
      <c r="D1422" s="36"/>
      <c r="E1422" s="47"/>
      <c r="F1422" s="19"/>
      <c r="I1422" s="36"/>
      <c r="S1422" s="36"/>
      <c r="T1422" s="36"/>
    </row>
    <row r="1423" spans="1:20" s="38" customFormat="1" x14ac:dyDescent="0.3">
      <c r="A1423" s="36" t="str">
        <f xml:space="preserve"> IF( 'From SvanPC++'!A1413= "", "", ('From SvanPC++'!A1413))</f>
        <v/>
      </c>
      <c r="B1423" s="36"/>
      <c r="C1423" s="36"/>
      <c r="D1423" s="36"/>
      <c r="E1423" s="47"/>
      <c r="F1423" s="19"/>
      <c r="I1423" s="36"/>
      <c r="S1423" s="36"/>
      <c r="T1423" s="36"/>
    </row>
    <row r="1424" spans="1:20" s="38" customFormat="1" x14ac:dyDescent="0.3">
      <c r="A1424" s="36" t="str">
        <f xml:space="preserve"> IF( 'From SvanPC++'!A1414= "", "", ('From SvanPC++'!A1414))</f>
        <v/>
      </c>
      <c r="B1424" s="36"/>
      <c r="C1424" s="36"/>
      <c r="D1424" s="36"/>
      <c r="E1424" s="47"/>
      <c r="F1424" s="19"/>
      <c r="I1424" s="36"/>
      <c r="S1424" s="36"/>
      <c r="T1424" s="36"/>
    </row>
    <row r="1425" spans="1:20" s="38" customFormat="1" x14ac:dyDescent="0.3">
      <c r="A1425" s="36" t="str">
        <f xml:space="preserve"> IF( 'From SvanPC++'!A1415= "", "", ('From SvanPC++'!A1415))</f>
        <v/>
      </c>
      <c r="B1425" s="36"/>
      <c r="C1425" s="36"/>
      <c r="D1425" s="36"/>
      <c r="E1425" s="47"/>
      <c r="F1425" s="19"/>
      <c r="I1425" s="36"/>
      <c r="S1425" s="36"/>
      <c r="T1425" s="36"/>
    </row>
    <row r="1426" spans="1:20" s="38" customFormat="1" x14ac:dyDescent="0.3">
      <c r="A1426" s="36" t="str">
        <f xml:space="preserve"> IF( 'From SvanPC++'!A1416= "", "", ('From SvanPC++'!A1416))</f>
        <v/>
      </c>
      <c r="B1426" s="36"/>
      <c r="C1426" s="36"/>
      <c r="D1426" s="36"/>
      <c r="E1426" s="47"/>
      <c r="F1426" s="19"/>
      <c r="I1426" s="36"/>
      <c r="S1426" s="36"/>
      <c r="T1426" s="36"/>
    </row>
    <row r="1427" spans="1:20" s="38" customFormat="1" x14ac:dyDescent="0.3">
      <c r="A1427" s="36" t="str">
        <f xml:space="preserve"> IF( 'From SvanPC++'!A1417= "", "", ('From SvanPC++'!A1417))</f>
        <v/>
      </c>
      <c r="B1427" s="36"/>
      <c r="C1427" s="36"/>
      <c r="D1427" s="36"/>
      <c r="E1427" s="47"/>
      <c r="F1427" s="19"/>
      <c r="I1427" s="36"/>
      <c r="S1427" s="36"/>
      <c r="T1427" s="36"/>
    </row>
    <row r="1428" spans="1:20" s="38" customFormat="1" x14ac:dyDescent="0.3">
      <c r="A1428" s="36" t="str">
        <f xml:space="preserve"> IF( 'From SvanPC++'!A1418= "", "", ('From SvanPC++'!A1418))</f>
        <v/>
      </c>
      <c r="B1428" s="36"/>
      <c r="C1428" s="36"/>
      <c r="D1428" s="36"/>
      <c r="E1428" s="47"/>
      <c r="F1428" s="19"/>
      <c r="I1428" s="36"/>
      <c r="S1428" s="36"/>
      <c r="T1428" s="36"/>
    </row>
    <row r="1429" spans="1:20" s="38" customFormat="1" x14ac:dyDescent="0.3">
      <c r="A1429" s="36" t="str">
        <f xml:space="preserve"> IF( 'From SvanPC++'!A1419= "", "", ('From SvanPC++'!A1419))</f>
        <v/>
      </c>
      <c r="B1429" s="36"/>
      <c r="C1429" s="36"/>
      <c r="D1429" s="36"/>
      <c r="E1429" s="47"/>
      <c r="F1429" s="19"/>
      <c r="I1429" s="36"/>
      <c r="S1429" s="36"/>
      <c r="T1429" s="36"/>
    </row>
    <row r="1430" spans="1:20" s="38" customFormat="1" x14ac:dyDescent="0.3">
      <c r="A1430" s="36" t="str">
        <f xml:space="preserve"> IF( 'From SvanPC++'!A1420= "", "", ('From SvanPC++'!A1420))</f>
        <v/>
      </c>
      <c r="B1430" s="36"/>
      <c r="C1430" s="36"/>
      <c r="D1430" s="36"/>
      <c r="E1430" s="47"/>
      <c r="F1430" s="19"/>
      <c r="I1430" s="36"/>
      <c r="S1430" s="36"/>
      <c r="T1430" s="36"/>
    </row>
    <row r="1431" spans="1:20" s="38" customFormat="1" x14ac:dyDescent="0.3">
      <c r="A1431" s="36" t="str">
        <f xml:space="preserve"> IF( 'From SvanPC++'!A1421= "", "", ('From SvanPC++'!A1421))</f>
        <v/>
      </c>
      <c r="B1431" s="36"/>
      <c r="C1431" s="36"/>
      <c r="D1431" s="36"/>
      <c r="E1431" s="47"/>
      <c r="F1431" s="19"/>
      <c r="I1431" s="36"/>
      <c r="S1431" s="36"/>
      <c r="T1431" s="36"/>
    </row>
    <row r="1432" spans="1:20" s="38" customFormat="1" x14ac:dyDescent="0.3">
      <c r="A1432" s="36" t="str">
        <f xml:space="preserve"> IF( 'From SvanPC++'!A1422= "", "", ('From SvanPC++'!A1422))</f>
        <v/>
      </c>
      <c r="B1432" s="36"/>
      <c r="C1432" s="36"/>
      <c r="D1432" s="36"/>
      <c r="E1432" s="47"/>
      <c r="F1432" s="19"/>
      <c r="I1432" s="36"/>
      <c r="S1432" s="36"/>
      <c r="T1432" s="36"/>
    </row>
    <row r="1433" spans="1:20" s="38" customFormat="1" x14ac:dyDescent="0.3">
      <c r="A1433" s="36" t="str">
        <f xml:space="preserve"> IF( 'From SvanPC++'!A1423= "", "", ('From SvanPC++'!A1423))</f>
        <v/>
      </c>
      <c r="B1433" s="36"/>
      <c r="C1433" s="36"/>
      <c r="D1433" s="36"/>
      <c r="E1433" s="47"/>
      <c r="F1433" s="19"/>
      <c r="I1433" s="36"/>
      <c r="S1433" s="36"/>
      <c r="T1433" s="36"/>
    </row>
    <row r="1434" spans="1:20" s="38" customFormat="1" x14ac:dyDescent="0.3">
      <c r="A1434" s="36" t="str">
        <f xml:space="preserve"> IF( 'From SvanPC++'!A1424= "", "", ('From SvanPC++'!A1424))</f>
        <v/>
      </c>
      <c r="B1434" s="36"/>
      <c r="C1434" s="36"/>
      <c r="D1434" s="36"/>
      <c r="E1434" s="47"/>
      <c r="F1434" s="19"/>
      <c r="I1434" s="36"/>
      <c r="S1434" s="36"/>
      <c r="T1434" s="36"/>
    </row>
    <row r="1435" spans="1:20" s="38" customFormat="1" x14ac:dyDescent="0.3">
      <c r="A1435" s="36" t="str">
        <f xml:space="preserve"> IF( 'From SvanPC++'!A1425= "", "", ('From SvanPC++'!A1425))</f>
        <v/>
      </c>
      <c r="B1435" s="36"/>
      <c r="C1435" s="36"/>
      <c r="D1435" s="36"/>
      <c r="E1435" s="47"/>
      <c r="F1435" s="19"/>
      <c r="I1435" s="36"/>
      <c r="S1435" s="36"/>
      <c r="T1435" s="36"/>
    </row>
    <row r="1436" spans="1:20" s="38" customFormat="1" x14ac:dyDescent="0.3">
      <c r="A1436" s="36" t="str">
        <f xml:space="preserve"> IF( 'From SvanPC++'!A1426= "", "", ('From SvanPC++'!A1426))</f>
        <v/>
      </c>
      <c r="B1436" s="36"/>
      <c r="C1436" s="36"/>
      <c r="D1436" s="36"/>
      <c r="E1436" s="47"/>
      <c r="F1436" s="19"/>
      <c r="I1436" s="36"/>
      <c r="S1436" s="36"/>
      <c r="T1436" s="36"/>
    </row>
    <row r="1437" spans="1:20" s="38" customFormat="1" x14ac:dyDescent="0.3">
      <c r="A1437" s="36" t="str">
        <f xml:space="preserve"> IF( 'From SvanPC++'!A1427= "", "", ('From SvanPC++'!A1427))</f>
        <v/>
      </c>
      <c r="B1437" s="36"/>
      <c r="C1437" s="36"/>
      <c r="D1437" s="36"/>
      <c r="E1437" s="47"/>
      <c r="F1437" s="19"/>
      <c r="I1437" s="36"/>
      <c r="S1437" s="36"/>
      <c r="T1437" s="36"/>
    </row>
    <row r="1438" spans="1:20" s="38" customFormat="1" x14ac:dyDescent="0.3">
      <c r="A1438" s="36" t="str">
        <f xml:space="preserve"> IF( 'From SvanPC++'!A1428= "", "", ('From SvanPC++'!A1428))</f>
        <v/>
      </c>
      <c r="B1438" s="36"/>
      <c r="C1438" s="36"/>
      <c r="D1438" s="36"/>
      <c r="E1438" s="47"/>
      <c r="F1438" s="19"/>
      <c r="I1438" s="36"/>
      <c r="S1438" s="36"/>
      <c r="T1438" s="36"/>
    </row>
    <row r="1439" spans="1:20" s="38" customFormat="1" x14ac:dyDescent="0.3">
      <c r="A1439" s="36" t="str">
        <f xml:space="preserve"> IF( 'From SvanPC++'!A1429= "", "", ('From SvanPC++'!A1429))</f>
        <v/>
      </c>
      <c r="B1439" s="36"/>
      <c r="C1439" s="36"/>
      <c r="D1439" s="36"/>
      <c r="E1439" s="47"/>
      <c r="F1439" s="19"/>
      <c r="I1439" s="36"/>
      <c r="S1439" s="36"/>
      <c r="T1439" s="36"/>
    </row>
    <row r="1440" spans="1:20" s="38" customFormat="1" x14ac:dyDescent="0.3">
      <c r="A1440" s="36" t="str">
        <f xml:space="preserve"> IF( 'From SvanPC++'!A1430= "", "", ('From SvanPC++'!A1430))</f>
        <v/>
      </c>
      <c r="B1440" s="36"/>
      <c r="C1440" s="36"/>
      <c r="D1440" s="36"/>
      <c r="E1440" s="47"/>
      <c r="F1440" s="19"/>
      <c r="I1440" s="36"/>
      <c r="S1440" s="36"/>
      <c r="T1440" s="36"/>
    </row>
    <row r="1441" spans="1:20" s="38" customFormat="1" x14ac:dyDescent="0.3">
      <c r="A1441" s="36" t="str">
        <f xml:space="preserve"> IF( 'From SvanPC++'!A1431= "", "", ('From SvanPC++'!A1431))</f>
        <v/>
      </c>
      <c r="B1441" s="36"/>
      <c r="C1441" s="36"/>
      <c r="D1441" s="36"/>
      <c r="E1441" s="47"/>
      <c r="F1441" s="19"/>
      <c r="I1441" s="36"/>
      <c r="S1441" s="36"/>
      <c r="T1441" s="36"/>
    </row>
    <row r="1442" spans="1:20" s="38" customFormat="1" x14ac:dyDescent="0.3">
      <c r="A1442" s="36" t="str">
        <f xml:space="preserve"> IF( 'From SvanPC++'!A1432= "", "", ('From SvanPC++'!A1432))</f>
        <v/>
      </c>
      <c r="B1442" s="36"/>
      <c r="C1442" s="36"/>
      <c r="D1442" s="36"/>
      <c r="E1442" s="47"/>
      <c r="F1442" s="19"/>
      <c r="I1442" s="36"/>
      <c r="S1442" s="36"/>
      <c r="T1442" s="36"/>
    </row>
    <row r="1443" spans="1:20" s="38" customFormat="1" x14ac:dyDescent="0.3">
      <c r="A1443" s="36" t="str">
        <f xml:space="preserve"> IF( 'From SvanPC++'!A1433= "", "", ('From SvanPC++'!A1433))</f>
        <v/>
      </c>
      <c r="B1443" s="36"/>
      <c r="C1443" s="36"/>
      <c r="D1443" s="36"/>
      <c r="E1443" s="47"/>
      <c r="F1443" s="19"/>
      <c r="I1443" s="36"/>
      <c r="S1443" s="36"/>
      <c r="T1443" s="36"/>
    </row>
    <row r="1444" spans="1:20" s="38" customFormat="1" x14ac:dyDescent="0.3">
      <c r="A1444" s="36" t="str">
        <f xml:space="preserve"> IF( 'From SvanPC++'!A1434= "", "", ('From SvanPC++'!A1434))</f>
        <v/>
      </c>
      <c r="B1444" s="36"/>
      <c r="C1444" s="36"/>
      <c r="D1444" s="36"/>
      <c r="E1444" s="47"/>
      <c r="F1444" s="19"/>
      <c r="I1444" s="36"/>
      <c r="S1444" s="36"/>
      <c r="T1444" s="36"/>
    </row>
    <row r="1445" spans="1:20" s="38" customFormat="1" x14ac:dyDescent="0.3">
      <c r="A1445" s="36" t="str">
        <f xml:space="preserve"> IF( 'From SvanPC++'!A1435= "", "", ('From SvanPC++'!A1435))</f>
        <v/>
      </c>
      <c r="B1445" s="36"/>
      <c r="C1445" s="36"/>
      <c r="D1445" s="36"/>
      <c r="E1445" s="47"/>
      <c r="F1445" s="19"/>
      <c r="I1445" s="36"/>
      <c r="S1445" s="36"/>
      <c r="T1445" s="36"/>
    </row>
    <row r="1446" spans="1:20" s="38" customFormat="1" x14ac:dyDescent="0.3">
      <c r="A1446" s="36" t="str">
        <f xml:space="preserve"> IF( 'From SvanPC++'!A1436= "", "", ('From SvanPC++'!A1436))</f>
        <v/>
      </c>
      <c r="B1446" s="36"/>
      <c r="C1446" s="36"/>
      <c r="D1446" s="36"/>
      <c r="E1446" s="47"/>
      <c r="F1446" s="19"/>
      <c r="I1446" s="36"/>
      <c r="S1446" s="36"/>
      <c r="T1446" s="36"/>
    </row>
    <row r="1447" spans="1:20" s="38" customFormat="1" x14ac:dyDescent="0.3">
      <c r="A1447" s="36" t="str">
        <f xml:space="preserve"> IF( 'From SvanPC++'!A1437= "", "", ('From SvanPC++'!A1437))</f>
        <v/>
      </c>
      <c r="B1447" s="36"/>
      <c r="C1447" s="36"/>
      <c r="D1447" s="36"/>
      <c r="E1447" s="47"/>
      <c r="F1447" s="19"/>
      <c r="I1447" s="36"/>
      <c r="S1447" s="36"/>
      <c r="T1447" s="36"/>
    </row>
    <row r="1448" spans="1:20" s="38" customFormat="1" x14ac:dyDescent="0.3">
      <c r="A1448" s="36" t="str">
        <f xml:space="preserve"> IF( 'From SvanPC++'!A1438= "", "", ('From SvanPC++'!A1438))</f>
        <v/>
      </c>
      <c r="B1448" s="36"/>
      <c r="C1448" s="36"/>
      <c r="D1448" s="36"/>
      <c r="E1448" s="47"/>
      <c r="F1448" s="19"/>
      <c r="I1448" s="36"/>
      <c r="S1448" s="36"/>
      <c r="T1448" s="36"/>
    </row>
    <row r="1449" spans="1:20" s="38" customFormat="1" x14ac:dyDescent="0.3">
      <c r="A1449" s="36" t="str">
        <f xml:space="preserve"> IF( 'From SvanPC++'!A1439= "", "", ('From SvanPC++'!A1439))</f>
        <v/>
      </c>
      <c r="B1449" s="36"/>
      <c r="C1449" s="36"/>
      <c r="D1449" s="36"/>
      <c r="E1449" s="47"/>
      <c r="F1449" s="19"/>
      <c r="I1449" s="36"/>
      <c r="S1449" s="36"/>
      <c r="T1449" s="36"/>
    </row>
    <row r="1450" spans="1:20" s="38" customFormat="1" x14ac:dyDescent="0.3">
      <c r="A1450" s="36" t="str">
        <f xml:space="preserve"> IF( 'From SvanPC++'!A1440= "", "", ('From SvanPC++'!A1440))</f>
        <v/>
      </c>
      <c r="B1450" s="36"/>
      <c r="C1450" s="36"/>
      <c r="D1450" s="36"/>
      <c r="E1450" s="47"/>
      <c r="F1450" s="19"/>
      <c r="I1450" s="36"/>
      <c r="S1450" s="36"/>
      <c r="T1450" s="36"/>
    </row>
    <row r="1451" spans="1:20" s="38" customFormat="1" x14ac:dyDescent="0.3">
      <c r="A1451" s="36" t="str">
        <f xml:space="preserve"> IF( 'From SvanPC++'!A1441= "", "", ('From SvanPC++'!A1441))</f>
        <v/>
      </c>
      <c r="B1451" s="36"/>
      <c r="C1451" s="36"/>
      <c r="D1451" s="36"/>
      <c r="E1451" s="47"/>
      <c r="F1451" s="19"/>
      <c r="I1451" s="36"/>
      <c r="S1451" s="36"/>
      <c r="T1451" s="36"/>
    </row>
    <row r="1452" spans="1:20" s="38" customFormat="1" x14ac:dyDescent="0.3">
      <c r="A1452" s="36" t="str">
        <f xml:space="preserve"> IF( 'From SvanPC++'!A1442= "", "", ('From SvanPC++'!A1442))</f>
        <v/>
      </c>
      <c r="B1452" s="36"/>
      <c r="C1452" s="36"/>
      <c r="D1452" s="36"/>
      <c r="E1452" s="47"/>
      <c r="F1452" s="19"/>
      <c r="I1452" s="36"/>
      <c r="S1452" s="36"/>
      <c r="T1452" s="36"/>
    </row>
    <row r="1453" spans="1:20" s="38" customFormat="1" x14ac:dyDescent="0.3">
      <c r="A1453" s="36" t="str">
        <f xml:space="preserve"> IF( 'From SvanPC++'!A1443= "", "", ('From SvanPC++'!A1443))</f>
        <v/>
      </c>
      <c r="B1453" s="36"/>
      <c r="C1453" s="36"/>
      <c r="D1453" s="36"/>
      <c r="E1453" s="47"/>
      <c r="F1453" s="19"/>
      <c r="I1453" s="36"/>
      <c r="S1453" s="36"/>
      <c r="T1453" s="36"/>
    </row>
    <row r="1454" spans="1:20" s="38" customFormat="1" x14ac:dyDescent="0.3">
      <c r="A1454" s="36" t="str">
        <f xml:space="preserve"> IF( 'From SvanPC++'!A1444= "", "", ('From SvanPC++'!A1444))</f>
        <v/>
      </c>
      <c r="B1454" s="36"/>
      <c r="C1454" s="36"/>
      <c r="D1454" s="36"/>
      <c r="E1454" s="47"/>
      <c r="F1454" s="19"/>
      <c r="I1454" s="36"/>
      <c r="S1454" s="36"/>
      <c r="T1454" s="36"/>
    </row>
    <row r="1455" spans="1:20" s="38" customFormat="1" x14ac:dyDescent="0.3">
      <c r="A1455" s="36" t="str">
        <f xml:space="preserve"> IF( 'From SvanPC++'!A1445= "", "", ('From SvanPC++'!A1445))</f>
        <v/>
      </c>
      <c r="B1455" s="36"/>
      <c r="C1455" s="36"/>
      <c r="D1455" s="36"/>
      <c r="E1455" s="47"/>
      <c r="F1455" s="19"/>
      <c r="I1455" s="36"/>
      <c r="S1455" s="36"/>
      <c r="T1455" s="36"/>
    </row>
    <row r="1456" spans="1:20" s="38" customFormat="1" x14ac:dyDescent="0.3">
      <c r="A1456" s="36" t="str">
        <f xml:space="preserve"> IF( 'From SvanPC++'!A1446= "", "", ('From SvanPC++'!A1446))</f>
        <v/>
      </c>
      <c r="B1456" s="36"/>
      <c r="C1456" s="36"/>
      <c r="D1456" s="36"/>
      <c r="E1456" s="47"/>
      <c r="F1456" s="19"/>
      <c r="I1456" s="36"/>
      <c r="S1456" s="36"/>
      <c r="T1456" s="36"/>
    </row>
    <row r="1457" spans="1:20" s="38" customFormat="1" x14ac:dyDescent="0.3">
      <c r="A1457" s="36" t="str">
        <f xml:space="preserve"> IF( 'From SvanPC++'!A1447= "", "", ('From SvanPC++'!A1447))</f>
        <v/>
      </c>
      <c r="B1457" s="36"/>
      <c r="C1457" s="36"/>
      <c r="D1457" s="36"/>
      <c r="E1457" s="47"/>
      <c r="F1457" s="19"/>
      <c r="I1457" s="36"/>
      <c r="S1457" s="36"/>
      <c r="T1457" s="36"/>
    </row>
    <row r="1458" spans="1:20" s="38" customFormat="1" x14ac:dyDescent="0.3">
      <c r="A1458" s="36" t="str">
        <f xml:space="preserve"> IF( 'From SvanPC++'!A1448= "", "", ('From SvanPC++'!A1448))</f>
        <v/>
      </c>
      <c r="B1458" s="36"/>
      <c r="C1458" s="36"/>
      <c r="D1458" s="36"/>
      <c r="E1458" s="47"/>
      <c r="F1458" s="19"/>
      <c r="I1458" s="36"/>
      <c r="S1458" s="36"/>
      <c r="T1458" s="36"/>
    </row>
    <row r="1459" spans="1:20" s="38" customFormat="1" x14ac:dyDescent="0.3">
      <c r="A1459" s="36" t="str">
        <f xml:space="preserve"> IF( 'From SvanPC++'!A1449= "", "", ('From SvanPC++'!A1449))</f>
        <v/>
      </c>
      <c r="B1459" s="36"/>
      <c r="C1459" s="36"/>
      <c r="D1459" s="36"/>
      <c r="E1459" s="47"/>
      <c r="F1459" s="19"/>
      <c r="I1459" s="36"/>
      <c r="S1459" s="36"/>
      <c r="T1459" s="36"/>
    </row>
    <row r="1460" spans="1:20" s="38" customFormat="1" x14ac:dyDescent="0.3">
      <c r="A1460" s="36" t="str">
        <f xml:space="preserve"> IF( 'From SvanPC++'!A1450= "", "", ('From SvanPC++'!A1450))</f>
        <v/>
      </c>
      <c r="B1460" s="36"/>
      <c r="C1460" s="36"/>
      <c r="D1460" s="36"/>
      <c r="E1460" s="47"/>
      <c r="F1460" s="19"/>
      <c r="I1460" s="36"/>
      <c r="S1460" s="36"/>
      <c r="T1460" s="36"/>
    </row>
    <row r="1461" spans="1:20" s="38" customFormat="1" x14ac:dyDescent="0.3">
      <c r="A1461" s="36" t="str">
        <f xml:space="preserve"> IF( 'From SvanPC++'!A1451= "", "", ('From SvanPC++'!A1451))</f>
        <v/>
      </c>
      <c r="B1461" s="36"/>
      <c r="C1461" s="36"/>
      <c r="D1461" s="36"/>
      <c r="E1461" s="47"/>
      <c r="F1461" s="19"/>
      <c r="I1461" s="36"/>
      <c r="S1461" s="36"/>
      <c r="T1461" s="36"/>
    </row>
    <row r="1462" spans="1:20" s="38" customFormat="1" x14ac:dyDescent="0.3">
      <c r="A1462" s="36" t="str">
        <f xml:space="preserve"> IF( 'From SvanPC++'!A1452= "", "", ('From SvanPC++'!A1452))</f>
        <v/>
      </c>
      <c r="B1462" s="36"/>
      <c r="C1462" s="36"/>
      <c r="D1462" s="36"/>
      <c r="E1462" s="47"/>
      <c r="F1462" s="19"/>
      <c r="I1462" s="36"/>
      <c r="S1462" s="36"/>
      <c r="T1462" s="36"/>
    </row>
    <row r="1463" spans="1:20" s="38" customFormat="1" x14ac:dyDescent="0.3">
      <c r="A1463" s="36" t="str">
        <f xml:space="preserve"> IF( 'From SvanPC++'!A1453= "", "", ('From SvanPC++'!A1453))</f>
        <v/>
      </c>
      <c r="B1463" s="36"/>
      <c r="C1463" s="36"/>
      <c r="D1463" s="36"/>
      <c r="E1463" s="47"/>
      <c r="F1463" s="19"/>
      <c r="I1463" s="36"/>
      <c r="S1463" s="36"/>
      <c r="T1463" s="36"/>
    </row>
    <row r="1464" spans="1:20" s="38" customFormat="1" x14ac:dyDescent="0.3">
      <c r="A1464" s="36" t="str">
        <f xml:space="preserve"> IF( 'From SvanPC++'!A1454= "", "", ('From SvanPC++'!A1454))</f>
        <v/>
      </c>
      <c r="B1464" s="36"/>
      <c r="C1464" s="36"/>
      <c r="D1464" s="36"/>
      <c r="E1464" s="47"/>
      <c r="F1464" s="19"/>
      <c r="I1464" s="36"/>
      <c r="S1464" s="36"/>
      <c r="T1464" s="36"/>
    </row>
    <row r="1465" spans="1:20" s="38" customFormat="1" x14ac:dyDescent="0.3">
      <c r="A1465" s="36" t="str">
        <f xml:space="preserve"> IF( 'From SvanPC++'!A1455= "", "", ('From SvanPC++'!A1455))</f>
        <v/>
      </c>
      <c r="B1465" s="36"/>
      <c r="C1465" s="36"/>
      <c r="D1465" s="36"/>
      <c r="E1465" s="47"/>
      <c r="F1465" s="19"/>
      <c r="I1465" s="36"/>
      <c r="S1465" s="36"/>
      <c r="T1465" s="36"/>
    </row>
    <row r="1466" spans="1:20" s="38" customFormat="1" x14ac:dyDescent="0.3">
      <c r="A1466" s="36" t="str">
        <f xml:space="preserve"> IF( 'From SvanPC++'!A1456= "", "", ('From SvanPC++'!A1456))</f>
        <v/>
      </c>
      <c r="B1466" s="36"/>
      <c r="C1466" s="36"/>
      <c r="D1466" s="36"/>
      <c r="E1466" s="47"/>
      <c r="F1466" s="19"/>
      <c r="I1466" s="36"/>
      <c r="S1466" s="36"/>
      <c r="T1466" s="36"/>
    </row>
    <row r="1467" spans="1:20" s="38" customFormat="1" x14ac:dyDescent="0.3">
      <c r="A1467" s="36" t="str">
        <f xml:space="preserve"> IF( 'From SvanPC++'!A1457= "", "", ('From SvanPC++'!A1457))</f>
        <v/>
      </c>
      <c r="B1467" s="36"/>
      <c r="C1467" s="36"/>
      <c r="D1467" s="36"/>
      <c r="E1467" s="47"/>
      <c r="F1467" s="19"/>
      <c r="I1467" s="36"/>
      <c r="S1467" s="36"/>
      <c r="T1467" s="36"/>
    </row>
    <row r="1468" spans="1:20" s="38" customFormat="1" x14ac:dyDescent="0.3">
      <c r="A1468" s="36" t="str">
        <f xml:space="preserve"> IF( 'From SvanPC++'!A1458= "", "", ('From SvanPC++'!A1458))</f>
        <v/>
      </c>
      <c r="B1468" s="36"/>
      <c r="C1468" s="36"/>
      <c r="D1468" s="36"/>
      <c r="E1468" s="47"/>
      <c r="F1468" s="19"/>
      <c r="I1468" s="36"/>
      <c r="S1468" s="36"/>
      <c r="T1468" s="36"/>
    </row>
    <row r="1469" spans="1:20" s="38" customFormat="1" x14ac:dyDescent="0.3">
      <c r="A1469" s="36" t="str">
        <f xml:space="preserve"> IF( 'From SvanPC++'!A1459= "", "", ('From SvanPC++'!A1459))</f>
        <v/>
      </c>
      <c r="B1469" s="36"/>
      <c r="C1469" s="36"/>
      <c r="D1469" s="36"/>
      <c r="E1469" s="47"/>
      <c r="F1469" s="19"/>
      <c r="I1469" s="36"/>
      <c r="S1469" s="36"/>
      <c r="T1469" s="36"/>
    </row>
    <row r="1470" spans="1:20" s="38" customFormat="1" x14ac:dyDescent="0.3">
      <c r="A1470" s="36" t="str">
        <f xml:space="preserve"> IF( 'From SvanPC++'!A1460= "", "", ('From SvanPC++'!A1460))</f>
        <v/>
      </c>
      <c r="B1470" s="36"/>
      <c r="C1470" s="36"/>
      <c r="D1470" s="36"/>
      <c r="E1470" s="47"/>
      <c r="F1470" s="19"/>
      <c r="I1470" s="36"/>
      <c r="S1470" s="36"/>
      <c r="T1470" s="36"/>
    </row>
    <row r="1471" spans="1:20" s="38" customFormat="1" x14ac:dyDescent="0.3">
      <c r="A1471" s="36" t="str">
        <f xml:space="preserve"> IF( 'From SvanPC++'!A1461= "", "", ('From SvanPC++'!A1461))</f>
        <v/>
      </c>
      <c r="B1471" s="36"/>
      <c r="C1471" s="36"/>
      <c r="D1471" s="36"/>
      <c r="E1471" s="47"/>
      <c r="F1471" s="19"/>
      <c r="I1471" s="36"/>
      <c r="S1471" s="36"/>
      <c r="T1471" s="36"/>
    </row>
    <row r="1472" spans="1:20" s="38" customFormat="1" x14ac:dyDescent="0.3">
      <c r="A1472" s="36" t="str">
        <f xml:space="preserve"> IF( 'From SvanPC++'!A1462= "", "", ('From SvanPC++'!A1462))</f>
        <v/>
      </c>
      <c r="B1472" s="36"/>
      <c r="C1472" s="36"/>
      <c r="D1472" s="36"/>
      <c r="E1472" s="47"/>
      <c r="F1472" s="19"/>
      <c r="I1472" s="36"/>
      <c r="S1472" s="36"/>
      <c r="T1472" s="36"/>
    </row>
    <row r="1473" spans="1:20" s="38" customFormat="1" x14ac:dyDescent="0.3">
      <c r="A1473" s="36" t="str">
        <f xml:space="preserve"> IF( 'From SvanPC++'!A1463= "", "", ('From SvanPC++'!A1463))</f>
        <v/>
      </c>
      <c r="B1473" s="36"/>
      <c r="C1473" s="36"/>
      <c r="D1473" s="36"/>
      <c r="E1473" s="47"/>
      <c r="F1473" s="19"/>
      <c r="I1473" s="36"/>
      <c r="S1473" s="36"/>
      <c r="T1473" s="36"/>
    </row>
    <row r="1474" spans="1:20" s="38" customFormat="1" x14ac:dyDescent="0.3">
      <c r="A1474" s="36" t="str">
        <f xml:space="preserve"> IF( 'From SvanPC++'!A1464= "", "", ('From SvanPC++'!A1464))</f>
        <v/>
      </c>
      <c r="B1474" s="36"/>
      <c r="C1474" s="36"/>
      <c r="D1474" s="36"/>
      <c r="E1474" s="47"/>
      <c r="F1474" s="19"/>
      <c r="I1474" s="36"/>
      <c r="S1474" s="36"/>
      <c r="T1474" s="36"/>
    </row>
    <row r="1475" spans="1:20" s="38" customFormat="1" x14ac:dyDescent="0.3">
      <c r="A1475" s="36" t="str">
        <f xml:space="preserve"> IF( 'From SvanPC++'!A1465= "", "", ('From SvanPC++'!A1465))</f>
        <v/>
      </c>
      <c r="B1475" s="36"/>
      <c r="C1475" s="36"/>
      <c r="D1475" s="36"/>
      <c r="E1475" s="47"/>
      <c r="F1475" s="19"/>
      <c r="I1475" s="36"/>
      <c r="S1475" s="36"/>
      <c r="T1475" s="36"/>
    </row>
    <row r="1476" spans="1:20" s="38" customFormat="1" x14ac:dyDescent="0.3">
      <c r="A1476" s="36" t="str">
        <f xml:space="preserve"> IF( 'From SvanPC++'!A1466= "", "", ('From SvanPC++'!A1466))</f>
        <v/>
      </c>
      <c r="B1476" s="36"/>
      <c r="C1476" s="36"/>
      <c r="D1476" s="36"/>
      <c r="E1476" s="47"/>
      <c r="F1476" s="19"/>
      <c r="I1476" s="36"/>
      <c r="S1476" s="36"/>
      <c r="T1476" s="36"/>
    </row>
    <row r="1477" spans="1:20" s="38" customFormat="1" x14ac:dyDescent="0.3">
      <c r="A1477" s="36" t="str">
        <f xml:space="preserve"> IF( 'From SvanPC++'!A1467= "", "", ('From SvanPC++'!A1467))</f>
        <v/>
      </c>
      <c r="B1477" s="36"/>
      <c r="C1477" s="36"/>
      <c r="D1477" s="36"/>
      <c r="E1477" s="47"/>
      <c r="F1477" s="19"/>
      <c r="I1477" s="36"/>
      <c r="S1477" s="36"/>
      <c r="T1477" s="36"/>
    </row>
    <row r="1478" spans="1:20" s="38" customFormat="1" x14ac:dyDescent="0.3">
      <c r="A1478" s="36" t="str">
        <f xml:space="preserve"> IF( 'From SvanPC++'!A1468= "", "", ('From SvanPC++'!A1468))</f>
        <v/>
      </c>
      <c r="B1478" s="36"/>
      <c r="C1478" s="36"/>
      <c r="D1478" s="36"/>
      <c r="E1478" s="47"/>
      <c r="F1478" s="19"/>
      <c r="I1478" s="36"/>
      <c r="S1478" s="36"/>
      <c r="T1478" s="36"/>
    </row>
    <row r="1479" spans="1:20" s="38" customFormat="1" x14ac:dyDescent="0.3">
      <c r="A1479" s="36" t="str">
        <f xml:space="preserve"> IF( 'From SvanPC++'!A1469= "", "", ('From SvanPC++'!A1469))</f>
        <v/>
      </c>
      <c r="B1479" s="36"/>
      <c r="C1479" s="36"/>
      <c r="D1479" s="36"/>
      <c r="E1479" s="47"/>
      <c r="F1479" s="19"/>
      <c r="I1479" s="36"/>
      <c r="S1479" s="36"/>
      <c r="T1479" s="36"/>
    </row>
    <row r="1480" spans="1:20" s="38" customFormat="1" x14ac:dyDescent="0.3">
      <c r="A1480" s="36" t="str">
        <f xml:space="preserve"> IF( 'From SvanPC++'!A1470= "", "", ('From SvanPC++'!A1470))</f>
        <v/>
      </c>
      <c r="B1480" s="36"/>
      <c r="C1480" s="36"/>
      <c r="D1480" s="36"/>
      <c r="E1480" s="47"/>
      <c r="F1480" s="19"/>
      <c r="I1480" s="36"/>
      <c r="S1480" s="36"/>
      <c r="T1480" s="36"/>
    </row>
    <row r="1481" spans="1:20" s="38" customFormat="1" x14ac:dyDescent="0.3">
      <c r="A1481" s="36" t="str">
        <f xml:space="preserve"> IF( 'From SvanPC++'!A1471= "", "", ('From SvanPC++'!A1471))</f>
        <v/>
      </c>
      <c r="B1481" s="36"/>
      <c r="C1481" s="36"/>
      <c r="D1481" s="36"/>
      <c r="E1481" s="47"/>
      <c r="F1481" s="19"/>
      <c r="I1481" s="36"/>
      <c r="S1481" s="36"/>
      <c r="T1481" s="36"/>
    </row>
    <row r="1482" spans="1:20" s="38" customFormat="1" x14ac:dyDescent="0.3">
      <c r="A1482" s="36" t="str">
        <f xml:space="preserve"> IF( 'From SvanPC++'!A1472= "", "", ('From SvanPC++'!A1472))</f>
        <v/>
      </c>
      <c r="B1482" s="36"/>
      <c r="C1482" s="36"/>
      <c r="D1482" s="36"/>
      <c r="E1482" s="47"/>
      <c r="F1482" s="19"/>
      <c r="I1482" s="36"/>
      <c r="S1482" s="36"/>
      <c r="T1482" s="36"/>
    </row>
    <row r="1483" spans="1:20" s="38" customFormat="1" x14ac:dyDescent="0.3">
      <c r="A1483" s="36" t="str">
        <f xml:space="preserve"> IF( 'From SvanPC++'!A1473= "", "", ('From SvanPC++'!A1473))</f>
        <v/>
      </c>
      <c r="B1483" s="36"/>
      <c r="C1483" s="36"/>
      <c r="D1483" s="36"/>
      <c r="E1483" s="47"/>
      <c r="F1483" s="19"/>
      <c r="I1483" s="36"/>
      <c r="S1483" s="36"/>
      <c r="T1483" s="36"/>
    </row>
    <row r="1484" spans="1:20" s="38" customFormat="1" x14ac:dyDescent="0.3">
      <c r="A1484" s="36" t="str">
        <f xml:space="preserve"> IF( 'From SvanPC++'!A1474= "", "", ('From SvanPC++'!A1474))</f>
        <v/>
      </c>
      <c r="B1484" s="36"/>
      <c r="C1484" s="36"/>
      <c r="D1484" s="36"/>
      <c r="E1484" s="47"/>
      <c r="F1484" s="19"/>
      <c r="I1484" s="36"/>
      <c r="S1484" s="36"/>
      <c r="T1484" s="36"/>
    </row>
    <row r="1485" spans="1:20" s="38" customFormat="1" x14ac:dyDescent="0.3">
      <c r="A1485" s="36" t="str">
        <f xml:space="preserve"> IF( 'From SvanPC++'!A1475= "", "", ('From SvanPC++'!A1475))</f>
        <v/>
      </c>
      <c r="B1485" s="36"/>
      <c r="C1485" s="36"/>
      <c r="D1485" s="36"/>
      <c r="E1485" s="47"/>
      <c r="F1485" s="19"/>
      <c r="I1485" s="36"/>
      <c r="S1485" s="36"/>
      <c r="T1485" s="36"/>
    </row>
    <row r="1486" spans="1:20" s="38" customFormat="1" x14ac:dyDescent="0.3">
      <c r="A1486" s="36" t="str">
        <f xml:space="preserve"> IF( 'From SvanPC++'!A1476= "", "", ('From SvanPC++'!A1476))</f>
        <v/>
      </c>
      <c r="B1486" s="36"/>
      <c r="C1486" s="36"/>
      <c r="D1486" s="36"/>
      <c r="E1486" s="47"/>
      <c r="F1486" s="19"/>
      <c r="I1486" s="36"/>
      <c r="S1486" s="36"/>
      <c r="T1486" s="36"/>
    </row>
    <row r="1487" spans="1:20" s="38" customFormat="1" x14ac:dyDescent="0.3">
      <c r="A1487" s="36" t="str">
        <f xml:space="preserve"> IF( 'From SvanPC++'!A1477= "", "", ('From SvanPC++'!A1477))</f>
        <v/>
      </c>
      <c r="B1487" s="36"/>
      <c r="C1487" s="36"/>
      <c r="D1487" s="36"/>
      <c r="E1487" s="47"/>
      <c r="F1487" s="19"/>
      <c r="I1487" s="36"/>
      <c r="S1487" s="36"/>
      <c r="T1487" s="36"/>
    </row>
    <row r="1488" spans="1:20" s="38" customFormat="1" x14ac:dyDescent="0.3">
      <c r="A1488" s="36" t="str">
        <f xml:space="preserve"> IF( 'From SvanPC++'!A1478= "", "", ('From SvanPC++'!A1478))</f>
        <v/>
      </c>
      <c r="B1488" s="36"/>
      <c r="C1488" s="36"/>
      <c r="D1488" s="36"/>
      <c r="E1488" s="47"/>
      <c r="F1488" s="19"/>
      <c r="I1488" s="36"/>
      <c r="S1488" s="36"/>
      <c r="T1488" s="36"/>
    </row>
    <row r="1489" spans="1:20" s="38" customFormat="1" x14ac:dyDescent="0.3">
      <c r="A1489" s="36" t="str">
        <f xml:space="preserve"> IF( 'From SvanPC++'!A1479= "", "", ('From SvanPC++'!A1479))</f>
        <v/>
      </c>
      <c r="B1489" s="36"/>
      <c r="C1489" s="36"/>
      <c r="D1489" s="36"/>
      <c r="E1489" s="47"/>
      <c r="F1489" s="19"/>
      <c r="I1489" s="36"/>
      <c r="S1489" s="36"/>
      <c r="T1489" s="36"/>
    </row>
    <row r="1490" spans="1:20" s="38" customFormat="1" x14ac:dyDescent="0.3">
      <c r="A1490" s="36" t="str">
        <f xml:space="preserve"> IF( 'From SvanPC++'!A1480= "", "", ('From SvanPC++'!A1480))</f>
        <v/>
      </c>
      <c r="B1490" s="36"/>
      <c r="C1490" s="36"/>
      <c r="D1490" s="36"/>
      <c r="E1490" s="47"/>
      <c r="F1490" s="19"/>
      <c r="I1490" s="36"/>
      <c r="S1490" s="36"/>
      <c r="T1490" s="36"/>
    </row>
    <row r="1491" spans="1:20" s="38" customFormat="1" x14ac:dyDescent="0.3">
      <c r="A1491" s="36" t="str">
        <f xml:space="preserve"> IF( 'From SvanPC++'!A1481= "", "", ('From SvanPC++'!A1481))</f>
        <v/>
      </c>
      <c r="B1491" s="36"/>
      <c r="C1491" s="36"/>
      <c r="D1491" s="36"/>
      <c r="E1491" s="47"/>
      <c r="F1491" s="19"/>
      <c r="I1491" s="36"/>
      <c r="S1491" s="36"/>
      <c r="T1491" s="36"/>
    </row>
    <row r="1492" spans="1:20" s="38" customFormat="1" x14ac:dyDescent="0.3">
      <c r="A1492" s="36" t="str">
        <f xml:space="preserve"> IF( 'From SvanPC++'!A1482= "", "", ('From SvanPC++'!A1482))</f>
        <v/>
      </c>
      <c r="B1492" s="36"/>
      <c r="C1492" s="36"/>
      <c r="D1492" s="36"/>
      <c r="E1492" s="47"/>
      <c r="F1492" s="19"/>
      <c r="I1492" s="36"/>
      <c r="S1492" s="36"/>
      <c r="T1492" s="36"/>
    </row>
    <row r="1493" spans="1:20" s="38" customFormat="1" x14ac:dyDescent="0.3">
      <c r="A1493" s="36" t="str">
        <f xml:space="preserve"> IF( 'From SvanPC++'!A1483= "", "", ('From SvanPC++'!A1483))</f>
        <v/>
      </c>
      <c r="B1493" s="36"/>
      <c r="C1493" s="36"/>
      <c r="D1493" s="36"/>
      <c r="E1493" s="47"/>
      <c r="F1493" s="19"/>
      <c r="I1493" s="36"/>
      <c r="S1493" s="36"/>
      <c r="T1493" s="36"/>
    </row>
    <row r="1494" spans="1:20" s="38" customFormat="1" x14ac:dyDescent="0.3">
      <c r="A1494" s="36" t="str">
        <f xml:space="preserve"> IF( 'From SvanPC++'!A1484= "", "", ('From SvanPC++'!A1484))</f>
        <v/>
      </c>
      <c r="B1494" s="36"/>
      <c r="C1494" s="36"/>
      <c r="D1494" s="36"/>
      <c r="E1494" s="47"/>
      <c r="F1494" s="19"/>
      <c r="I1494" s="36"/>
      <c r="S1494" s="36"/>
      <c r="T1494" s="36"/>
    </row>
    <row r="1495" spans="1:20" s="38" customFormat="1" x14ac:dyDescent="0.3">
      <c r="A1495" s="36" t="str">
        <f xml:space="preserve"> IF( 'From SvanPC++'!A1485= "", "", ('From SvanPC++'!A1485))</f>
        <v/>
      </c>
      <c r="B1495" s="36"/>
      <c r="C1495" s="36"/>
      <c r="D1495" s="36"/>
      <c r="E1495" s="47"/>
      <c r="F1495" s="19"/>
      <c r="I1495" s="36"/>
      <c r="S1495" s="36"/>
      <c r="T1495" s="36"/>
    </row>
    <row r="1496" spans="1:20" s="38" customFormat="1" x14ac:dyDescent="0.3">
      <c r="A1496" s="36" t="str">
        <f xml:space="preserve"> IF( 'From SvanPC++'!A1486= "", "", ('From SvanPC++'!A1486))</f>
        <v/>
      </c>
      <c r="B1496" s="36"/>
      <c r="C1496" s="36"/>
      <c r="D1496" s="36"/>
      <c r="E1496" s="47"/>
      <c r="F1496" s="19"/>
      <c r="I1496" s="36"/>
      <c r="S1496" s="36"/>
      <c r="T1496" s="36"/>
    </row>
    <row r="1497" spans="1:20" s="38" customFormat="1" x14ac:dyDescent="0.3">
      <c r="A1497" s="36" t="str">
        <f xml:space="preserve"> IF( 'From SvanPC++'!A1487= "", "", ('From SvanPC++'!A1487))</f>
        <v/>
      </c>
      <c r="B1497" s="36"/>
      <c r="C1497" s="36"/>
      <c r="D1497" s="36"/>
      <c r="E1497" s="47"/>
      <c r="F1497" s="19"/>
      <c r="I1497" s="36"/>
      <c r="S1497" s="36"/>
      <c r="T1497" s="36"/>
    </row>
    <row r="1498" spans="1:20" s="38" customFormat="1" x14ac:dyDescent="0.3">
      <c r="A1498" s="36" t="str">
        <f xml:space="preserve"> IF( 'From SvanPC++'!A1488= "", "", ('From SvanPC++'!A1488))</f>
        <v/>
      </c>
      <c r="B1498" s="36"/>
      <c r="C1498" s="36"/>
      <c r="D1498" s="36"/>
      <c r="E1498" s="47"/>
      <c r="F1498" s="19"/>
      <c r="I1498" s="36"/>
      <c r="S1498" s="36"/>
      <c r="T1498" s="36"/>
    </row>
    <row r="1499" spans="1:20" s="38" customFormat="1" x14ac:dyDescent="0.3">
      <c r="A1499" s="36" t="str">
        <f xml:space="preserve"> IF( 'From SvanPC++'!A1489= "", "", ('From SvanPC++'!A1489))</f>
        <v/>
      </c>
      <c r="B1499" s="36"/>
      <c r="C1499" s="36"/>
      <c r="D1499" s="36"/>
      <c r="E1499" s="47"/>
      <c r="F1499" s="19"/>
      <c r="I1499" s="36"/>
      <c r="S1499" s="36"/>
      <c r="T1499" s="36"/>
    </row>
    <row r="1500" spans="1:20" s="38" customFormat="1" x14ac:dyDescent="0.3">
      <c r="A1500" s="36" t="str">
        <f xml:space="preserve"> IF( 'From SvanPC++'!A1490= "", "", ('From SvanPC++'!A1490))</f>
        <v/>
      </c>
      <c r="B1500" s="36"/>
      <c r="C1500" s="36"/>
      <c r="D1500" s="36"/>
      <c r="E1500" s="47"/>
      <c r="F1500" s="19"/>
      <c r="I1500" s="36"/>
      <c r="S1500" s="36"/>
      <c r="T1500" s="36"/>
    </row>
    <row r="1501" spans="1:20" s="38" customFormat="1" x14ac:dyDescent="0.3">
      <c r="A1501" s="36" t="str">
        <f xml:space="preserve"> IF( 'From SvanPC++'!A1491= "", "", ('From SvanPC++'!A1491))</f>
        <v/>
      </c>
      <c r="B1501" s="36"/>
      <c r="C1501" s="36"/>
      <c r="D1501" s="36"/>
      <c r="E1501" s="47"/>
      <c r="F1501" s="19"/>
      <c r="I1501" s="36"/>
      <c r="S1501" s="36"/>
      <c r="T1501" s="36"/>
    </row>
    <row r="1502" spans="1:20" s="38" customFormat="1" x14ac:dyDescent="0.3">
      <c r="A1502" s="36" t="str">
        <f xml:space="preserve"> IF( 'From SvanPC++'!A1492= "", "", ('From SvanPC++'!A1492))</f>
        <v/>
      </c>
      <c r="B1502" s="36"/>
      <c r="C1502" s="36"/>
      <c r="D1502" s="36"/>
      <c r="E1502" s="47"/>
      <c r="F1502" s="19"/>
      <c r="I1502" s="36"/>
      <c r="S1502" s="36"/>
      <c r="T1502" s="36"/>
    </row>
    <row r="1503" spans="1:20" s="38" customFormat="1" x14ac:dyDescent="0.3">
      <c r="A1503" s="36" t="str">
        <f xml:space="preserve"> IF( 'From SvanPC++'!A1493= "", "", ('From SvanPC++'!A1493))</f>
        <v/>
      </c>
      <c r="B1503" s="36"/>
      <c r="C1503" s="36"/>
      <c r="D1503" s="36"/>
      <c r="E1503" s="47"/>
      <c r="F1503" s="19"/>
      <c r="I1503" s="36"/>
      <c r="S1503" s="36"/>
      <c r="T1503" s="36"/>
    </row>
    <row r="1504" spans="1:20" s="38" customFormat="1" x14ac:dyDescent="0.3">
      <c r="A1504" s="36" t="str">
        <f xml:space="preserve"> IF( 'From SvanPC++'!A1494= "", "", ('From SvanPC++'!A1494))</f>
        <v/>
      </c>
      <c r="B1504" s="36"/>
      <c r="C1504" s="36"/>
      <c r="D1504" s="36"/>
      <c r="E1504" s="47"/>
      <c r="F1504" s="19"/>
      <c r="I1504" s="36"/>
      <c r="S1504" s="36"/>
      <c r="T1504" s="36"/>
    </row>
    <row r="1505" spans="1:20" s="38" customFormat="1" x14ac:dyDescent="0.3">
      <c r="A1505" s="36" t="str">
        <f xml:space="preserve"> IF( 'From SvanPC++'!A1495= "", "", ('From SvanPC++'!A1495))</f>
        <v/>
      </c>
      <c r="B1505" s="36"/>
      <c r="C1505" s="36"/>
      <c r="D1505" s="36"/>
      <c r="E1505" s="47"/>
      <c r="F1505" s="19"/>
      <c r="I1505" s="36"/>
      <c r="S1505" s="36"/>
      <c r="T1505" s="36"/>
    </row>
    <row r="1506" spans="1:20" s="38" customFormat="1" x14ac:dyDescent="0.3">
      <c r="A1506" s="36" t="str">
        <f xml:space="preserve"> IF( 'From SvanPC++'!A1496= "", "", ('From SvanPC++'!A1496))</f>
        <v/>
      </c>
      <c r="B1506" s="36"/>
      <c r="C1506" s="36"/>
      <c r="D1506" s="36"/>
      <c r="E1506" s="47"/>
      <c r="F1506" s="19"/>
      <c r="I1506" s="36"/>
      <c r="S1506" s="36"/>
      <c r="T1506" s="36"/>
    </row>
    <row r="1507" spans="1:20" s="38" customFormat="1" x14ac:dyDescent="0.3">
      <c r="A1507" s="36" t="str">
        <f xml:space="preserve"> IF( 'From SvanPC++'!A1497= "", "", ('From SvanPC++'!A1497))</f>
        <v/>
      </c>
      <c r="B1507" s="36"/>
      <c r="C1507" s="36"/>
      <c r="D1507" s="36"/>
      <c r="E1507" s="47"/>
      <c r="F1507" s="19"/>
      <c r="I1507" s="36"/>
      <c r="S1507" s="36"/>
      <c r="T1507" s="36"/>
    </row>
    <row r="1508" spans="1:20" s="38" customFormat="1" x14ac:dyDescent="0.3">
      <c r="A1508" s="36" t="str">
        <f xml:space="preserve"> IF( 'From SvanPC++'!A1498= "", "", ('From SvanPC++'!A1498))</f>
        <v/>
      </c>
      <c r="B1508" s="36"/>
      <c r="C1508" s="36"/>
      <c r="D1508" s="36"/>
      <c r="E1508" s="47"/>
      <c r="F1508" s="19"/>
      <c r="I1508" s="36"/>
      <c r="S1508" s="36"/>
      <c r="T1508" s="36"/>
    </row>
    <row r="1509" spans="1:20" s="38" customFormat="1" x14ac:dyDescent="0.3">
      <c r="A1509" s="36" t="str">
        <f xml:space="preserve"> IF( 'From SvanPC++'!A1499= "", "", ('From SvanPC++'!A1499))</f>
        <v/>
      </c>
      <c r="B1509" s="36"/>
      <c r="C1509" s="36"/>
      <c r="D1509" s="36"/>
      <c r="E1509" s="47"/>
      <c r="F1509" s="19"/>
      <c r="I1509" s="36"/>
      <c r="S1509" s="36"/>
      <c r="T1509" s="36"/>
    </row>
    <row r="1510" spans="1:20" s="38" customFormat="1" x14ac:dyDescent="0.3">
      <c r="A1510" s="36" t="str">
        <f xml:space="preserve"> IF( 'From SvanPC++'!A1500= "", "", ('From SvanPC++'!A1500))</f>
        <v/>
      </c>
      <c r="B1510" s="36"/>
      <c r="C1510" s="36"/>
      <c r="D1510" s="36"/>
      <c r="E1510" s="47"/>
      <c r="F1510" s="19"/>
      <c r="I1510" s="36"/>
      <c r="S1510" s="36"/>
      <c r="T1510" s="36"/>
    </row>
  </sheetData>
  <sheetProtection sheet="1" objects="1" scenarios="1"/>
  <mergeCells count="4">
    <mergeCell ref="B1:C1"/>
    <mergeCell ref="E1:F1"/>
    <mergeCell ref="B13:C13"/>
    <mergeCell ref="E13:F1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7B5D6-48C1-4EDE-BC29-C75BE6A15E19}">
  <sheetPr codeName="Sheet6" filterMode="1">
    <tabColor rgb="FFFFC000"/>
  </sheetPr>
  <dimension ref="A1:T1510"/>
  <sheetViews>
    <sheetView zoomScaleNormal="100" workbookViewId="0">
      <pane ySplit="23" topLeftCell="A24" activePane="bottomLeft" state="frozen"/>
      <selection pane="bottomLeft" activeCell="A24" sqref="A24"/>
    </sheetView>
  </sheetViews>
  <sheetFormatPr defaultRowHeight="15" x14ac:dyDescent="0.3"/>
  <cols>
    <col min="1" max="1" width="9.140625" style="36"/>
    <col min="2" max="2" width="23.7109375" style="36" customWidth="1"/>
    <col min="3" max="4" width="9.140625" style="36"/>
    <col min="5" max="5" width="28.140625" style="47" customWidth="1"/>
    <col min="6" max="6" width="12.42578125" style="19" customWidth="1"/>
    <col min="7" max="7" width="10.140625" style="38" bestFit="1" customWidth="1"/>
    <col min="8" max="8" width="10.85546875" style="38" customWidth="1"/>
    <col min="9" max="9" width="16.85546875" style="19" customWidth="1"/>
    <col min="10" max="11" width="9.140625" style="38"/>
    <col min="12" max="12" width="30.140625" style="38" customWidth="1"/>
    <col min="13" max="13" width="14.42578125" style="38" customWidth="1"/>
    <col min="14" max="14" width="9.140625" style="38"/>
    <col min="15" max="15" width="9.140625" style="38" customWidth="1"/>
    <col min="16" max="18" width="9.140625" style="38"/>
    <col min="19" max="16384" width="9.140625" style="36"/>
  </cols>
  <sheetData>
    <row r="1" spans="1:20" ht="15" customHeight="1" x14ac:dyDescent="0.3">
      <c r="A1" s="32"/>
      <c r="B1" s="144" t="s">
        <v>13</v>
      </c>
      <c r="C1" s="145"/>
      <c r="D1" s="49"/>
      <c r="E1" s="146" t="s">
        <v>36</v>
      </c>
      <c r="F1" s="147"/>
      <c r="G1" s="62"/>
      <c r="H1" s="55" t="s">
        <v>42</v>
      </c>
      <c r="I1" s="95"/>
      <c r="J1" s="65"/>
      <c r="K1" s="65"/>
      <c r="L1" s="65"/>
      <c r="M1" s="65"/>
      <c r="N1" s="65"/>
      <c r="O1" s="65"/>
      <c r="P1" s="56"/>
      <c r="S1" s="38"/>
      <c r="T1" s="38"/>
    </row>
    <row r="2" spans="1:20" ht="15" customHeight="1" x14ac:dyDescent="0.3">
      <c r="A2" s="51" t="s">
        <v>15</v>
      </c>
      <c r="B2" s="9" t="s">
        <v>40</v>
      </c>
      <c r="C2" s="10"/>
      <c r="D2" s="29" t="s">
        <v>15</v>
      </c>
      <c r="E2" s="30" t="s">
        <v>17</v>
      </c>
      <c r="F2" s="31"/>
      <c r="G2" s="63" t="s">
        <v>15</v>
      </c>
      <c r="H2" s="57" t="s">
        <v>26</v>
      </c>
      <c r="I2" s="96"/>
      <c r="J2" s="50"/>
      <c r="K2" s="50"/>
      <c r="L2" s="50"/>
      <c r="M2" s="50"/>
      <c r="N2" s="50"/>
      <c r="O2" s="50"/>
      <c r="P2" s="66"/>
      <c r="S2" s="38"/>
      <c r="T2" s="38"/>
    </row>
    <row r="3" spans="1:20" ht="15" customHeight="1" x14ac:dyDescent="0.3">
      <c r="A3" s="51"/>
      <c r="B3" s="11" t="s">
        <v>39</v>
      </c>
      <c r="C3" s="12"/>
      <c r="D3" s="29" t="s">
        <v>16</v>
      </c>
      <c r="E3" s="30" t="s">
        <v>14</v>
      </c>
      <c r="F3" s="31"/>
      <c r="G3" s="63"/>
      <c r="H3" s="58"/>
      <c r="I3" s="97" t="s">
        <v>28</v>
      </c>
      <c r="J3" s="43"/>
      <c r="K3" s="43"/>
      <c r="L3" s="43"/>
      <c r="M3" s="43"/>
      <c r="N3" s="43"/>
      <c r="O3" s="43"/>
      <c r="P3" s="67"/>
      <c r="S3" s="38"/>
      <c r="T3" s="38"/>
    </row>
    <row r="4" spans="1:20" ht="15" customHeight="1" x14ac:dyDescent="0.3">
      <c r="A4" s="51"/>
      <c r="B4" s="21"/>
      <c r="C4" s="22"/>
      <c r="D4" s="29" t="s">
        <v>18</v>
      </c>
      <c r="E4" s="30" t="s">
        <v>19</v>
      </c>
      <c r="F4" s="31"/>
      <c r="G4" s="63"/>
      <c r="H4" s="59"/>
      <c r="I4" s="98" t="s">
        <v>29</v>
      </c>
      <c r="J4" s="54"/>
      <c r="K4" s="54"/>
      <c r="L4" s="54"/>
      <c r="M4" s="54"/>
      <c r="N4" s="54"/>
      <c r="O4" s="54"/>
      <c r="P4" s="68"/>
      <c r="S4" s="38"/>
      <c r="T4" s="38"/>
    </row>
    <row r="5" spans="1:20" ht="15" customHeight="1" x14ac:dyDescent="0.3">
      <c r="A5" s="51" t="s">
        <v>16</v>
      </c>
      <c r="B5" s="9" t="s">
        <v>38</v>
      </c>
      <c r="C5" s="10"/>
      <c r="D5" s="29" t="s">
        <v>23</v>
      </c>
      <c r="E5" s="30" t="s">
        <v>20</v>
      </c>
      <c r="F5" s="31"/>
      <c r="G5" s="63" t="s">
        <v>16</v>
      </c>
      <c r="H5" s="57" t="s">
        <v>933</v>
      </c>
      <c r="I5" s="50"/>
      <c r="J5" s="50"/>
      <c r="K5" s="50"/>
      <c r="L5" s="50"/>
      <c r="M5" s="50"/>
      <c r="N5" s="50"/>
      <c r="O5" s="50"/>
      <c r="P5" s="66"/>
      <c r="S5" s="38"/>
      <c r="T5" s="38"/>
    </row>
    <row r="6" spans="1:20" ht="15" customHeight="1" x14ac:dyDescent="0.3">
      <c r="A6" s="51"/>
      <c r="B6" s="11" t="s">
        <v>41</v>
      </c>
      <c r="C6" s="12"/>
      <c r="D6" s="29" t="s">
        <v>24</v>
      </c>
      <c r="E6" s="30" t="s">
        <v>21</v>
      </c>
      <c r="F6" s="31"/>
      <c r="G6" s="63"/>
      <c r="H6" s="58"/>
      <c r="I6" s="43" t="s">
        <v>27</v>
      </c>
      <c r="J6" s="43"/>
      <c r="K6" s="43"/>
      <c r="L6" s="43"/>
      <c r="M6" s="43"/>
      <c r="N6" s="43"/>
      <c r="O6" s="43"/>
      <c r="P6" s="67"/>
      <c r="S6" s="38"/>
      <c r="T6" s="38"/>
    </row>
    <row r="7" spans="1:20" ht="15" customHeight="1" x14ac:dyDescent="0.3">
      <c r="A7" s="51"/>
      <c r="B7" s="21"/>
      <c r="C7" s="22"/>
      <c r="D7" s="29" t="s">
        <v>25</v>
      </c>
      <c r="E7" s="30" t="s">
        <v>22</v>
      </c>
      <c r="F7" s="31"/>
      <c r="G7" s="63"/>
      <c r="H7" s="59"/>
      <c r="I7" s="61" t="s">
        <v>934</v>
      </c>
      <c r="J7" s="54"/>
      <c r="K7" s="54"/>
      <c r="L7" s="54"/>
      <c r="M7" s="54"/>
      <c r="N7" s="54"/>
      <c r="O7" s="54"/>
      <c r="P7" s="68"/>
      <c r="S7" s="38"/>
      <c r="T7" s="38"/>
    </row>
    <row r="8" spans="1:20" ht="15" customHeight="1" x14ac:dyDescent="0.3">
      <c r="A8" s="51"/>
      <c r="B8" s="11"/>
      <c r="C8" s="12"/>
      <c r="D8" s="29"/>
      <c r="E8" s="25"/>
      <c r="F8" s="26"/>
      <c r="G8" s="63" t="s">
        <v>18</v>
      </c>
      <c r="H8" s="57" t="s">
        <v>30</v>
      </c>
      <c r="I8" s="96"/>
      <c r="J8" s="50"/>
      <c r="K8" s="50"/>
      <c r="L8" s="50"/>
      <c r="M8" s="50"/>
      <c r="N8" s="50"/>
      <c r="O8" s="50"/>
      <c r="P8" s="66"/>
      <c r="S8" s="38"/>
      <c r="T8" s="38"/>
    </row>
    <row r="9" spans="1:20" ht="15" customHeight="1" x14ac:dyDescent="0.3">
      <c r="A9" s="51"/>
      <c r="B9" s="11"/>
      <c r="C9" s="12"/>
      <c r="D9" s="29"/>
      <c r="E9" s="25" t="s">
        <v>149</v>
      </c>
      <c r="F9" s="26"/>
      <c r="G9" s="63"/>
      <c r="H9" s="58"/>
      <c r="I9" s="99" t="s">
        <v>31</v>
      </c>
      <c r="J9" s="43"/>
      <c r="K9" s="43"/>
      <c r="L9" s="43"/>
      <c r="M9" s="43"/>
      <c r="N9" s="43"/>
      <c r="O9" s="43"/>
      <c r="P9" s="67"/>
      <c r="S9" s="38"/>
      <c r="T9" s="38"/>
    </row>
    <row r="10" spans="1:20" ht="15" customHeight="1" x14ac:dyDescent="0.3">
      <c r="A10" s="51"/>
      <c r="B10" s="11"/>
      <c r="C10" s="12"/>
      <c r="D10" s="29"/>
      <c r="E10" s="25" t="s">
        <v>150</v>
      </c>
      <c r="F10" s="26"/>
      <c r="G10" s="63"/>
      <c r="H10" s="58" t="s">
        <v>33</v>
      </c>
      <c r="I10" s="99"/>
      <c r="J10" s="43"/>
      <c r="K10" s="43"/>
      <c r="L10" s="43"/>
      <c r="M10" s="43"/>
      <c r="N10" s="43"/>
      <c r="O10" s="43"/>
      <c r="P10" s="67"/>
      <c r="S10" s="38"/>
      <c r="T10" s="38"/>
    </row>
    <row r="11" spans="1:20" ht="15" customHeight="1" x14ac:dyDescent="0.3">
      <c r="A11" s="51"/>
      <c r="B11" s="11"/>
      <c r="C11" s="12"/>
      <c r="D11" s="29"/>
      <c r="E11" s="25"/>
      <c r="F11" s="26"/>
      <c r="G11" s="63"/>
      <c r="H11" s="59"/>
      <c r="I11" s="100" t="s">
        <v>32</v>
      </c>
      <c r="J11" s="54"/>
      <c r="K11" s="54"/>
      <c r="L11" s="54"/>
      <c r="M11" s="54"/>
      <c r="N11" s="54"/>
      <c r="O11" s="54"/>
      <c r="P11" s="68"/>
      <c r="S11" s="38"/>
      <c r="T11" s="38"/>
    </row>
    <row r="12" spans="1:20" ht="15" customHeight="1" x14ac:dyDescent="0.3">
      <c r="A12" s="51"/>
      <c r="B12" s="11"/>
      <c r="C12" s="12"/>
      <c r="D12" s="29"/>
      <c r="E12" s="25"/>
      <c r="F12" s="26"/>
      <c r="G12" s="63"/>
      <c r="H12" s="55" t="s">
        <v>34</v>
      </c>
      <c r="I12" s="95"/>
      <c r="J12" s="65"/>
      <c r="K12" s="65"/>
      <c r="L12" s="65"/>
      <c r="M12" s="65"/>
      <c r="N12" s="65"/>
      <c r="O12" s="65"/>
      <c r="P12" s="56"/>
      <c r="S12" s="38"/>
      <c r="T12" s="38"/>
    </row>
    <row r="13" spans="1:20" ht="15" customHeight="1" x14ac:dyDescent="0.3">
      <c r="A13" s="51"/>
      <c r="B13" s="148" t="s">
        <v>0</v>
      </c>
      <c r="C13" s="149"/>
      <c r="D13" s="29"/>
      <c r="E13" s="150"/>
      <c r="F13" s="151"/>
      <c r="G13" s="63"/>
      <c r="H13" s="58" t="s">
        <v>35</v>
      </c>
      <c r="I13" s="99"/>
      <c r="J13" s="43"/>
      <c r="K13" s="43"/>
      <c r="L13" s="43"/>
      <c r="M13" s="43"/>
      <c r="N13" s="43"/>
      <c r="O13" s="43"/>
      <c r="P13" s="67"/>
      <c r="S13" s="38"/>
      <c r="T13" s="38"/>
    </row>
    <row r="14" spans="1:20" ht="15" customHeight="1" x14ac:dyDescent="0.3">
      <c r="A14" s="52"/>
      <c r="B14" s="13" t="s">
        <v>1</v>
      </c>
      <c r="C14" s="14" t="s">
        <v>2</v>
      </c>
      <c r="D14" s="53"/>
      <c r="E14" s="27" t="s">
        <v>1</v>
      </c>
      <c r="F14" s="28" t="s">
        <v>9</v>
      </c>
      <c r="G14" s="64"/>
      <c r="H14" s="59" t="s">
        <v>37</v>
      </c>
      <c r="I14" s="100"/>
      <c r="J14" s="54"/>
      <c r="K14" s="54"/>
      <c r="L14" s="54"/>
      <c r="M14" s="54"/>
      <c r="N14" s="54"/>
      <c r="O14" s="54"/>
      <c r="P14" s="68"/>
      <c r="S14" s="38"/>
      <c r="T14" s="38"/>
    </row>
    <row r="15" spans="1:20" s="70" customFormat="1" ht="15.75" x14ac:dyDescent="0.3">
      <c r="A15" s="70" t="str">
        <f xml:space="preserve"> IF( 'From SvanPC++'!A6= "", "", ('From SvanPC++'!A6))</f>
        <v/>
      </c>
      <c r="B15" s="111" t="s">
        <v>140</v>
      </c>
      <c r="C15" s="112"/>
      <c r="E15" s="119" t="s">
        <v>141</v>
      </c>
      <c r="F15" s="102"/>
      <c r="G15" s="74"/>
      <c r="H15" s="108" t="s">
        <v>935</v>
      </c>
      <c r="I15" s="102"/>
      <c r="J15" s="74"/>
      <c r="K15" s="74"/>
      <c r="L15" s="75" t="s">
        <v>145</v>
      </c>
      <c r="M15" s="76"/>
      <c r="N15" s="77"/>
      <c r="O15" s="74"/>
      <c r="P15" s="74"/>
      <c r="Q15" s="74"/>
      <c r="R15" s="74"/>
      <c r="S15" s="74"/>
      <c r="T15" s="74"/>
    </row>
    <row r="16" spans="1:20" s="70" customFormat="1" ht="15.75" x14ac:dyDescent="0.3">
      <c r="B16" s="113"/>
      <c r="C16" s="114"/>
      <c r="E16" s="120" t="s">
        <v>142</v>
      </c>
      <c r="F16" s="104"/>
      <c r="G16" s="74"/>
      <c r="H16" s="109" t="s">
        <v>151</v>
      </c>
      <c r="I16" s="104"/>
      <c r="J16" s="74"/>
      <c r="K16" s="74"/>
      <c r="L16" s="78" t="s">
        <v>923</v>
      </c>
      <c r="M16" s="79"/>
      <c r="N16" s="80"/>
      <c r="O16" s="74"/>
      <c r="P16" s="74"/>
      <c r="Q16" s="74"/>
      <c r="R16" s="74"/>
      <c r="S16" s="74"/>
      <c r="T16" s="74"/>
    </row>
    <row r="17" spans="1:20" ht="15.75" x14ac:dyDescent="0.3">
      <c r="A17" s="36" t="str">
        <f xml:space="preserve"> IF( 'From SvanPC++'!A7= "", "", ('From SvanPC++'!A7))</f>
        <v/>
      </c>
      <c r="B17" s="115"/>
      <c r="C17" s="83"/>
      <c r="E17" s="81"/>
      <c r="F17" s="121"/>
      <c r="H17" s="109" t="s">
        <v>924</v>
      </c>
      <c r="I17" s="121"/>
      <c r="L17" s="120"/>
      <c r="M17" s="107"/>
      <c r="N17" s="114"/>
    </row>
    <row r="18" spans="1:20" s="38" customFormat="1" ht="15.75" x14ac:dyDescent="0.3">
      <c r="A18" s="36" t="str">
        <f xml:space="preserve"> IF( 'From SvanPC++'!A8= "", "", ('From SvanPC++'!A8))</f>
        <v/>
      </c>
      <c r="B18" s="115"/>
      <c r="C18" s="83"/>
      <c r="D18" s="36"/>
      <c r="E18" s="81"/>
      <c r="F18" s="121"/>
      <c r="G18" s="117">
        <v>0.67708333333333337</v>
      </c>
      <c r="H18" s="101">
        <v>44.9</v>
      </c>
      <c r="I18" s="102"/>
      <c r="L18" s="120" t="s">
        <v>927</v>
      </c>
      <c r="M18" s="107"/>
      <c r="N18" s="114"/>
      <c r="S18" s="36"/>
      <c r="T18" s="36"/>
    </row>
    <row r="19" spans="1:20" s="38" customFormat="1" ht="15.75" x14ac:dyDescent="0.3">
      <c r="A19" s="36" t="str">
        <f xml:space="preserve"> IF( 'From SvanPC++'!A9= "", "", ('From SvanPC++'!A9))</f>
        <v/>
      </c>
      <c r="B19" s="115"/>
      <c r="C19" s="83"/>
      <c r="D19" s="36"/>
      <c r="E19" s="81"/>
      <c r="F19" s="121"/>
      <c r="G19" s="107">
        <v>0.6875</v>
      </c>
      <c r="H19" s="103">
        <v>46.2</v>
      </c>
      <c r="I19" s="104"/>
      <c r="L19" s="120" t="s">
        <v>928</v>
      </c>
      <c r="M19" s="107"/>
      <c r="N19" s="114"/>
      <c r="S19" s="36"/>
      <c r="T19" s="36"/>
    </row>
    <row r="20" spans="1:20" s="38" customFormat="1" ht="15.75" x14ac:dyDescent="0.3">
      <c r="A20" s="36" t="str">
        <f xml:space="preserve"> IF( 'From SvanPC++'!A10= "", "", ('From SvanPC++'!A10))</f>
        <v/>
      </c>
      <c r="B20" s="115"/>
      <c r="C20" s="83"/>
      <c r="D20" s="36"/>
      <c r="E20" s="81"/>
      <c r="F20" s="121"/>
      <c r="G20" s="107">
        <v>0.69791666666666663</v>
      </c>
      <c r="H20" s="103">
        <v>46.5</v>
      </c>
      <c r="I20" s="104"/>
      <c r="L20" s="120"/>
      <c r="M20" s="107"/>
      <c r="N20" s="114"/>
      <c r="O20" s="39"/>
      <c r="P20" s="39"/>
      <c r="Q20" s="39"/>
      <c r="S20" s="36"/>
      <c r="T20" s="36"/>
    </row>
    <row r="21" spans="1:20" s="38" customFormat="1" ht="15.75" x14ac:dyDescent="0.3">
      <c r="A21" s="36" t="str">
        <f xml:space="preserve"> IF( 'From SvanPC++'!A11= "", "", ('From SvanPC++'!A11))</f>
        <v/>
      </c>
      <c r="B21" s="116"/>
      <c r="C21" s="85"/>
      <c r="D21" s="36"/>
      <c r="E21" s="84"/>
      <c r="F21" s="122"/>
      <c r="G21" s="118">
        <v>0.70833333333333337</v>
      </c>
      <c r="H21" s="105">
        <v>45</v>
      </c>
      <c r="I21" s="110" t="s">
        <v>936</v>
      </c>
      <c r="L21" s="123"/>
      <c r="M21" s="118"/>
      <c r="N21" s="124"/>
      <c r="S21" s="36"/>
      <c r="T21" s="36"/>
    </row>
    <row r="22" spans="1:20" s="38" customFormat="1" ht="15.75" x14ac:dyDescent="0.3">
      <c r="A22" s="36" t="str">
        <f xml:space="preserve"> IF( 'From SvanPC++'!A12= "", "", ('From SvanPC++'!A12))</f>
        <v/>
      </c>
      <c r="B22" s="35"/>
      <c r="C22" s="34"/>
      <c r="D22" s="36"/>
      <c r="E22" s="20"/>
      <c r="F22" s="19"/>
      <c r="H22" s="82" t="s">
        <v>925</v>
      </c>
      <c r="I22" s="82" t="s">
        <v>926</v>
      </c>
      <c r="L22" s="91" t="s">
        <v>146</v>
      </c>
      <c r="M22" s="92" t="s">
        <v>147</v>
      </c>
      <c r="N22" s="93" t="s">
        <v>922</v>
      </c>
      <c r="S22" s="36"/>
      <c r="T22" s="36"/>
    </row>
    <row r="23" spans="1:20" s="38" customFormat="1" ht="15.75" hidden="1" x14ac:dyDescent="0.3">
      <c r="A23" s="36" t="str">
        <f xml:space="preserve"> IF( 'From SvanPC++'!A13= "", "", ('From SvanPC++'!A13))</f>
        <v/>
      </c>
      <c r="B23" s="35" t="s">
        <v>152</v>
      </c>
      <c r="C23" s="34">
        <v>46.9</v>
      </c>
      <c r="D23" s="36"/>
      <c r="E23" s="20">
        <v>44176</v>
      </c>
      <c r="F23" s="19">
        <v>0.65625</v>
      </c>
      <c r="H23" s="34">
        <v>46.9</v>
      </c>
      <c r="I23" s="19"/>
      <c r="L23" s="20">
        <v>44176</v>
      </c>
      <c r="M23" s="19">
        <v>0.65625</v>
      </c>
      <c r="N23" s="87"/>
      <c r="S23" s="36"/>
      <c r="T23" s="36"/>
    </row>
    <row r="24" spans="1:20" s="38" customFormat="1" ht="15.75" x14ac:dyDescent="0.3">
      <c r="A24" s="36" t="str">
        <f xml:space="preserve"> IF( 'From SvanPC++'!A14= "", "", ('From SvanPC++'!A14))</f>
        <v/>
      </c>
      <c r="B24" s="35" t="s">
        <v>153</v>
      </c>
      <c r="C24" s="34">
        <v>47.1</v>
      </c>
      <c r="D24" s="36"/>
      <c r="E24" s="20">
        <v>44176</v>
      </c>
      <c r="F24" s="19">
        <v>0.66666666666666663</v>
      </c>
      <c r="H24" s="34">
        <v>47.1</v>
      </c>
      <c r="I24" s="106">
        <f>AVERAGE(H23:H24)</f>
        <v>47</v>
      </c>
      <c r="L24" s="20">
        <v>44176</v>
      </c>
      <c r="M24" s="19">
        <v>0.66666666666666663</v>
      </c>
      <c r="N24" s="106">
        <v>47</v>
      </c>
      <c r="S24" s="36"/>
      <c r="T24" s="36"/>
    </row>
    <row r="25" spans="1:20" s="38" customFormat="1" ht="15.75" hidden="1" x14ac:dyDescent="0.3">
      <c r="A25" s="36" t="str">
        <f xml:space="preserve"> IF( 'From SvanPC++'!A15= "", "", ('From SvanPC++'!A15))</f>
        <v/>
      </c>
      <c r="B25" s="35" t="s">
        <v>154</v>
      </c>
      <c r="C25" s="34">
        <v>44.9</v>
      </c>
      <c r="D25" s="36"/>
      <c r="E25" s="20">
        <v>44176</v>
      </c>
      <c r="F25" s="19">
        <v>0.67708333333333337</v>
      </c>
      <c r="H25" s="34">
        <v>44.9</v>
      </c>
      <c r="I25" s="94"/>
      <c r="L25" s="20">
        <v>44176</v>
      </c>
      <c r="M25" s="19">
        <v>0.67708333333333337</v>
      </c>
      <c r="N25" s="94"/>
      <c r="S25" s="36"/>
      <c r="T25" s="36"/>
    </row>
    <row r="26" spans="1:20" s="38" customFormat="1" ht="15.75" hidden="1" x14ac:dyDescent="0.3">
      <c r="A26" s="36" t="str">
        <f xml:space="preserve"> IF( 'From SvanPC++'!A16= "", "", ('From SvanPC++'!A16))</f>
        <v/>
      </c>
      <c r="B26" s="35" t="s">
        <v>155</v>
      </c>
      <c r="C26" s="34">
        <v>46.2</v>
      </c>
      <c r="D26" s="36"/>
      <c r="E26" s="20">
        <v>44176</v>
      </c>
      <c r="F26" s="19">
        <v>0.6875</v>
      </c>
      <c r="H26" s="34">
        <v>46.2</v>
      </c>
      <c r="I26" s="19"/>
      <c r="L26" s="20">
        <v>44176</v>
      </c>
      <c r="M26" s="19">
        <v>0.6875</v>
      </c>
      <c r="N26" s="19"/>
      <c r="S26" s="36"/>
      <c r="T26" s="36"/>
    </row>
    <row r="27" spans="1:20" s="38" customFormat="1" ht="15.75" hidden="1" x14ac:dyDescent="0.3">
      <c r="A27" s="36" t="str">
        <f xml:space="preserve"> IF( 'From SvanPC++'!A17= "", "", ('From SvanPC++'!A17))</f>
        <v/>
      </c>
      <c r="B27" s="35" t="s">
        <v>156</v>
      </c>
      <c r="C27" s="34">
        <v>46.5</v>
      </c>
      <c r="D27" s="36"/>
      <c r="E27" s="20">
        <v>44176</v>
      </c>
      <c r="F27" s="19">
        <v>0.69791666666666663</v>
      </c>
      <c r="H27" s="34">
        <v>46.5</v>
      </c>
      <c r="I27" s="19"/>
      <c r="L27" s="20">
        <v>44176</v>
      </c>
      <c r="M27" s="19">
        <v>0.69791666666666663</v>
      </c>
      <c r="N27" s="19"/>
      <c r="S27" s="36"/>
      <c r="T27" s="36"/>
    </row>
    <row r="28" spans="1:20" s="38" customFormat="1" ht="15.75" x14ac:dyDescent="0.3">
      <c r="A28" s="36" t="str">
        <f xml:space="preserve"> IF( 'From SvanPC++'!A18= "", "", ('From SvanPC++'!A18))</f>
        <v/>
      </c>
      <c r="B28" s="35" t="s">
        <v>157</v>
      </c>
      <c r="C28" s="34">
        <v>45</v>
      </c>
      <c r="D28" s="36"/>
      <c r="E28" s="20">
        <v>44176</v>
      </c>
      <c r="F28" s="19">
        <v>0.70833333333333337</v>
      </c>
      <c r="H28" s="34">
        <v>45</v>
      </c>
      <c r="I28" s="106">
        <f>AVERAGE(H25:H28)</f>
        <v>45.65</v>
      </c>
      <c r="L28" s="20">
        <v>44176</v>
      </c>
      <c r="M28" s="19">
        <v>0.70833333333333337</v>
      </c>
      <c r="N28" s="106">
        <v>45.65</v>
      </c>
      <c r="S28" s="36"/>
      <c r="T28" s="36"/>
    </row>
    <row r="29" spans="1:20" s="38" customFormat="1" ht="15.75" hidden="1" x14ac:dyDescent="0.3">
      <c r="A29" s="36" t="str">
        <f xml:space="preserve"> IF( 'From SvanPC++'!A19= "", "", ('From SvanPC++'!A19))</f>
        <v/>
      </c>
      <c r="B29" s="35" t="s">
        <v>158</v>
      </c>
      <c r="C29" s="34">
        <v>48</v>
      </c>
      <c r="D29" s="36"/>
      <c r="E29" s="20">
        <v>44176</v>
      </c>
      <c r="F29" s="19">
        <v>0.71875</v>
      </c>
      <c r="H29" s="34">
        <v>48</v>
      </c>
      <c r="I29" s="19"/>
      <c r="L29" s="20">
        <v>44176</v>
      </c>
      <c r="M29" s="19">
        <v>0.71875</v>
      </c>
      <c r="N29" s="19"/>
      <c r="S29" s="36"/>
      <c r="T29" s="36"/>
    </row>
    <row r="30" spans="1:20" s="38" customFormat="1" ht="15.75" hidden="1" x14ac:dyDescent="0.3">
      <c r="A30" s="36" t="str">
        <f xml:space="preserve"> IF( 'From SvanPC++'!A20= "", "", ('From SvanPC++'!A20))</f>
        <v/>
      </c>
      <c r="B30" s="35" t="s">
        <v>159</v>
      </c>
      <c r="C30" s="34">
        <v>47.5</v>
      </c>
      <c r="D30" s="36"/>
      <c r="E30" s="20">
        <v>44176</v>
      </c>
      <c r="F30" s="19">
        <v>0.72916666666666663</v>
      </c>
      <c r="H30" s="34">
        <v>47.5</v>
      </c>
      <c r="I30" s="19"/>
      <c r="L30" s="20">
        <v>44176</v>
      </c>
      <c r="M30" s="19">
        <v>0.72916666666666663</v>
      </c>
      <c r="N30" s="19"/>
      <c r="S30" s="36"/>
      <c r="T30" s="36"/>
    </row>
    <row r="31" spans="1:20" s="38" customFormat="1" ht="15.75" hidden="1" x14ac:dyDescent="0.3">
      <c r="A31" s="36" t="str">
        <f xml:space="preserve"> IF( 'From SvanPC++'!A21= "", "", ('From SvanPC++'!A21))</f>
        <v/>
      </c>
      <c r="B31" s="35" t="s">
        <v>160</v>
      </c>
      <c r="C31" s="34">
        <v>48.7</v>
      </c>
      <c r="D31" s="36"/>
      <c r="E31" s="20">
        <v>44176</v>
      </c>
      <c r="F31" s="19">
        <v>0.73958333333333337</v>
      </c>
      <c r="H31" s="34">
        <v>48.7</v>
      </c>
      <c r="I31" s="19"/>
      <c r="L31" s="20">
        <v>44176</v>
      </c>
      <c r="M31" s="19">
        <v>0.73958333333333337</v>
      </c>
      <c r="N31" s="19"/>
      <c r="S31" s="36"/>
      <c r="T31" s="36"/>
    </row>
    <row r="32" spans="1:20" s="38" customFormat="1" ht="15.75" x14ac:dyDescent="0.3">
      <c r="A32" s="36" t="str">
        <f xml:space="preserve"> IF( 'From SvanPC++'!A22= "", "", ('From SvanPC++'!A22))</f>
        <v/>
      </c>
      <c r="B32" s="35" t="s">
        <v>161</v>
      </c>
      <c r="C32" s="34">
        <v>48</v>
      </c>
      <c r="D32" s="36"/>
      <c r="E32" s="20">
        <v>44176</v>
      </c>
      <c r="F32" s="19">
        <v>0.75</v>
      </c>
      <c r="H32" s="34">
        <v>48</v>
      </c>
      <c r="I32" s="106">
        <f>AVERAGE(H29:H32)</f>
        <v>48.05</v>
      </c>
      <c r="L32" s="20">
        <v>44176</v>
      </c>
      <c r="M32" s="19">
        <v>0.75</v>
      </c>
      <c r="N32" s="106">
        <v>48.05</v>
      </c>
      <c r="S32" s="36"/>
      <c r="T32" s="36"/>
    </row>
    <row r="33" spans="1:20" s="38" customFormat="1" ht="15.75" hidden="1" x14ac:dyDescent="0.3">
      <c r="A33" s="36" t="str">
        <f xml:space="preserve"> IF( 'From SvanPC++'!A23= "", "", ('From SvanPC++'!A23))</f>
        <v/>
      </c>
      <c r="B33" s="35" t="s">
        <v>162</v>
      </c>
      <c r="C33" s="34">
        <v>46</v>
      </c>
      <c r="D33" s="36"/>
      <c r="E33" s="20">
        <v>44176</v>
      </c>
      <c r="F33" s="19">
        <v>0.76041666666666663</v>
      </c>
      <c r="H33" s="34">
        <v>46</v>
      </c>
      <c r="I33" s="19"/>
      <c r="L33" s="20">
        <v>44176</v>
      </c>
      <c r="M33" s="19">
        <v>0.76041666666666663</v>
      </c>
      <c r="N33" s="19"/>
      <c r="S33" s="36"/>
      <c r="T33" s="36"/>
    </row>
    <row r="34" spans="1:20" s="38" customFormat="1" ht="15.75" hidden="1" x14ac:dyDescent="0.3">
      <c r="A34" s="36" t="str">
        <f xml:space="preserve"> IF( 'From SvanPC++'!A24= "", "", ('From SvanPC++'!A24))</f>
        <v/>
      </c>
      <c r="B34" s="35" t="s">
        <v>163</v>
      </c>
      <c r="C34" s="34">
        <v>44.4</v>
      </c>
      <c r="D34" s="36"/>
      <c r="E34" s="20">
        <v>44176</v>
      </c>
      <c r="F34" s="19">
        <v>0.77083333333333337</v>
      </c>
      <c r="H34" s="34">
        <v>44.4</v>
      </c>
      <c r="I34" s="19"/>
      <c r="L34" s="20">
        <v>44176</v>
      </c>
      <c r="M34" s="19">
        <v>0.77083333333333337</v>
      </c>
      <c r="N34" s="19"/>
      <c r="S34" s="36"/>
      <c r="T34" s="36"/>
    </row>
    <row r="35" spans="1:20" s="38" customFormat="1" ht="15.75" hidden="1" x14ac:dyDescent="0.3">
      <c r="A35" s="36" t="str">
        <f xml:space="preserve"> IF( 'From SvanPC++'!A25= "", "", ('From SvanPC++'!A25))</f>
        <v/>
      </c>
      <c r="B35" s="35" t="s">
        <v>164</v>
      </c>
      <c r="C35" s="34">
        <v>45.5</v>
      </c>
      <c r="D35" s="36"/>
      <c r="E35" s="20">
        <v>44176</v>
      </c>
      <c r="F35" s="19">
        <v>0.78125</v>
      </c>
      <c r="H35" s="34">
        <v>45.5</v>
      </c>
      <c r="I35" s="19"/>
      <c r="L35" s="20">
        <v>44176</v>
      </c>
      <c r="M35" s="19">
        <v>0.78125</v>
      </c>
      <c r="N35" s="19"/>
      <c r="S35" s="36"/>
      <c r="T35" s="36"/>
    </row>
    <row r="36" spans="1:20" s="38" customFormat="1" ht="15.75" x14ac:dyDescent="0.3">
      <c r="A36" s="36" t="str">
        <f xml:space="preserve"> IF( 'From SvanPC++'!A26= "", "", ('From SvanPC++'!A26))</f>
        <v/>
      </c>
      <c r="B36" s="35" t="s">
        <v>165</v>
      </c>
      <c r="C36" s="34">
        <v>44</v>
      </c>
      <c r="D36" s="36"/>
      <c r="E36" s="20">
        <v>44176</v>
      </c>
      <c r="F36" s="19">
        <v>0.79166666666666663</v>
      </c>
      <c r="H36" s="34">
        <v>44</v>
      </c>
      <c r="I36" s="106">
        <f>AVERAGE(H33:H36)</f>
        <v>44.975000000000001</v>
      </c>
      <c r="L36" s="20">
        <v>44176</v>
      </c>
      <c r="M36" s="19">
        <v>0.79166666666666663</v>
      </c>
      <c r="N36" s="106">
        <v>44.975000000000001</v>
      </c>
      <c r="S36" s="36"/>
      <c r="T36" s="36"/>
    </row>
    <row r="37" spans="1:20" s="38" customFormat="1" ht="15.75" hidden="1" x14ac:dyDescent="0.3">
      <c r="A37" s="36" t="str">
        <f xml:space="preserve"> IF( 'From SvanPC++'!A27= "", "", ('From SvanPC++'!A27))</f>
        <v/>
      </c>
      <c r="B37" s="35" t="s">
        <v>166</v>
      </c>
      <c r="C37" s="34">
        <v>43.2</v>
      </c>
      <c r="D37" s="36"/>
      <c r="E37" s="20">
        <v>44176</v>
      </c>
      <c r="F37" s="19">
        <v>0.80208333333333337</v>
      </c>
      <c r="H37" s="34">
        <v>43.2</v>
      </c>
      <c r="I37" s="19"/>
      <c r="L37" s="20">
        <v>44176</v>
      </c>
      <c r="M37" s="19">
        <v>0.80208333333333337</v>
      </c>
      <c r="N37" s="19"/>
      <c r="S37" s="36"/>
      <c r="T37" s="36"/>
    </row>
    <row r="38" spans="1:20" s="38" customFormat="1" ht="15.75" hidden="1" x14ac:dyDescent="0.3">
      <c r="A38" s="36" t="str">
        <f xml:space="preserve"> IF( 'From SvanPC++'!A28= "", "", ('From SvanPC++'!A28))</f>
        <v/>
      </c>
      <c r="B38" s="35" t="s">
        <v>167</v>
      </c>
      <c r="C38" s="34">
        <v>41.5</v>
      </c>
      <c r="D38" s="36"/>
      <c r="E38" s="20">
        <v>44176</v>
      </c>
      <c r="F38" s="19">
        <v>0.8125</v>
      </c>
      <c r="H38" s="34">
        <v>41.5</v>
      </c>
      <c r="I38" s="19"/>
      <c r="L38" s="20">
        <v>44176</v>
      </c>
      <c r="M38" s="19">
        <v>0.8125</v>
      </c>
      <c r="N38" s="19"/>
      <c r="S38" s="36"/>
      <c r="T38" s="36"/>
    </row>
    <row r="39" spans="1:20" s="38" customFormat="1" ht="15.75" hidden="1" x14ac:dyDescent="0.3">
      <c r="A39" s="36" t="str">
        <f xml:space="preserve"> IF( 'From SvanPC++'!A29= "", "", ('From SvanPC++'!A29))</f>
        <v/>
      </c>
      <c r="B39" s="35" t="s">
        <v>168</v>
      </c>
      <c r="C39" s="34">
        <v>41.5</v>
      </c>
      <c r="D39" s="36"/>
      <c r="E39" s="20">
        <v>44176</v>
      </c>
      <c r="F39" s="19">
        <v>0.82291666666666663</v>
      </c>
      <c r="H39" s="34">
        <v>41.5</v>
      </c>
      <c r="I39" s="19"/>
      <c r="L39" s="20">
        <v>44176</v>
      </c>
      <c r="M39" s="19">
        <v>0.82291666666666663</v>
      </c>
      <c r="N39" s="19"/>
      <c r="S39" s="36"/>
      <c r="T39" s="36"/>
    </row>
    <row r="40" spans="1:20" s="38" customFormat="1" ht="15.75" x14ac:dyDescent="0.3">
      <c r="A40" s="36" t="str">
        <f xml:space="preserve"> IF( 'From SvanPC++'!A30= "", "", ('From SvanPC++'!A30))</f>
        <v/>
      </c>
      <c r="B40" s="35" t="s">
        <v>169</v>
      </c>
      <c r="C40" s="34">
        <v>41</v>
      </c>
      <c r="D40" s="36"/>
      <c r="E40" s="20">
        <v>44176</v>
      </c>
      <c r="F40" s="19">
        <v>0.83333333333333337</v>
      </c>
      <c r="H40" s="34">
        <v>41</v>
      </c>
      <c r="I40" s="106">
        <f>AVERAGE(H37:H40)</f>
        <v>41.8</v>
      </c>
      <c r="L40" s="20">
        <v>44176</v>
      </c>
      <c r="M40" s="19">
        <v>0.83333333333333337</v>
      </c>
      <c r="N40" s="106">
        <v>41.8</v>
      </c>
      <c r="S40" s="36"/>
      <c r="T40" s="36"/>
    </row>
    <row r="41" spans="1:20" s="38" customFormat="1" ht="15.75" hidden="1" x14ac:dyDescent="0.3">
      <c r="A41" s="36" t="str">
        <f xml:space="preserve"> IF( 'From SvanPC++'!A31= "", "", ('From SvanPC++'!A31))</f>
        <v/>
      </c>
      <c r="B41" s="35" t="s">
        <v>170</v>
      </c>
      <c r="C41" s="34">
        <v>40.200000000000003</v>
      </c>
      <c r="D41" s="36"/>
      <c r="E41" s="20">
        <v>44176</v>
      </c>
      <c r="F41" s="19">
        <v>0.84375</v>
      </c>
      <c r="H41" s="34">
        <v>40.200000000000003</v>
      </c>
      <c r="I41" s="19"/>
      <c r="L41" s="20">
        <v>44176</v>
      </c>
      <c r="M41" s="19">
        <v>0.84375</v>
      </c>
      <c r="N41" s="19"/>
      <c r="S41" s="36"/>
      <c r="T41" s="36"/>
    </row>
    <row r="42" spans="1:20" s="38" customFormat="1" ht="15.75" hidden="1" x14ac:dyDescent="0.3">
      <c r="A42" s="36" t="str">
        <f xml:space="preserve"> IF( 'From SvanPC++'!A32= "", "", ('From SvanPC++'!A32))</f>
        <v/>
      </c>
      <c r="B42" s="35" t="s">
        <v>171</v>
      </c>
      <c r="C42" s="34">
        <v>37.5</v>
      </c>
      <c r="D42" s="36"/>
      <c r="E42" s="20">
        <v>44176</v>
      </c>
      <c r="F42" s="19">
        <v>0.85416666666666663</v>
      </c>
      <c r="H42" s="34">
        <v>37.5</v>
      </c>
      <c r="I42" s="19"/>
      <c r="L42" s="20">
        <v>44176</v>
      </c>
      <c r="M42" s="19">
        <v>0.85416666666666663</v>
      </c>
      <c r="N42" s="19"/>
      <c r="S42" s="36"/>
      <c r="T42" s="36"/>
    </row>
    <row r="43" spans="1:20" s="38" customFormat="1" ht="15.75" hidden="1" x14ac:dyDescent="0.3">
      <c r="A43" s="36" t="str">
        <f xml:space="preserve"> IF( 'From SvanPC++'!A33= "", "", ('From SvanPC++'!A33))</f>
        <v/>
      </c>
      <c r="B43" s="35" t="s">
        <v>172</v>
      </c>
      <c r="C43" s="34">
        <v>38.6</v>
      </c>
      <c r="D43" s="36"/>
      <c r="E43" s="20">
        <v>44176</v>
      </c>
      <c r="F43" s="19">
        <v>0.86458333333333337</v>
      </c>
      <c r="H43" s="34">
        <v>38.6</v>
      </c>
      <c r="I43" s="19"/>
      <c r="L43" s="20">
        <v>44176</v>
      </c>
      <c r="M43" s="19">
        <v>0.86458333333333337</v>
      </c>
      <c r="N43" s="19"/>
      <c r="S43" s="36"/>
      <c r="T43" s="36"/>
    </row>
    <row r="44" spans="1:20" s="38" customFormat="1" ht="15.75" x14ac:dyDescent="0.3">
      <c r="A44" s="36" t="str">
        <f xml:space="preserve"> IF( 'From SvanPC++'!A34= "", "", ('From SvanPC++'!A34))</f>
        <v/>
      </c>
      <c r="B44" s="35" t="s">
        <v>173</v>
      </c>
      <c r="C44" s="34">
        <v>38.299999999999997</v>
      </c>
      <c r="D44" s="36"/>
      <c r="E44" s="20">
        <v>44176</v>
      </c>
      <c r="F44" s="19">
        <v>0.875</v>
      </c>
      <c r="H44" s="34">
        <v>38.299999999999997</v>
      </c>
      <c r="I44" s="106">
        <f>AVERAGE(H41:H44)</f>
        <v>38.650000000000006</v>
      </c>
      <c r="L44" s="20">
        <v>44176</v>
      </c>
      <c r="M44" s="19">
        <v>0.875</v>
      </c>
      <c r="N44" s="106">
        <v>38.650000000000006</v>
      </c>
      <c r="S44" s="36"/>
      <c r="T44" s="36"/>
    </row>
    <row r="45" spans="1:20" s="38" customFormat="1" ht="15.75" hidden="1" x14ac:dyDescent="0.3">
      <c r="A45" s="36" t="str">
        <f xml:space="preserve"> IF( 'From SvanPC++'!A35= "", "", ('From SvanPC++'!A35))</f>
        <v/>
      </c>
      <c r="B45" s="35" t="s">
        <v>174</v>
      </c>
      <c r="C45" s="34">
        <v>43.3</v>
      </c>
      <c r="D45" s="36"/>
      <c r="E45" s="20">
        <v>44176</v>
      </c>
      <c r="F45" s="19">
        <v>0.88541666666666663</v>
      </c>
      <c r="H45" s="34">
        <v>43.3</v>
      </c>
      <c r="I45" s="19"/>
      <c r="L45" s="20">
        <v>44176</v>
      </c>
      <c r="M45" s="19">
        <v>0.88541666666666663</v>
      </c>
      <c r="N45" s="19"/>
      <c r="S45" s="36"/>
      <c r="T45" s="36"/>
    </row>
    <row r="46" spans="1:20" s="38" customFormat="1" ht="15.75" hidden="1" x14ac:dyDescent="0.3">
      <c r="A46" s="36" t="str">
        <f xml:space="preserve"> IF( 'From SvanPC++'!A36= "", "", ('From SvanPC++'!A36))</f>
        <v/>
      </c>
      <c r="B46" s="35" t="s">
        <v>175</v>
      </c>
      <c r="C46" s="34">
        <v>37.9</v>
      </c>
      <c r="D46" s="36"/>
      <c r="E46" s="20">
        <v>44176</v>
      </c>
      <c r="F46" s="19">
        <v>0.89583333333333337</v>
      </c>
      <c r="H46" s="34">
        <v>37.9</v>
      </c>
      <c r="I46" s="19"/>
      <c r="L46" s="20">
        <v>44176</v>
      </c>
      <c r="M46" s="19">
        <v>0.89583333333333337</v>
      </c>
      <c r="N46" s="19"/>
      <c r="S46" s="36"/>
      <c r="T46" s="36"/>
    </row>
    <row r="47" spans="1:20" s="38" customFormat="1" ht="15.75" hidden="1" x14ac:dyDescent="0.3">
      <c r="A47" s="36" t="str">
        <f xml:space="preserve"> IF( 'From SvanPC++'!A37= "", "", ('From SvanPC++'!A37))</f>
        <v/>
      </c>
      <c r="B47" s="35" t="s">
        <v>176</v>
      </c>
      <c r="C47" s="34">
        <v>38</v>
      </c>
      <c r="D47" s="36"/>
      <c r="E47" s="20">
        <v>44176</v>
      </c>
      <c r="F47" s="19">
        <v>0.90625</v>
      </c>
      <c r="H47" s="34">
        <v>38</v>
      </c>
      <c r="I47" s="19"/>
      <c r="L47" s="20">
        <v>44176</v>
      </c>
      <c r="M47" s="19">
        <v>0.90625</v>
      </c>
      <c r="N47" s="19"/>
      <c r="S47" s="36"/>
      <c r="T47" s="36"/>
    </row>
    <row r="48" spans="1:20" s="38" customFormat="1" ht="15.75" x14ac:dyDescent="0.3">
      <c r="A48" s="36" t="str">
        <f xml:space="preserve"> IF( 'From SvanPC++'!A38= "", "", ('From SvanPC++'!A38))</f>
        <v/>
      </c>
      <c r="B48" s="35" t="s">
        <v>177</v>
      </c>
      <c r="C48" s="34">
        <v>37.4</v>
      </c>
      <c r="D48" s="36"/>
      <c r="E48" s="20">
        <v>44176</v>
      </c>
      <c r="F48" s="19">
        <v>0.91666666666666663</v>
      </c>
      <c r="H48" s="34">
        <v>37.4</v>
      </c>
      <c r="I48" s="106">
        <f>AVERAGE(H45:H48)</f>
        <v>39.15</v>
      </c>
      <c r="L48" s="20">
        <v>44176</v>
      </c>
      <c r="M48" s="19">
        <v>0.91666666666666663</v>
      </c>
      <c r="N48" s="106">
        <v>39.15</v>
      </c>
      <c r="S48" s="36"/>
      <c r="T48" s="36"/>
    </row>
    <row r="49" spans="1:20" s="38" customFormat="1" ht="15.75" hidden="1" x14ac:dyDescent="0.3">
      <c r="A49" s="36" t="str">
        <f xml:space="preserve"> IF( 'From SvanPC++'!A39= "", "", ('From SvanPC++'!A39))</f>
        <v/>
      </c>
      <c r="B49" s="35" t="s">
        <v>178</v>
      </c>
      <c r="C49" s="34">
        <v>36.9</v>
      </c>
      <c r="D49" s="36"/>
      <c r="E49" s="20">
        <v>44176</v>
      </c>
      <c r="F49" s="19">
        <v>0.92708333333333337</v>
      </c>
      <c r="H49" s="34">
        <v>36.9</v>
      </c>
      <c r="I49" s="19"/>
      <c r="L49" s="20">
        <v>44176</v>
      </c>
      <c r="M49" s="19">
        <v>0.92708333333333337</v>
      </c>
      <c r="N49" s="19"/>
      <c r="S49" s="36"/>
      <c r="T49" s="36"/>
    </row>
    <row r="50" spans="1:20" s="38" customFormat="1" ht="15.75" hidden="1" x14ac:dyDescent="0.3">
      <c r="A50" s="36" t="str">
        <f xml:space="preserve"> IF( 'From SvanPC++'!A40= "", "", ('From SvanPC++'!A40))</f>
        <v/>
      </c>
      <c r="B50" s="35" t="s">
        <v>179</v>
      </c>
      <c r="C50" s="34">
        <v>36</v>
      </c>
      <c r="D50" s="36"/>
      <c r="E50" s="20">
        <v>44176</v>
      </c>
      <c r="F50" s="19">
        <v>0.9375</v>
      </c>
      <c r="H50" s="34">
        <v>36</v>
      </c>
      <c r="I50" s="19"/>
      <c r="L50" s="20">
        <v>44176</v>
      </c>
      <c r="M50" s="19">
        <v>0.9375</v>
      </c>
      <c r="N50" s="19"/>
      <c r="S50" s="36"/>
      <c r="T50" s="36"/>
    </row>
    <row r="51" spans="1:20" s="38" customFormat="1" ht="15.75" hidden="1" x14ac:dyDescent="0.3">
      <c r="A51" s="36" t="str">
        <f xml:space="preserve"> IF( 'From SvanPC++'!A41= "", "", ('From SvanPC++'!A41))</f>
        <v/>
      </c>
      <c r="B51" s="35" t="s">
        <v>180</v>
      </c>
      <c r="C51" s="34">
        <v>36.700000000000003</v>
      </c>
      <c r="D51" s="36"/>
      <c r="E51" s="20">
        <v>44176</v>
      </c>
      <c r="F51" s="19">
        <v>0.94791666666666663</v>
      </c>
      <c r="H51" s="34">
        <v>36.700000000000003</v>
      </c>
      <c r="I51" s="19"/>
      <c r="L51" s="20">
        <v>44176</v>
      </c>
      <c r="M51" s="19">
        <v>0.94791666666666663</v>
      </c>
      <c r="N51" s="19"/>
      <c r="S51" s="36"/>
      <c r="T51" s="36"/>
    </row>
    <row r="52" spans="1:20" s="38" customFormat="1" ht="15.75" x14ac:dyDescent="0.3">
      <c r="A52" s="36" t="str">
        <f xml:space="preserve"> IF( 'From SvanPC++'!A42= "", "", ('From SvanPC++'!A42))</f>
        <v/>
      </c>
      <c r="B52" s="35" t="s">
        <v>181</v>
      </c>
      <c r="C52" s="34">
        <v>35.4</v>
      </c>
      <c r="D52" s="36"/>
      <c r="E52" s="20">
        <v>44176</v>
      </c>
      <c r="F52" s="19">
        <v>0.95833333333333337</v>
      </c>
      <c r="H52" s="34">
        <v>35.4</v>
      </c>
      <c r="I52" s="106">
        <f>AVERAGE(H49:H52)</f>
        <v>36.25</v>
      </c>
      <c r="L52" s="20">
        <v>44176</v>
      </c>
      <c r="M52" s="19">
        <v>0.95833333333333337</v>
      </c>
      <c r="N52" s="106">
        <v>36.25</v>
      </c>
      <c r="S52" s="36"/>
      <c r="T52" s="36"/>
    </row>
    <row r="53" spans="1:20" s="38" customFormat="1" ht="15.75" hidden="1" x14ac:dyDescent="0.3">
      <c r="A53" s="36" t="str">
        <f xml:space="preserve"> IF( 'From SvanPC++'!A43= "", "", ('From SvanPC++'!A43))</f>
        <v/>
      </c>
      <c r="B53" s="35" t="s">
        <v>182</v>
      </c>
      <c r="C53" s="34">
        <v>35.1</v>
      </c>
      <c r="D53" s="36"/>
      <c r="E53" s="20">
        <v>44176</v>
      </c>
      <c r="F53" s="19">
        <v>0.96875</v>
      </c>
      <c r="H53" s="34">
        <v>35.1</v>
      </c>
      <c r="I53" s="19"/>
      <c r="L53" s="20">
        <v>44176</v>
      </c>
      <c r="M53" s="19">
        <v>0.96875</v>
      </c>
      <c r="N53" s="19"/>
      <c r="S53" s="36"/>
      <c r="T53" s="36"/>
    </row>
    <row r="54" spans="1:20" s="38" customFormat="1" ht="15.75" hidden="1" x14ac:dyDescent="0.3">
      <c r="A54" s="36" t="str">
        <f xml:space="preserve"> IF( 'From SvanPC++'!A44= "", "", ('From SvanPC++'!A44))</f>
        <v/>
      </c>
      <c r="B54" s="35" t="s">
        <v>183</v>
      </c>
      <c r="C54" s="34">
        <v>35.700000000000003</v>
      </c>
      <c r="D54" s="36"/>
      <c r="E54" s="20">
        <v>44176</v>
      </c>
      <c r="F54" s="19">
        <v>0.97916666666666663</v>
      </c>
      <c r="H54" s="34">
        <v>35.700000000000003</v>
      </c>
      <c r="I54" s="19"/>
      <c r="L54" s="20">
        <v>44176</v>
      </c>
      <c r="M54" s="19">
        <v>0.97916666666666663</v>
      </c>
      <c r="N54" s="19"/>
      <c r="S54" s="36"/>
      <c r="T54" s="36"/>
    </row>
    <row r="55" spans="1:20" s="38" customFormat="1" ht="15.75" hidden="1" x14ac:dyDescent="0.3">
      <c r="A55" s="36" t="str">
        <f xml:space="preserve"> IF( 'From SvanPC++'!A45= "", "", ('From SvanPC++'!A45))</f>
        <v/>
      </c>
      <c r="B55" s="35" t="s">
        <v>184</v>
      </c>
      <c r="C55" s="34">
        <v>35.200000000000003</v>
      </c>
      <c r="D55" s="36"/>
      <c r="E55" s="20">
        <v>44176</v>
      </c>
      <c r="F55" s="19">
        <v>0.98958333333333337</v>
      </c>
      <c r="H55" s="34">
        <v>35.200000000000003</v>
      </c>
      <c r="I55" s="19"/>
      <c r="L55" s="20">
        <v>44176</v>
      </c>
      <c r="M55" s="19">
        <v>0.98958333333333337</v>
      </c>
      <c r="N55" s="19"/>
      <c r="S55" s="36"/>
      <c r="T55" s="36"/>
    </row>
    <row r="56" spans="1:20" s="38" customFormat="1" ht="15.75" x14ac:dyDescent="0.3">
      <c r="A56" s="36" t="str">
        <f xml:space="preserve"> IF( 'From SvanPC++'!A46= "", "", ('From SvanPC++'!A46))</f>
        <v/>
      </c>
      <c r="B56" s="35" t="s">
        <v>185</v>
      </c>
      <c r="C56" s="34">
        <v>35.200000000000003</v>
      </c>
      <c r="D56" s="36"/>
      <c r="E56" s="20">
        <v>44177</v>
      </c>
      <c r="F56" s="19">
        <v>0</v>
      </c>
      <c r="H56" s="34">
        <v>35.200000000000003</v>
      </c>
      <c r="I56" s="106">
        <f>AVERAGE(H53:H56)</f>
        <v>35.300000000000004</v>
      </c>
      <c r="L56" s="20">
        <v>44177</v>
      </c>
      <c r="M56" s="19">
        <v>0</v>
      </c>
      <c r="N56" s="106">
        <v>35.300000000000004</v>
      </c>
      <c r="S56" s="36"/>
      <c r="T56" s="36"/>
    </row>
    <row r="57" spans="1:20" s="38" customFormat="1" ht="15.75" hidden="1" x14ac:dyDescent="0.3">
      <c r="A57" s="36" t="str">
        <f xml:space="preserve"> IF( 'From SvanPC++'!A47= "", "", ('From SvanPC++'!A47))</f>
        <v/>
      </c>
      <c r="B57" s="35" t="s">
        <v>186</v>
      </c>
      <c r="C57" s="34">
        <v>34.4</v>
      </c>
      <c r="D57" s="36"/>
      <c r="E57" s="20">
        <v>44177</v>
      </c>
      <c r="F57" s="19">
        <v>1.0416666666666666E-2</v>
      </c>
      <c r="H57" s="34">
        <v>34.4</v>
      </c>
      <c r="I57" s="19"/>
      <c r="L57" s="20">
        <v>44177</v>
      </c>
      <c r="M57" s="19">
        <v>1.0416666666666666E-2</v>
      </c>
      <c r="N57" s="19"/>
      <c r="S57" s="36"/>
      <c r="T57" s="36"/>
    </row>
    <row r="58" spans="1:20" s="38" customFormat="1" ht="15.75" hidden="1" x14ac:dyDescent="0.3">
      <c r="A58" s="36" t="str">
        <f xml:space="preserve"> IF( 'From SvanPC++'!A48= "", "", ('From SvanPC++'!A48))</f>
        <v/>
      </c>
      <c r="B58" s="35" t="s">
        <v>187</v>
      </c>
      <c r="C58" s="34">
        <v>32.5</v>
      </c>
      <c r="D58" s="36"/>
      <c r="E58" s="20">
        <v>44177</v>
      </c>
      <c r="F58" s="19">
        <v>2.0833333333333332E-2</v>
      </c>
      <c r="H58" s="34">
        <v>32.5</v>
      </c>
      <c r="I58" s="19"/>
      <c r="L58" s="20">
        <v>44177</v>
      </c>
      <c r="M58" s="19">
        <v>2.0833333333333332E-2</v>
      </c>
      <c r="N58" s="19"/>
      <c r="S58" s="36"/>
      <c r="T58" s="36"/>
    </row>
    <row r="59" spans="1:20" s="38" customFormat="1" ht="15.75" hidden="1" x14ac:dyDescent="0.3">
      <c r="A59" s="36" t="str">
        <f xml:space="preserve"> IF( 'From SvanPC++'!A49= "", "", ('From SvanPC++'!A49))</f>
        <v/>
      </c>
      <c r="B59" s="35" t="s">
        <v>188</v>
      </c>
      <c r="C59" s="34">
        <v>29.5</v>
      </c>
      <c r="D59" s="36"/>
      <c r="E59" s="20">
        <v>44177</v>
      </c>
      <c r="F59" s="19">
        <v>3.125E-2</v>
      </c>
      <c r="H59" s="34">
        <v>29.5</v>
      </c>
      <c r="I59" s="19"/>
      <c r="L59" s="20">
        <v>44177</v>
      </c>
      <c r="M59" s="19">
        <v>3.125E-2</v>
      </c>
      <c r="N59" s="19"/>
      <c r="S59" s="36"/>
      <c r="T59" s="36"/>
    </row>
    <row r="60" spans="1:20" s="38" customFormat="1" ht="15.75" x14ac:dyDescent="0.3">
      <c r="A60" s="36" t="str">
        <f xml:space="preserve"> IF( 'From SvanPC++'!A50= "", "", ('From SvanPC++'!A50))</f>
        <v/>
      </c>
      <c r="B60" s="35" t="s">
        <v>189</v>
      </c>
      <c r="C60" s="34">
        <v>29.2</v>
      </c>
      <c r="D60" s="36"/>
      <c r="E60" s="20">
        <v>44177</v>
      </c>
      <c r="F60" s="19">
        <v>4.1666666666666664E-2</v>
      </c>
      <c r="H60" s="34">
        <v>29.2</v>
      </c>
      <c r="I60" s="106">
        <f>AVERAGE(H57:H60)</f>
        <v>31.400000000000002</v>
      </c>
      <c r="L60" s="20">
        <v>44177</v>
      </c>
      <c r="M60" s="19">
        <v>4.1666666666666664E-2</v>
      </c>
      <c r="N60" s="106">
        <v>31.400000000000002</v>
      </c>
      <c r="S60" s="36"/>
      <c r="T60" s="36"/>
    </row>
    <row r="61" spans="1:20" s="38" customFormat="1" ht="15.75" hidden="1" x14ac:dyDescent="0.3">
      <c r="A61" s="36" t="str">
        <f xml:space="preserve"> IF( 'From SvanPC++'!A51= "", "", ('From SvanPC++'!A51))</f>
        <v/>
      </c>
      <c r="B61" s="35" t="s">
        <v>190</v>
      </c>
      <c r="C61" s="34">
        <v>29.7</v>
      </c>
      <c r="D61" s="36"/>
      <c r="E61" s="20">
        <v>44177</v>
      </c>
      <c r="F61" s="19">
        <v>5.2083333333333336E-2</v>
      </c>
      <c r="H61" s="34">
        <v>29.7</v>
      </c>
      <c r="I61" s="19"/>
      <c r="L61" s="20">
        <v>44177</v>
      </c>
      <c r="M61" s="19">
        <v>5.2083333333333336E-2</v>
      </c>
      <c r="N61" s="19"/>
      <c r="S61" s="36"/>
      <c r="T61" s="36"/>
    </row>
    <row r="62" spans="1:20" s="38" customFormat="1" ht="15.75" hidden="1" x14ac:dyDescent="0.3">
      <c r="A62" s="36" t="str">
        <f xml:space="preserve"> IF( 'From SvanPC++'!A52= "", "", ('From SvanPC++'!A52))</f>
        <v/>
      </c>
      <c r="B62" s="35" t="s">
        <v>191</v>
      </c>
      <c r="C62" s="34">
        <v>29</v>
      </c>
      <c r="D62" s="36"/>
      <c r="E62" s="20">
        <v>44177</v>
      </c>
      <c r="F62" s="19">
        <v>6.25E-2</v>
      </c>
      <c r="H62" s="34">
        <v>29</v>
      </c>
      <c r="I62" s="19"/>
      <c r="L62" s="20">
        <v>44177</v>
      </c>
      <c r="M62" s="19">
        <v>6.25E-2</v>
      </c>
      <c r="N62" s="19"/>
      <c r="S62" s="36"/>
      <c r="T62" s="36"/>
    </row>
    <row r="63" spans="1:20" s="38" customFormat="1" ht="15.75" hidden="1" x14ac:dyDescent="0.3">
      <c r="A63" s="36" t="str">
        <f xml:space="preserve"> IF( 'From SvanPC++'!A53= "", "", ('From SvanPC++'!A53))</f>
        <v/>
      </c>
      <c r="B63" s="35" t="s">
        <v>192</v>
      </c>
      <c r="C63" s="34">
        <v>26.4</v>
      </c>
      <c r="D63" s="36"/>
      <c r="E63" s="20">
        <v>44177</v>
      </c>
      <c r="F63" s="19">
        <v>7.2916666666666671E-2</v>
      </c>
      <c r="H63" s="34">
        <v>26.4</v>
      </c>
      <c r="I63" s="19"/>
      <c r="L63" s="20">
        <v>44177</v>
      </c>
      <c r="M63" s="19">
        <v>7.2916666666666671E-2</v>
      </c>
      <c r="N63" s="19"/>
      <c r="S63" s="36"/>
      <c r="T63" s="36"/>
    </row>
    <row r="64" spans="1:20" s="38" customFormat="1" ht="15.75" x14ac:dyDescent="0.3">
      <c r="A64" s="36" t="str">
        <f xml:space="preserve"> IF( 'From SvanPC++'!A54= "", "", ('From SvanPC++'!A54))</f>
        <v/>
      </c>
      <c r="B64" s="35" t="s">
        <v>193</v>
      </c>
      <c r="C64" s="34">
        <v>25.7</v>
      </c>
      <c r="D64" s="36"/>
      <c r="E64" s="20">
        <v>44177</v>
      </c>
      <c r="F64" s="19">
        <v>8.3333333333333329E-2</v>
      </c>
      <c r="H64" s="34">
        <v>25.7</v>
      </c>
      <c r="I64" s="106">
        <f>AVERAGE(H61:H64)</f>
        <v>27.7</v>
      </c>
      <c r="L64" s="20">
        <v>44177</v>
      </c>
      <c r="M64" s="19">
        <v>8.3333333333333329E-2</v>
      </c>
      <c r="N64" s="106">
        <v>27.7</v>
      </c>
      <c r="S64" s="36"/>
      <c r="T64" s="36"/>
    </row>
    <row r="65" spans="1:20" s="38" customFormat="1" ht="15.75" hidden="1" x14ac:dyDescent="0.3">
      <c r="A65" s="36" t="str">
        <f xml:space="preserve"> IF( 'From SvanPC++'!A55= "", "", ('From SvanPC++'!A55))</f>
        <v/>
      </c>
      <c r="B65" s="35" t="s">
        <v>194</v>
      </c>
      <c r="C65" s="34">
        <v>26.4</v>
      </c>
      <c r="D65" s="36"/>
      <c r="E65" s="20">
        <v>44177</v>
      </c>
      <c r="F65" s="19">
        <v>9.375E-2</v>
      </c>
      <c r="H65" s="34">
        <v>26.4</v>
      </c>
      <c r="I65" s="19"/>
      <c r="L65" s="20">
        <v>44177</v>
      </c>
      <c r="M65" s="19">
        <v>9.375E-2</v>
      </c>
      <c r="N65" s="19"/>
      <c r="S65" s="36"/>
      <c r="T65" s="36"/>
    </row>
    <row r="66" spans="1:20" s="38" customFormat="1" ht="15.75" hidden="1" x14ac:dyDescent="0.3">
      <c r="A66" s="36" t="str">
        <f xml:space="preserve"> IF( 'From SvanPC++'!A56= "", "", ('From SvanPC++'!A56))</f>
        <v/>
      </c>
      <c r="B66" s="35" t="s">
        <v>195</v>
      </c>
      <c r="C66" s="34">
        <v>24.3</v>
      </c>
      <c r="D66" s="36"/>
      <c r="E66" s="20">
        <v>44177</v>
      </c>
      <c r="F66" s="19">
        <v>0.10416666666666667</v>
      </c>
      <c r="H66" s="34">
        <v>24.3</v>
      </c>
      <c r="I66" s="19"/>
      <c r="L66" s="20">
        <v>44177</v>
      </c>
      <c r="M66" s="19">
        <v>0.10416666666666667</v>
      </c>
      <c r="N66" s="19"/>
      <c r="S66" s="36"/>
      <c r="T66" s="36"/>
    </row>
    <row r="67" spans="1:20" s="38" customFormat="1" ht="15.75" hidden="1" x14ac:dyDescent="0.3">
      <c r="A67" s="36" t="str">
        <f xml:space="preserve"> IF( 'From SvanPC++'!A57= "", "", ('From SvanPC++'!A57))</f>
        <v/>
      </c>
      <c r="B67" s="35" t="s">
        <v>196</v>
      </c>
      <c r="C67" s="34">
        <v>27</v>
      </c>
      <c r="D67" s="36"/>
      <c r="E67" s="20">
        <v>44177</v>
      </c>
      <c r="F67" s="19">
        <v>0.11458333333333333</v>
      </c>
      <c r="H67" s="34">
        <v>27</v>
      </c>
      <c r="I67" s="19"/>
      <c r="L67" s="20">
        <v>44177</v>
      </c>
      <c r="M67" s="19">
        <v>0.11458333333333333</v>
      </c>
      <c r="N67" s="19"/>
      <c r="S67" s="36"/>
      <c r="T67" s="36"/>
    </row>
    <row r="68" spans="1:20" s="38" customFormat="1" ht="15.75" x14ac:dyDescent="0.3">
      <c r="A68" s="36" t="str">
        <f xml:space="preserve"> IF( 'From SvanPC++'!A58= "", "", ('From SvanPC++'!A58))</f>
        <v/>
      </c>
      <c r="B68" s="35" t="s">
        <v>197</v>
      </c>
      <c r="C68" s="34">
        <v>25.4</v>
      </c>
      <c r="D68" s="36"/>
      <c r="E68" s="20">
        <v>44177</v>
      </c>
      <c r="F68" s="19">
        <v>0.125</v>
      </c>
      <c r="H68" s="34">
        <v>25.4</v>
      </c>
      <c r="I68" s="106">
        <f>AVERAGE(H65:H68)</f>
        <v>25.774999999999999</v>
      </c>
      <c r="L68" s="20">
        <v>44177</v>
      </c>
      <c r="M68" s="19">
        <v>0.125</v>
      </c>
      <c r="N68" s="106">
        <v>25.774999999999999</v>
      </c>
      <c r="S68" s="36"/>
      <c r="T68" s="36"/>
    </row>
    <row r="69" spans="1:20" s="38" customFormat="1" ht="15.75" hidden="1" x14ac:dyDescent="0.3">
      <c r="A69" s="36" t="str">
        <f xml:space="preserve"> IF( 'From SvanPC++'!A59= "", "", ('From SvanPC++'!A59))</f>
        <v/>
      </c>
      <c r="B69" s="35" t="s">
        <v>198</v>
      </c>
      <c r="C69" s="34">
        <v>24.2</v>
      </c>
      <c r="D69" s="36"/>
      <c r="E69" s="20">
        <v>44177</v>
      </c>
      <c r="F69" s="19">
        <v>0.13541666666666666</v>
      </c>
      <c r="H69" s="34">
        <v>24.2</v>
      </c>
      <c r="I69" s="19"/>
      <c r="L69" s="20">
        <v>44177</v>
      </c>
      <c r="M69" s="19">
        <v>0.13541666666666666</v>
      </c>
      <c r="N69" s="19"/>
      <c r="S69" s="36"/>
      <c r="T69" s="36"/>
    </row>
    <row r="70" spans="1:20" s="38" customFormat="1" ht="15.75" hidden="1" x14ac:dyDescent="0.3">
      <c r="A70" s="36" t="str">
        <f xml:space="preserve"> IF( 'From SvanPC++'!A60= "", "", ('From SvanPC++'!A60))</f>
        <v/>
      </c>
      <c r="B70" s="35" t="s">
        <v>199</v>
      </c>
      <c r="C70" s="34">
        <v>22.3</v>
      </c>
      <c r="D70" s="36"/>
      <c r="E70" s="20">
        <v>44177</v>
      </c>
      <c r="F70" s="19">
        <v>0.14583333333333334</v>
      </c>
      <c r="H70" s="34">
        <v>22.3</v>
      </c>
      <c r="I70" s="19"/>
      <c r="L70" s="20">
        <v>44177</v>
      </c>
      <c r="M70" s="19">
        <v>0.14583333333333334</v>
      </c>
      <c r="N70" s="19"/>
      <c r="S70" s="36"/>
      <c r="T70" s="36"/>
    </row>
    <row r="71" spans="1:20" s="38" customFormat="1" ht="15.75" hidden="1" x14ac:dyDescent="0.3">
      <c r="A71" s="36" t="str">
        <f xml:space="preserve"> IF( 'From SvanPC++'!A61= "", "", ('From SvanPC++'!A61))</f>
        <v/>
      </c>
      <c r="B71" s="35" t="s">
        <v>200</v>
      </c>
      <c r="C71" s="34">
        <v>22.8</v>
      </c>
      <c r="D71" s="36"/>
      <c r="E71" s="20">
        <v>44177</v>
      </c>
      <c r="F71" s="19">
        <v>0.15625</v>
      </c>
      <c r="H71" s="34">
        <v>22.8</v>
      </c>
      <c r="I71" s="19"/>
      <c r="L71" s="20">
        <v>44177</v>
      </c>
      <c r="M71" s="19">
        <v>0.15625</v>
      </c>
      <c r="N71" s="19"/>
      <c r="S71" s="36"/>
      <c r="T71" s="36"/>
    </row>
    <row r="72" spans="1:20" s="38" customFormat="1" ht="15.75" x14ac:dyDescent="0.3">
      <c r="A72" s="36" t="str">
        <f xml:space="preserve"> IF( 'From SvanPC++'!A62= "", "", ('From SvanPC++'!A62))</f>
        <v/>
      </c>
      <c r="B72" s="35" t="s">
        <v>201</v>
      </c>
      <c r="C72" s="34">
        <v>24.3</v>
      </c>
      <c r="D72" s="36"/>
      <c r="E72" s="20">
        <v>44177</v>
      </c>
      <c r="F72" s="19">
        <v>0.16666666666666666</v>
      </c>
      <c r="H72" s="34">
        <v>24.3</v>
      </c>
      <c r="I72" s="106">
        <f>AVERAGE(H69:H72)</f>
        <v>23.4</v>
      </c>
      <c r="L72" s="20">
        <v>44177</v>
      </c>
      <c r="M72" s="19">
        <v>0.16666666666666666</v>
      </c>
      <c r="N72" s="106">
        <v>23.4</v>
      </c>
      <c r="S72" s="36"/>
      <c r="T72" s="36"/>
    </row>
    <row r="73" spans="1:20" s="38" customFormat="1" ht="15.75" hidden="1" x14ac:dyDescent="0.3">
      <c r="A73" s="36" t="str">
        <f xml:space="preserve"> IF( 'From SvanPC++'!A63= "", "", ('From SvanPC++'!A63))</f>
        <v/>
      </c>
      <c r="B73" s="35" t="s">
        <v>202</v>
      </c>
      <c r="C73" s="34">
        <v>22.5</v>
      </c>
      <c r="D73" s="36"/>
      <c r="E73" s="20">
        <v>44177</v>
      </c>
      <c r="F73" s="19">
        <v>0.17708333333333334</v>
      </c>
      <c r="H73" s="34">
        <v>22.5</v>
      </c>
      <c r="I73" s="19"/>
      <c r="L73" s="20">
        <v>44177</v>
      </c>
      <c r="M73" s="19">
        <v>0.17708333333333334</v>
      </c>
      <c r="N73" s="19"/>
      <c r="S73" s="36"/>
      <c r="T73" s="36"/>
    </row>
    <row r="74" spans="1:20" s="38" customFormat="1" ht="15.75" hidden="1" x14ac:dyDescent="0.3">
      <c r="A74" s="36" t="str">
        <f xml:space="preserve"> IF( 'From SvanPC++'!A64= "", "", ('From SvanPC++'!A64))</f>
        <v/>
      </c>
      <c r="B74" s="35" t="s">
        <v>203</v>
      </c>
      <c r="C74" s="34">
        <v>26.5</v>
      </c>
      <c r="D74" s="36"/>
      <c r="E74" s="20">
        <v>44177</v>
      </c>
      <c r="F74" s="19">
        <v>0.1875</v>
      </c>
      <c r="H74" s="34">
        <v>26.5</v>
      </c>
      <c r="I74" s="19"/>
      <c r="L74" s="20">
        <v>44177</v>
      </c>
      <c r="M74" s="19">
        <v>0.1875</v>
      </c>
      <c r="N74" s="19"/>
      <c r="S74" s="36"/>
      <c r="T74" s="36"/>
    </row>
    <row r="75" spans="1:20" s="38" customFormat="1" ht="15.75" hidden="1" x14ac:dyDescent="0.3">
      <c r="A75" s="36" t="str">
        <f xml:space="preserve"> IF( 'From SvanPC++'!A65= "", "", ('From SvanPC++'!A65))</f>
        <v/>
      </c>
      <c r="B75" s="35" t="s">
        <v>204</v>
      </c>
      <c r="C75" s="34">
        <v>24.4</v>
      </c>
      <c r="D75" s="36"/>
      <c r="E75" s="20">
        <v>44177</v>
      </c>
      <c r="F75" s="19">
        <v>0.19791666666666666</v>
      </c>
      <c r="H75" s="34">
        <v>24.4</v>
      </c>
      <c r="I75" s="19"/>
      <c r="L75" s="20">
        <v>44177</v>
      </c>
      <c r="M75" s="19">
        <v>0.19791666666666666</v>
      </c>
      <c r="N75" s="19"/>
      <c r="S75" s="36"/>
      <c r="T75" s="36"/>
    </row>
    <row r="76" spans="1:20" s="38" customFormat="1" ht="15.75" x14ac:dyDescent="0.3">
      <c r="A76" s="36" t="str">
        <f xml:space="preserve"> IF( 'From SvanPC++'!A66= "", "", ('From SvanPC++'!A66))</f>
        <v/>
      </c>
      <c r="B76" s="35" t="s">
        <v>205</v>
      </c>
      <c r="C76" s="34">
        <v>26.8</v>
      </c>
      <c r="D76" s="36"/>
      <c r="E76" s="20">
        <v>44177</v>
      </c>
      <c r="F76" s="19">
        <v>0.20833333333333334</v>
      </c>
      <c r="H76" s="34">
        <v>26.8</v>
      </c>
      <c r="I76" s="106">
        <f>AVERAGE(H73:H76)</f>
        <v>25.05</v>
      </c>
      <c r="L76" s="20">
        <v>44177</v>
      </c>
      <c r="M76" s="19">
        <v>0.20833333333333334</v>
      </c>
      <c r="N76" s="106">
        <v>25.05</v>
      </c>
      <c r="S76" s="36"/>
      <c r="T76" s="36"/>
    </row>
    <row r="77" spans="1:20" s="38" customFormat="1" ht="15.75" hidden="1" x14ac:dyDescent="0.3">
      <c r="A77" s="36" t="str">
        <f xml:space="preserve"> IF( 'From SvanPC++'!A67= "", "", ('From SvanPC++'!A67))</f>
        <v/>
      </c>
      <c r="B77" s="35" t="s">
        <v>206</v>
      </c>
      <c r="C77" s="34">
        <v>29</v>
      </c>
      <c r="D77" s="36"/>
      <c r="E77" s="20">
        <v>44177</v>
      </c>
      <c r="F77" s="19">
        <v>0.21875</v>
      </c>
      <c r="H77" s="34">
        <v>29</v>
      </c>
      <c r="I77" s="19"/>
      <c r="L77" s="20">
        <v>44177</v>
      </c>
      <c r="M77" s="19">
        <v>0.21875</v>
      </c>
      <c r="N77" s="19"/>
      <c r="S77" s="36"/>
      <c r="T77" s="36"/>
    </row>
    <row r="78" spans="1:20" s="38" customFormat="1" ht="15.75" hidden="1" x14ac:dyDescent="0.3">
      <c r="A78" s="36" t="str">
        <f xml:space="preserve"> IF( 'From SvanPC++'!A68= "", "", ('From SvanPC++'!A68))</f>
        <v/>
      </c>
      <c r="B78" s="35" t="s">
        <v>207</v>
      </c>
      <c r="C78" s="34">
        <v>40</v>
      </c>
      <c r="D78" s="36"/>
      <c r="E78" s="20">
        <v>44177</v>
      </c>
      <c r="F78" s="19">
        <v>0.22916666666666666</v>
      </c>
      <c r="H78" s="34">
        <v>40</v>
      </c>
      <c r="I78" s="19"/>
      <c r="L78" s="20">
        <v>44177</v>
      </c>
      <c r="M78" s="19">
        <v>0.22916666666666666</v>
      </c>
      <c r="N78" s="19"/>
      <c r="S78" s="36"/>
      <c r="T78" s="36"/>
    </row>
    <row r="79" spans="1:20" s="38" customFormat="1" ht="15.75" hidden="1" x14ac:dyDescent="0.3">
      <c r="A79" s="36" t="str">
        <f xml:space="preserve"> IF( 'From SvanPC++'!A69= "", "", ('From SvanPC++'!A69))</f>
        <v/>
      </c>
      <c r="B79" s="35" t="s">
        <v>208</v>
      </c>
      <c r="C79" s="34">
        <v>37</v>
      </c>
      <c r="D79" s="36"/>
      <c r="E79" s="20">
        <v>44177</v>
      </c>
      <c r="F79" s="19">
        <v>0.23958333333333334</v>
      </c>
      <c r="H79" s="34">
        <v>37</v>
      </c>
      <c r="I79" s="19"/>
      <c r="L79" s="20">
        <v>44177</v>
      </c>
      <c r="M79" s="19">
        <v>0.23958333333333334</v>
      </c>
      <c r="N79" s="19"/>
      <c r="S79" s="36"/>
      <c r="T79" s="36"/>
    </row>
    <row r="80" spans="1:20" s="38" customFormat="1" ht="15.75" x14ac:dyDescent="0.3">
      <c r="A80" s="36" t="str">
        <f xml:space="preserve"> IF( 'From SvanPC++'!A70= "", "", ('From SvanPC++'!A70))</f>
        <v/>
      </c>
      <c r="B80" s="35" t="s">
        <v>209</v>
      </c>
      <c r="C80" s="34">
        <v>36.700000000000003</v>
      </c>
      <c r="D80" s="36"/>
      <c r="E80" s="20">
        <v>44177</v>
      </c>
      <c r="F80" s="19">
        <v>0.25</v>
      </c>
      <c r="H80" s="34">
        <v>36.700000000000003</v>
      </c>
      <c r="I80" s="106">
        <f>AVERAGE(H77:H80)</f>
        <v>35.674999999999997</v>
      </c>
      <c r="L80" s="20">
        <v>44177</v>
      </c>
      <c r="M80" s="19">
        <v>0.25</v>
      </c>
      <c r="N80" s="106">
        <v>35.674999999999997</v>
      </c>
      <c r="S80" s="36"/>
      <c r="T80" s="36"/>
    </row>
    <row r="81" spans="1:20" s="38" customFormat="1" ht="15.75" hidden="1" x14ac:dyDescent="0.3">
      <c r="A81" s="36" t="str">
        <f xml:space="preserve"> IF( 'From SvanPC++'!A71= "", "", ('From SvanPC++'!A71))</f>
        <v/>
      </c>
      <c r="B81" s="35" t="s">
        <v>210</v>
      </c>
      <c r="C81" s="34">
        <v>37.1</v>
      </c>
      <c r="D81" s="36"/>
      <c r="E81" s="20">
        <v>44177</v>
      </c>
      <c r="F81" s="19">
        <v>0.26041666666666669</v>
      </c>
      <c r="H81" s="34">
        <v>37.1</v>
      </c>
      <c r="I81" s="19"/>
      <c r="L81" s="20">
        <v>44177</v>
      </c>
      <c r="M81" s="19">
        <v>0.26041666666666669</v>
      </c>
      <c r="N81" s="19"/>
      <c r="S81" s="36"/>
      <c r="T81" s="36"/>
    </row>
    <row r="82" spans="1:20" s="38" customFormat="1" ht="15.75" hidden="1" x14ac:dyDescent="0.3">
      <c r="A82" s="36" t="str">
        <f xml:space="preserve"> IF( 'From SvanPC++'!A72= "", "", ('From SvanPC++'!A72))</f>
        <v/>
      </c>
      <c r="B82" s="35" t="s">
        <v>211</v>
      </c>
      <c r="C82" s="34">
        <v>38.1</v>
      </c>
      <c r="D82" s="36"/>
      <c r="E82" s="20">
        <v>44177</v>
      </c>
      <c r="F82" s="19">
        <v>0.27083333333333331</v>
      </c>
      <c r="H82" s="34">
        <v>38.1</v>
      </c>
      <c r="I82" s="19"/>
      <c r="L82" s="20">
        <v>44177</v>
      </c>
      <c r="M82" s="19">
        <v>0.27083333333333331</v>
      </c>
      <c r="N82" s="19"/>
      <c r="S82" s="36"/>
      <c r="T82" s="36"/>
    </row>
    <row r="83" spans="1:20" s="38" customFormat="1" ht="15.75" hidden="1" x14ac:dyDescent="0.3">
      <c r="A83" s="36" t="str">
        <f xml:space="preserve"> IF( 'From SvanPC++'!A73= "", "", ('From SvanPC++'!A73))</f>
        <v/>
      </c>
      <c r="B83" s="35" t="s">
        <v>212</v>
      </c>
      <c r="C83" s="34">
        <v>39.9</v>
      </c>
      <c r="D83" s="36"/>
      <c r="E83" s="20">
        <v>44177</v>
      </c>
      <c r="F83" s="19">
        <v>0.28125</v>
      </c>
      <c r="H83" s="34">
        <v>39.9</v>
      </c>
      <c r="I83" s="19"/>
      <c r="L83" s="20">
        <v>44177</v>
      </c>
      <c r="M83" s="19">
        <v>0.28125</v>
      </c>
      <c r="N83" s="19"/>
      <c r="S83" s="36"/>
      <c r="T83" s="36"/>
    </row>
    <row r="84" spans="1:20" s="38" customFormat="1" ht="15.75" x14ac:dyDescent="0.3">
      <c r="A84" s="36" t="str">
        <f xml:space="preserve"> IF( 'From SvanPC++'!A74= "", "", ('From SvanPC++'!A74))</f>
        <v/>
      </c>
      <c r="B84" s="35" t="s">
        <v>213</v>
      </c>
      <c r="C84" s="34">
        <v>39.9</v>
      </c>
      <c r="D84" s="36"/>
      <c r="E84" s="20">
        <v>44177</v>
      </c>
      <c r="F84" s="19">
        <v>0.29166666666666669</v>
      </c>
      <c r="H84" s="34">
        <v>39.9</v>
      </c>
      <c r="I84" s="106">
        <f>AVERAGE(H81:H84)</f>
        <v>38.75</v>
      </c>
      <c r="L84" s="20">
        <v>44177</v>
      </c>
      <c r="M84" s="19">
        <v>0.29166666666666669</v>
      </c>
      <c r="N84" s="106">
        <v>38.75</v>
      </c>
      <c r="S84" s="36"/>
      <c r="T84" s="36"/>
    </row>
    <row r="85" spans="1:20" s="38" customFormat="1" ht="15.75" hidden="1" x14ac:dyDescent="0.3">
      <c r="A85" s="36" t="str">
        <f xml:space="preserve"> IF( 'From SvanPC++'!A75= "", "", ('From SvanPC++'!A75))</f>
        <v/>
      </c>
      <c r="B85" s="35" t="s">
        <v>214</v>
      </c>
      <c r="C85" s="34">
        <v>38.799999999999997</v>
      </c>
      <c r="D85" s="36"/>
      <c r="E85" s="20">
        <v>44177</v>
      </c>
      <c r="F85" s="19">
        <v>0.30208333333333331</v>
      </c>
      <c r="H85" s="34">
        <v>38.799999999999997</v>
      </c>
      <c r="I85" s="19"/>
      <c r="L85" s="20">
        <v>44177</v>
      </c>
      <c r="M85" s="19">
        <v>0.30208333333333331</v>
      </c>
      <c r="N85" s="19"/>
      <c r="S85" s="36"/>
      <c r="T85" s="36"/>
    </row>
    <row r="86" spans="1:20" s="38" customFormat="1" ht="15.75" hidden="1" x14ac:dyDescent="0.3">
      <c r="A86" s="36" t="str">
        <f xml:space="preserve"> IF( 'From SvanPC++'!A76= "", "", ('From SvanPC++'!A76))</f>
        <v/>
      </c>
      <c r="B86" s="35" t="s">
        <v>215</v>
      </c>
      <c r="C86" s="34">
        <v>37.700000000000003</v>
      </c>
      <c r="D86" s="36"/>
      <c r="E86" s="20">
        <v>44177</v>
      </c>
      <c r="F86" s="19">
        <v>0.3125</v>
      </c>
      <c r="H86" s="34">
        <v>37.700000000000003</v>
      </c>
      <c r="I86" s="19"/>
      <c r="L86" s="20">
        <v>44177</v>
      </c>
      <c r="M86" s="19">
        <v>0.3125</v>
      </c>
      <c r="N86" s="19"/>
      <c r="S86" s="36"/>
      <c r="T86" s="36"/>
    </row>
    <row r="87" spans="1:20" s="38" customFormat="1" ht="15.75" hidden="1" x14ac:dyDescent="0.3">
      <c r="A87" s="36" t="str">
        <f xml:space="preserve"> IF( 'From SvanPC++'!A77= "", "", ('From SvanPC++'!A77))</f>
        <v/>
      </c>
      <c r="B87" s="35" t="s">
        <v>216</v>
      </c>
      <c r="C87" s="34">
        <v>39.299999999999997</v>
      </c>
      <c r="D87" s="36"/>
      <c r="E87" s="20">
        <v>44177</v>
      </c>
      <c r="F87" s="19">
        <v>0.32291666666666669</v>
      </c>
      <c r="H87" s="34">
        <v>39.299999999999997</v>
      </c>
      <c r="I87" s="19"/>
      <c r="L87" s="20">
        <v>44177</v>
      </c>
      <c r="M87" s="19">
        <v>0.32291666666666669</v>
      </c>
      <c r="N87" s="19"/>
      <c r="S87" s="36"/>
      <c r="T87" s="36"/>
    </row>
    <row r="88" spans="1:20" s="38" customFormat="1" ht="15.75" x14ac:dyDescent="0.3">
      <c r="A88" s="36" t="str">
        <f xml:space="preserve"> IF( 'From SvanPC++'!A78= "", "", ('From SvanPC++'!A78))</f>
        <v/>
      </c>
      <c r="B88" s="35" t="s">
        <v>217</v>
      </c>
      <c r="C88" s="34">
        <v>37.700000000000003</v>
      </c>
      <c r="D88" s="36"/>
      <c r="E88" s="20">
        <v>44177</v>
      </c>
      <c r="F88" s="19">
        <v>0.33333333333333331</v>
      </c>
      <c r="H88" s="34">
        <v>37.700000000000003</v>
      </c>
      <c r="I88" s="106">
        <f>AVERAGE(H85:H88)</f>
        <v>38.375</v>
      </c>
      <c r="L88" s="20">
        <v>44177</v>
      </c>
      <c r="M88" s="19">
        <v>0.33333333333333331</v>
      </c>
      <c r="N88" s="106">
        <v>38.375</v>
      </c>
      <c r="S88" s="36"/>
      <c r="T88" s="36"/>
    </row>
    <row r="89" spans="1:20" s="38" customFormat="1" ht="15.75" hidden="1" x14ac:dyDescent="0.3">
      <c r="A89" s="36" t="str">
        <f xml:space="preserve"> IF( 'From SvanPC++'!A79= "", "", ('From SvanPC++'!A79))</f>
        <v/>
      </c>
      <c r="B89" s="35" t="s">
        <v>218</v>
      </c>
      <c r="C89" s="34">
        <v>39</v>
      </c>
      <c r="D89" s="36"/>
      <c r="E89" s="20">
        <v>44177</v>
      </c>
      <c r="F89" s="19">
        <v>0.34375</v>
      </c>
      <c r="H89" s="34">
        <v>39</v>
      </c>
      <c r="I89" s="19"/>
      <c r="L89" s="20">
        <v>44177</v>
      </c>
      <c r="M89" s="19">
        <v>0.34375</v>
      </c>
      <c r="N89" s="19"/>
      <c r="S89" s="36"/>
      <c r="T89" s="36"/>
    </row>
    <row r="90" spans="1:20" s="38" customFormat="1" ht="15.75" hidden="1" x14ac:dyDescent="0.3">
      <c r="A90" s="36" t="str">
        <f xml:space="preserve"> IF( 'From SvanPC++'!A80= "", "", ('From SvanPC++'!A80))</f>
        <v/>
      </c>
      <c r="B90" s="35" t="s">
        <v>219</v>
      </c>
      <c r="C90" s="34">
        <v>40.200000000000003</v>
      </c>
      <c r="D90" s="36"/>
      <c r="E90" s="20">
        <v>44177</v>
      </c>
      <c r="F90" s="19">
        <v>0.35416666666666669</v>
      </c>
      <c r="H90" s="34">
        <v>40.200000000000003</v>
      </c>
      <c r="I90" s="19"/>
      <c r="L90" s="20">
        <v>44177</v>
      </c>
      <c r="M90" s="19">
        <v>0.35416666666666669</v>
      </c>
      <c r="N90" s="19"/>
      <c r="S90" s="36"/>
      <c r="T90" s="36"/>
    </row>
    <row r="91" spans="1:20" s="38" customFormat="1" ht="15.75" hidden="1" x14ac:dyDescent="0.3">
      <c r="A91" s="36" t="str">
        <f xml:space="preserve"> IF( 'From SvanPC++'!A81= "", "", ('From SvanPC++'!A81))</f>
        <v/>
      </c>
      <c r="B91" s="35" t="s">
        <v>220</v>
      </c>
      <c r="C91" s="34">
        <v>40.200000000000003</v>
      </c>
      <c r="D91" s="36"/>
      <c r="E91" s="20">
        <v>44177</v>
      </c>
      <c r="F91" s="19">
        <v>0.36458333333333331</v>
      </c>
      <c r="H91" s="34">
        <v>40.200000000000003</v>
      </c>
      <c r="I91" s="19"/>
      <c r="L91" s="20">
        <v>44177</v>
      </c>
      <c r="M91" s="19">
        <v>0.36458333333333331</v>
      </c>
      <c r="N91" s="19"/>
      <c r="S91" s="36"/>
      <c r="T91" s="36"/>
    </row>
    <row r="92" spans="1:20" s="38" customFormat="1" ht="15.75" x14ac:dyDescent="0.3">
      <c r="A92" s="36" t="str">
        <f xml:space="preserve"> IF( 'From SvanPC++'!A82= "", "", ('From SvanPC++'!A82))</f>
        <v/>
      </c>
      <c r="B92" s="35" t="s">
        <v>221</v>
      </c>
      <c r="C92" s="34">
        <v>42.2</v>
      </c>
      <c r="D92" s="36"/>
      <c r="E92" s="20">
        <v>44177</v>
      </c>
      <c r="F92" s="19">
        <v>0.375</v>
      </c>
      <c r="H92" s="34">
        <v>42.2</v>
      </c>
      <c r="I92" s="106">
        <f>AVERAGE(H89:H92)</f>
        <v>40.400000000000006</v>
      </c>
      <c r="L92" s="20">
        <v>44177</v>
      </c>
      <c r="M92" s="19">
        <v>0.375</v>
      </c>
      <c r="N92" s="106">
        <v>40.400000000000006</v>
      </c>
      <c r="S92" s="36"/>
      <c r="T92" s="36"/>
    </row>
    <row r="93" spans="1:20" s="38" customFormat="1" ht="15.75" hidden="1" x14ac:dyDescent="0.3">
      <c r="A93" s="36" t="str">
        <f xml:space="preserve"> IF( 'From SvanPC++'!A83= "", "", ('From SvanPC++'!A83))</f>
        <v/>
      </c>
      <c r="B93" s="35" t="s">
        <v>222</v>
      </c>
      <c r="C93" s="34">
        <v>40.6</v>
      </c>
      <c r="D93" s="36"/>
      <c r="E93" s="20">
        <v>44177</v>
      </c>
      <c r="F93" s="19">
        <v>0.38541666666666669</v>
      </c>
      <c r="H93" s="34">
        <v>40.6</v>
      </c>
      <c r="I93" s="19"/>
      <c r="L93" s="20">
        <v>44177</v>
      </c>
      <c r="M93" s="19">
        <v>0.38541666666666669</v>
      </c>
      <c r="N93" s="19"/>
      <c r="S93" s="36"/>
      <c r="T93" s="36"/>
    </row>
    <row r="94" spans="1:20" s="38" customFormat="1" ht="15.75" hidden="1" x14ac:dyDescent="0.3">
      <c r="A94" s="36" t="str">
        <f xml:space="preserve"> IF( 'From SvanPC++'!A84= "", "", ('From SvanPC++'!A84))</f>
        <v/>
      </c>
      <c r="B94" s="35" t="s">
        <v>223</v>
      </c>
      <c r="C94" s="34">
        <v>43</v>
      </c>
      <c r="D94" s="36"/>
      <c r="E94" s="20">
        <v>44177</v>
      </c>
      <c r="F94" s="19">
        <v>0.39583333333333331</v>
      </c>
      <c r="H94" s="34">
        <v>43</v>
      </c>
      <c r="I94" s="19"/>
      <c r="L94" s="20">
        <v>44177</v>
      </c>
      <c r="M94" s="19">
        <v>0.39583333333333331</v>
      </c>
      <c r="N94" s="19"/>
      <c r="S94" s="36"/>
      <c r="T94" s="36"/>
    </row>
    <row r="95" spans="1:20" s="38" customFormat="1" ht="15.75" hidden="1" x14ac:dyDescent="0.3">
      <c r="A95" s="36" t="str">
        <f xml:space="preserve"> IF( 'From SvanPC++'!A85= "", "", ('From SvanPC++'!A85))</f>
        <v/>
      </c>
      <c r="B95" s="35" t="s">
        <v>224</v>
      </c>
      <c r="C95" s="34">
        <v>44.5</v>
      </c>
      <c r="D95" s="36"/>
      <c r="E95" s="20">
        <v>44177</v>
      </c>
      <c r="F95" s="19">
        <v>0.40625</v>
      </c>
      <c r="H95" s="34">
        <v>44.5</v>
      </c>
      <c r="I95" s="19"/>
      <c r="L95" s="20">
        <v>44177</v>
      </c>
      <c r="M95" s="19">
        <v>0.40625</v>
      </c>
      <c r="N95" s="19"/>
      <c r="S95" s="36"/>
      <c r="T95" s="36"/>
    </row>
    <row r="96" spans="1:20" s="38" customFormat="1" ht="15.75" x14ac:dyDescent="0.3">
      <c r="A96" s="36" t="str">
        <f xml:space="preserve"> IF( 'From SvanPC++'!A86= "", "", ('From SvanPC++'!A86))</f>
        <v/>
      </c>
      <c r="B96" s="35" t="s">
        <v>225</v>
      </c>
      <c r="C96" s="34">
        <v>44.9</v>
      </c>
      <c r="D96" s="36"/>
      <c r="E96" s="20">
        <v>44177</v>
      </c>
      <c r="F96" s="19">
        <v>0.41666666666666669</v>
      </c>
      <c r="H96" s="34">
        <v>44.9</v>
      </c>
      <c r="I96" s="106">
        <f>AVERAGE(H93:H96)</f>
        <v>43.25</v>
      </c>
      <c r="L96" s="20">
        <v>44177</v>
      </c>
      <c r="M96" s="19">
        <v>0.41666666666666669</v>
      </c>
      <c r="N96" s="106">
        <v>43.25</v>
      </c>
      <c r="S96" s="36"/>
      <c r="T96" s="36"/>
    </row>
    <row r="97" spans="1:20" s="38" customFormat="1" ht="15.75" hidden="1" x14ac:dyDescent="0.3">
      <c r="A97" s="36" t="str">
        <f xml:space="preserve"> IF( 'From SvanPC++'!A87= "", "", ('From SvanPC++'!A87))</f>
        <v/>
      </c>
      <c r="B97" s="35" t="s">
        <v>226</v>
      </c>
      <c r="C97" s="34">
        <v>43.2</v>
      </c>
      <c r="D97" s="36"/>
      <c r="E97" s="20">
        <v>44177</v>
      </c>
      <c r="F97" s="19">
        <v>0.42708333333333331</v>
      </c>
      <c r="H97" s="34">
        <v>43.2</v>
      </c>
      <c r="I97" s="19"/>
      <c r="L97" s="20">
        <v>44177</v>
      </c>
      <c r="M97" s="19">
        <v>0.42708333333333331</v>
      </c>
      <c r="N97" s="19"/>
      <c r="S97" s="36"/>
      <c r="T97" s="36"/>
    </row>
    <row r="98" spans="1:20" s="38" customFormat="1" ht="15.75" hidden="1" x14ac:dyDescent="0.3">
      <c r="A98" s="36" t="str">
        <f xml:space="preserve"> IF( 'From SvanPC++'!A88= "", "", ('From SvanPC++'!A88))</f>
        <v/>
      </c>
      <c r="B98" s="35" t="s">
        <v>227</v>
      </c>
      <c r="C98" s="34">
        <v>43.1</v>
      </c>
      <c r="D98" s="36"/>
      <c r="E98" s="20">
        <v>44177</v>
      </c>
      <c r="F98" s="19">
        <v>0.4375</v>
      </c>
      <c r="H98" s="34">
        <v>43.1</v>
      </c>
      <c r="I98" s="19"/>
      <c r="L98" s="20">
        <v>44177</v>
      </c>
      <c r="M98" s="19">
        <v>0.4375</v>
      </c>
      <c r="N98" s="19"/>
      <c r="S98" s="36"/>
      <c r="T98" s="36"/>
    </row>
    <row r="99" spans="1:20" s="38" customFormat="1" ht="15.75" hidden="1" x14ac:dyDescent="0.3">
      <c r="A99" s="36" t="str">
        <f xml:space="preserve"> IF( 'From SvanPC++'!A89= "", "", ('From SvanPC++'!A89))</f>
        <v/>
      </c>
      <c r="B99" s="35" t="s">
        <v>228</v>
      </c>
      <c r="C99" s="34">
        <v>45.5</v>
      </c>
      <c r="D99" s="36"/>
      <c r="E99" s="20">
        <v>44177</v>
      </c>
      <c r="F99" s="19">
        <v>0.44791666666666669</v>
      </c>
      <c r="H99" s="34">
        <v>45.5</v>
      </c>
      <c r="I99" s="19"/>
      <c r="L99" s="20">
        <v>44177</v>
      </c>
      <c r="M99" s="19">
        <v>0.44791666666666669</v>
      </c>
      <c r="N99" s="19"/>
      <c r="S99" s="36"/>
      <c r="T99" s="36"/>
    </row>
    <row r="100" spans="1:20" s="38" customFormat="1" ht="15.75" x14ac:dyDescent="0.3">
      <c r="A100" s="36" t="str">
        <f xml:space="preserve"> IF( 'From SvanPC++'!A90= "", "", ('From SvanPC++'!A90))</f>
        <v/>
      </c>
      <c r="B100" s="35" t="s">
        <v>229</v>
      </c>
      <c r="C100" s="34">
        <v>44.8</v>
      </c>
      <c r="D100" s="36"/>
      <c r="E100" s="20">
        <v>44177</v>
      </c>
      <c r="F100" s="19">
        <v>0.45833333333333331</v>
      </c>
      <c r="H100" s="34">
        <v>44.8</v>
      </c>
      <c r="I100" s="106">
        <f>AVERAGE(H97:H100)</f>
        <v>44.150000000000006</v>
      </c>
      <c r="L100" s="20">
        <v>44177</v>
      </c>
      <c r="M100" s="19">
        <v>0.45833333333333331</v>
      </c>
      <c r="N100" s="106">
        <v>44.150000000000006</v>
      </c>
      <c r="S100" s="36"/>
      <c r="T100" s="36"/>
    </row>
    <row r="101" spans="1:20" s="38" customFormat="1" ht="15.75" hidden="1" x14ac:dyDescent="0.3">
      <c r="A101" s="36" t="str">
        <f xml:space="preserve"> IF( 'From SvanPC++'!A91= "", "", ('From SvanPC++'!A91))</f>
        <v/>
      </c>
      <c r="B101" s="35" t="s">
        <v>230</v>
      </c>
      <c r="C101" s="34">
        <v>42.1</v>
      </c>
      <c r="D101" s="36"/>
      <c r="E101" s="20">
        <v>44177</v>
      </c>
      <c r="F101" s="19">
        <v>0.46875</v>
      </c>
      <c r="H101" s="34">
        <v>42.1</v>
      </c>
      <c r="I101" s="19"/>
      <c r="L101" s="20">
        <v>44177</v>
      </c>
      <c r="M101" s="19">
        <v>0.46875</v>
      </c>
      <c r="N101" s="19"/>
      <c r="S101" s="36"/>
      <c r="T101" s="36"/>
    </row>
    <row r="102" spans="1:20" s="38" customFormat="1" ht="15.75" hidden="1" x14ac:dyDescent="0.3">
      <c r="A102" s="36" t="str">
        <f xml:space="preserve"> IF( 'From SvanPC++'!A92= "", "", ('From SvanPC++'!A92))</f>
        <v/>
      </c>
      <c r="B102" s="35" t="s">
        <v>231</v>
      </c>
      <c r="C102" s="34">
        <v>42.3</v>
      </c>
      <c r="D102" s="36"/>
      <c r="E102" s="20">
        <v>44177</v>
      </c>
      <c r="F102" s="19">
        <v>0.47916666666666669</v>
      </c>
      <c r="H102" s="34">
        <v>42.3</v>
      </c>
      <c r="I102" s="19"/>
      <c r="L102" s="20">
        <v>44177</v>
      </c>
      <c r="M102" s="19">
        <v>0.47916666666666669</v>
      </c>
      <c r="N102" s="19"/>
      <c r="S102" s="36"/>
      <c r="T102" s="36"/>
    </row>
    <row r="103" spans="1:20" s="38" customFormat="1" ht="15.75" hidden="1" x14ac:dyDescent="0.3">
      <c r="A103" s="36" t="str">
        <f xml:space="preserve"> IF( 'From SvanPC++'!A93= "", "", ('From SvanPC++'!A93))</f>
        <v/>
      </c>
      <c r="B103" s="35" t="s">
        <v>232</v>
      </c>
      <c r="C103" s="34">
        <v>42.3</v>
      </c>
      <c r="D103" s="36"/>
      <c r="E103" s="20">
        <v>44177</v>
      </c>
      <c r="F103" s="19">
        <v>0.48958333333333331</v>
      </c>
      <c r="H103" s="34">
        <v>42.3</v>
      </c>
      <c r="I103" s="19"/>
      <c r="L103" s="20">
        <v>44177</v>
      </c>
      <c r="M103" s="19">
        <v>0.48958333333333331</v>
      </c>
      <c r="N103" s="19"/>
      <c r="S103" s="36"/>
      <c r="T103" s="36"/>
    </row>
    <row r="104" spans="1:20" s="38" customFormat="1" ht="15.75" x14ac:dyDescent="0.3">
      <c r="A104" s="36" t="str">
        <f xml:space="preserve"> IF( 'From SvanPC++'!A94= "", "", ('From SvanPC++'!A94))</f>
        <v/>
      </c>
      <c r="B104" s="35" t="s">
        <v>233</v>
      </c>
      <c r="C104" s="34">
        <v>42.8</v>
      </c>
      <c r="D104" s="36"/>
      <c r="E104" s="20">
        <v>44177</v>
      </c>
      <c r="F104" s="19">
        <v>0.5</v>
      </c>
      <c r="H104" s="34">
        <v>42.8</v>
      </c>
      <c r="I104" s="106">
        <f>AVERAGE(H101:H104)</f>
        <v>42.375</v>
      </c>
      <c r="L104" s="20">
        <v>44177</v>
      </c>
      <c r="M104" s="19">
        <v>0.5</v>
      </c>
      <c r="N104" s="106">
        <v>42.375</v>
      </c>
      <c r="S104" s="36"/>
      <c r="T104" s="36"/>
    </row>
    <row r="105" spans="1:20" s="38" customFormat="1" ht="15.75" hidden="1" x14ac:dyDescent="0.3">
      <c r="A105" s="36" t="str">
        <f xml:space="preserve"> IF( 'From SvanPC++'!A95= "", "", ('From SvanPC++'!A95))</f>
        <v/>
      </c>
      <c r="B105" s="35" t="s">
        <v>234</v>
      </c>
      <c r="C105" s="34">
        <v>42.8</v>
      </c>
      <c r="D105" s="36"/>
      <c r="E105" s="20">
        <v>44177</v>
      </c>
      <c r="F105" s="19">
        <v>0.51041666666666663</v>
      </c>
      <c r="H105" s="34">
        <v>42.8</v>
      </c>
      <c r="I105" s="19"/>
      <c r="L105" s="20">
        <v>44177</v>
      </c>
      <c r="M105" s="19">
        <v>0.51041666666666663</v>
      </c>
      <c r="N105" s="19"/>
      <c r="S105" s="36"/>
      <c r="T105" s="36"/>
    </row>
    <row r="106" spans="1:20" s="38" customFormat="1" ht="15.75" hidden="1" x14ac:dyDescent="0.3">
      <c r="A106" s="36" t="str">
        <f xml:space="preserve"> IF( 'From SvanPC++'!A96= "", "", ('From SvanPC++'!A96))</f>
        <v/>
      </c>
      <c r="B106" s="35" t="s">
        <v>235</v>
      </c>
      <c r="C106" s="34">
        <v>42.7</v>
      </c>
      <c r="D106" s="36"/>
      <c r="E106" s="20">
        <v>44177</v>
      </c>
      <c r="F106" s="19">
        <v>0.52083333333333337</v>
      </c>
      <c r="H106" s="34">
        <v>42.7</v>
      </c>
      <c r="I106" s="19"/>
      <c r="L106" s="20">
        <v>44177</v>
      </c>
      <c r="M106" s="19">
        <v>0.52083333333333337</v>
      </c>
      <c r="N106" s="19"/>
      <c r="S106" s="36"/>
      <c r="T106" s="36"/>
    </row>
    <row r="107" spans="1:20" s="38" customFormat="1" ht="15.75" hidden="1" x14ac:dyDescent="0.3">
      <c r="A107" s="36" t="str">
        <f xml:space="preserve"> IF( 'From SvanPC++'!A97= "", "", ('From SvanPC++'!A97))</f>
        <v/>
      </c>
      <c r="B107" s="35" t="s">
        <v>236</v>
      </c>
      <c r="C107" s="34">
        <v>42.3</v>
      </c>
      <c r="D107" s="36"/>
      <c r="E107" s="20">
        <v>44177</v>
      </c>
      <c r="F107" s="19">
        <v>0.53125</v>
      </c>
      <c r="H107" s="34">
        <v>42.3</v>
      </c>
      <c r="I107" s="19"/>
      <c r="L107" s="20">
        <v>44177</v>
      </c>
      <c r="M107" s="19">
        <v>0.53125</v>
      </c>
      <c r="N107" s="19"/>
      <c r="S107" s="36"/>
      <c r="T107" s="36"/>
    </row>
    <row r="108" spans="1:20" s="38" customFormat="1" ht="15.75" x14ac:dyDescent="0.3">
      <c r="A108" s="36" t="str">
        <f xml:space="preserve"> IF( 'From SvanPC++'!A98= "", "", ('From SvanPC++'!A98))</f>
        <v/>
      </c>
      <c r="B108" s="35" t="s">
        <v>237</v>
      </c>
      <c r="C108" s="34">
        <v>42.4</v>
      </c>
      <c r="D108" s="36"/>
      <c r="E108" s="20">
        <v>44177</v>
      </c>
      <c r="F108" s="19">
        <v>0.54166666666666663</v>
      </c>
      <c r="H108" s="34">
        <v>42.4</v>
      </c>
      <c r="I108" s="106">
        <f>AVERAGE(H105:H108)</f>
        <v>42.55</v>
      </c>
      <c r="L108" s="20">
        <v>44177</v>
      </c>
      <c r="M108" s="19">
        <v>0.54166666666666663</v>
      </c>
      <c r="N108" s="106">
        <v>42.55</v>
      </c>
      <c r="S108" s="36"/>
      <c r="T108" s="36"/>
    </row>
    <row r="109" spans="1:20" s="38" customFormat="1" ht="15.75" hidden="1" x14ac:dyDescent="0.3">
      <c r="A109" s="36" t="str">
        <f xml:space="preserve"> IF( 'From SvanPC++'!A99= "", "", ('From SvanPC++'!A99))</f>
        <v/>
      </c>
      <c r="B109" s="35" t="s">
        <v>238</v>
      </c>
      <c r="C109" s="34">
        <v>54.4</v>
      </c>
      <c r="D109" s="36"/>
      <c r="E109" s="20">
        <v>44177</v>
      </c>
      <c r="F109" s="19">
        <v>0.55208333333333337</v>
      </c>
      <c r="H109" s="34">
        <v>54.4</v>
      </c>
      <c r="I109" s="19"/>
      <c r="L109" s="20">
        <v>44177</v>
      </c>
      <c r="M109" s="19">
        <v>0.55208333333333337</v>
      </c>
      <c r="N109" s="19"/>
      <c r="S109" s="36"/>
      <c r="T109" s="36"/>
    </row>
    <row r="110" spans="1:20" s="38" customFormat="1" ht="15.75" hidden="1" x14ac:dyDescent="0.3">
      <c r="A110" s="36" t="str">
        <f xml:space="preserve"> IF( 'From SvanPC++'!A100= "", "", ('From SvanPC++'!A100))</f>
        <v/>
      </c>
      <c r="B110" s="35" t="s">
        <v>239</v>
      </c>
      <c r="C110" s="34">
        <v>52</v>
      </c>
      <c r="D110" s="36"/>
      <c r="E110" s="20">
        <v>44177</v>
      </c>
      <c r="F110" s="19">
        <v>0.5625</v>
      </c>
      <c r="H110" s="34">
        <v>52</v>
      </c>
      <c r="I110" s="19"/>
      <c r="L110" s="20">
        <v>44177</v>
      </c>
      <c r="M110" s="19">
        <v>0.5625</v>
      </c>
      <c r="N110" s="19"/>
      <c r="S110" s="36"/>
      <c r="T110" s="36"/>
    </row>
    <row r="111" spans="1:20" s="38" customFormat="1" ht="15.75" hidden="1" x14ac:dyDescent="0.3">
      <c r="A111" s="36" t="str">
        <f xml:space="preserve"> IF( 'From SvanPC++'!A101= "", "", ('From SvanPC++'!A101))</f>
        <v/>
      </c>
      <c r="B111" s="35" t="s">
        <v>240</v>
      </c>
      <c r="C111" s="34">
        <v>50.7</v>
      </c>
      <c r="D111" s="36"/>
      <c r="E111" s="20">
        <v>44177</v>
      </c>
      <c r="F111" s="19">
        <v>0.57291666666666663</v>
      </c>
      <c r="H111" s="34">
        <v>50.7</v>
      </c>
      <c r="I111" s="19"/>
      <c r="L111" s="20">
        <v>44177</v>
      </c>
      <c r="M111" s="19">
        <v>0.57291666666666663</v>
      </c>
      <c r="N111" s="19"/>
      <c r="S111" s="36"/>
      <c r="T111" s="36"/>
    </row>
    <row r="112" spans="1:20" s="38" customFormat="1" ht="15.75" x14ac:dyDescent="0.3">
      <c r="A112" s="36" t="str">
        <f xml:space="preserve"> IF( 'From SvanPC++'!A102= "", "", ('From SvanPC++'!A102))</f>
        <v/>
      </c>
      <c r="B112" s="35" t="s">
        <v>241</v>
      </c>
      <c r="C112" s="34">
        <v>45.2</v>
      </c>
      <c r="D112" s="36"/>
      <c r="E112" s="20">
        <v>44177</v>
      </c>
      <c r="F112" s="19">
        <v>0.58333333333333337</v>
      </c>
      <c r="H112" s="34">
        <v>45.2</v>
      </c>
      <c r="I112" s="106">
        <f>AVERAGE(H109:H112)</f>
        <v>50.575000000000003</v>
      </c>
      <c r="L112" s="20">
        <v>44177</v>
      </c>
      <c r="M112" s="19">
        <v>0.58333333333333337</v>
      </c>
      <c r="N112" s="106">
        <v>50.575000000000003</v>
      </c>
      <c r="S112" s="36"/>
      <c r="T112" s="36"/>
    </row>
    <row r="113" spans="1:20" s="38" customFormat="1" ht="15.75" hidden="1" x14ac:dyDescent="0.3">
      <c r="A113" s="36" t="str">
        <f xml:space="preserve"> IF( 'From SvanPC++'!A103= "", "", ('From SvanPC++'!A103))</f>
        <v/>
      </c>
      <c r="B113" s="35" t="s">
        <v>242</v>
      </c>
      <c r="C113" s="34">
        <v>46</v>
      </c>
      <c r="D113" s="36"/>
      <c r="E113" s="20">
        <v>44177</v>
      </c>
      <c r="F113" s="19">
        <v>0.59375</v>
      </c>
      <c r="H113" s="34">
        <v>46</v>
      </c>
      <c r="I113" s="19"/>
      <c r="L113" s="20">
        <v>44177</v>
      </c>
      <c r="M113" s="19">
        <v>0.59375</v>
      </c>
      <c r="N113" s="19"/>
      <c r="S113" s="36"/>
      <c r="T113" s="36"/>
    </row>
    <row r="114" spans="1:20" s="38" customFormat="1" ht="15.75" hidden="1" x14ac:dyDescent="0.3">
      <c r="A114" s="36" t="str">
        <f xml:space="preserve"> IF( 'From SvanPC++'!A104= "", "", ('From SvanPC++'!A104))</f>
        <v/>
      </c>
      <c r="B114" s="35" t="s">
        <v>243</v>
      </c>
      <c r="C114" s="34">
        <v>46.4</v>
      </c>
      <c r="D114" s="36"/>
      <c r="E114" s="20">
        <v>44177</v>
      </c>
      <c r="F114" s="19">
        <v>0.60416666666666663</v>
      </c>
      <c r="H114" s="34">
        <v>46.4</v>
      </c>
      <c r="I114" s="19"/>
      <c r="L114" s="20">
        <v>44177</v>
      </c>
      <c r="M114" s="19">
        <v>0.60416666666666663</v>
      </c>
      <c r="N114" s="19"/>
      <c r="S114" s="36"/>
      <c r="T114" s="36"/>
    </row>
    <row r="115" spans="1:20" s="38" customFormat="1" ht="15.75" hidden="1" x14ac:dyDescent="0.3">
      <c r="A115" s="36" t="str">
        <f xml:space="preserve"> IF( 'From SvanPC++'!A105= "", "", ('From SvanPC++'!A105))</f>
        <v/>
      </c>
      <c r="B115" s="35" t="s">
        <v>244</v>
      </c>
      <c r="C115" s="34">
        <v>44.1</v>
      </c>
      <c r="D115" s="36"/>
      <c r="E115" s="20">
        <v>44177</v>
      </c>
      <c r="F115" s="19">
        <v>0.61458333333333337</v>
      </c>
      <c r="H115" s="34">
        <v>44.1</v>
      </c>
      <c r="I115" s="19"/>
      <c r="L115" s="20">
        <v>44177</v>
      </c>
      <c r="M115" s="19">
        <v>0.61458333333333337</v>
      </c>
      <c r="N115" s="19"/>
      <c r="S115" s="36"/>
      <c r="T115" s="36"/>
    </row>
    <row r="116" spans="1:20" s="38" customFormat="1" ht="15.75" x14ac:dyDescent="0.3">
      <c r="A116" s="36" t="str">
        <f xml:space="preserve"> IF( 'From SvanPC++'!A106= "", "", ('From SvanPC++'!A106))</f>
        <v/>
      </c>
      <c r="B116" s="35" t="s">
        <v>245</v>
      </c>
      <c r="C116" s="34">
        <v>41.8</v>
      </c>
      <c r="D116" s="36"/>
      <c r="E116" s="20">
        <v>44177</v>
      </c>
      <c r="F116" s="19">
        <v>0.625</v>
      </c>
      <c r="H116" s="34">
        <v>41.8</v>
      </c>
      <c r="I116" s="106">
        <f>AVERAGE(H113:H116)</f>
        <v>44.575000000000003</v>
      </c>
      <c r="L116" s="20">
        <v>44177</v>
      </c>
      <c r="M116" s="19">
        <v>0.625</v>
      </c>
      <c r="N116" s="106">
        <v>44.575000000000003</v>
      </c>
      <c r="S116" s="36"/>
      <c r="T116" s="36"/>
    </row>
    <row r="117" spans="1:20" s="38" customFormat="1" ht="15.75" hidden="1" x14ac:dyDescent="0.3">
      <c r="A117" s="36" t="str">
        <f xml:space="preserve"> IF( 'From SvanPC++'!A107= "", "", ('From SvanPC++'!A107))</f>
        <v/>
      </c>
      <c r="B117" s="35" t="s">
        <v>246</v>
      </c>
      <c r="C117" s="34">
        <v>40.799999999999997</v>
      </c>
      <c r="D117" s="36"/>
      <c r="E117" s="20">
        <v>44177</v>
      </c>
      <c r="F117" s="19">
        <v>0.63541666666666663</v>
      </c>
      <c r="H117" s="34">
        <v>40.799999999999997</v>
      </c>
      <c r="I117" s="19"/>
      <c r="L117" s="20">
        <v>44177</v>
      </c>
      <c r="M117" s="19">
        <v>0.63541666666666663</v>
      </c>
      <c r="N117" s="19"/>
      <c r="S117" s="36"/>
      <c r="T117" s="36"/>
    </row>
    <row r="118" spans="1:20" s="38" customFormat="1" ht="15.75" hidden="1" x14ac:dyDescent="0.3">
      <c r="A118" s="36" t="str">
        <f xml:space="preserve"> IF( 'From SvanPC++'!A108= "", "", ('From SvanPC++'!A108))</f>
        <v/>
      </c>
      <c r="B118" s="35" t="s">
        <v>247</v>
      </c>
      <c r="C118" s="34">
        <v>41.6</v>
      </c>
      <c r="D118" s="36"/>
      <c r="E118" s="20">
        <v>44177</v>
      </c>
      <c r="F118" s="19">
        <v>0.64583333333333337</v>
      </c>
      <c r="H118" s="34">
        <v>41.6</v>
      </c>
      <c r="I118" s="19"/>
      <c r="L118" s="20">
        <v>44177</v>
      </c>
      <c r="M118" s="19">
        <v>0.64583333333333337</v>
      </c>
      <c r="N118" s="19"/>
      <c r="S118" s="36"/>
      <c r="T118" s="36"/>
    </row>
    <row r="119" spans="1:20" s="38" customFormat="1" ht="15.75" hidden="1" x14ac:dyDescent="0.3">
      <c r="A119" s="36" t="str">
        <f xml:space="preserve"> IF( 'From SvanPC++'!A109= "", "", ('From SvanPC++'!A109))</f>
        <v/>
      </c>
      <c r="B119" s="35" t="s">
        <v>248</v>
      </c>
      <c r="C119" s="34">
        <v>42.2</v>
      </c>
      <c r="D119" s="36"/>
      <c r="E119" s="20">
        <v>44177</v>
      </c>
      <c r="F119" s="19">
        <v>0.65625</v>
      </c>
      <c r="H119" s="34">
        <v>42.2</v>
      </c>
      <c r="I119" s="19"/>
      <c r="L119" s="20">
        <v>44177</v>
      </c>
      <c r="M119" s="19">
        <v>0.65625</v>
      </c>
      <c r="N119" s="19"/>
      <c r="S119" s="36"/>
      <c r="T119" s="36"/>
    </row>
    <row r="120" spans="1:20" s="38" customFormat="1" ht="15.75" x14ac:dyDescent="0.3">
      <c r="A120" s="36" t="str">
        <f xml:space="preserve"> IF( 'From SvanPC++'!A110= "", "", ('From SvanPC++'!A110))</f>
        <v/>
      </c>
      <c r="B120" s="35" t="s">
        <v>249</v>
      </c>
      <c r="C120" s="34">
        <v>40.4</v>
      </c>
      <c r="D120" s="36"/>
      <c r="E120" s="20">
        <v>44177</v>
      </c>
      <c r="F120" s="19">
        <v>0.66666666666666663</v>
      </c>
      <c r="H120" s="34">
        <v>40.4</v>
      </c>
      <c r="I120" s="106">
        <f>AVERAGE(H117:H120)</f>
        <v>41.25</v>
      </c>
      <c r="L120" s="20">
        <v>44177</v>
      </c>
      <c r="M120" s="19">
        <v>0.66666666666666663</v>
      </c>
      <c r="N120" s="106">
        <v>41.25</v>
      </c>
      <c r="S120" s="36"/>
      <c r="T120" s="36"/>
    </row>
    <row r="121" spans="1:20" s="38" customFormat="1" ht="15.75" hidden="1" x14ac:dyDescent="0.3">
      <c r="A121" s="36" t="str">
        <f xml:space="preserve"> IF( 'From SvanPC++'!A111= "", "", ('From SvanPC++'!A111))</f>
        <v/>
      </c>
      <c r="B121" s="35" t="s">
        <v>250</v>
      </c>
      <c r="C121" s="34">
        <v>41.3</v>
      </c>
      <c r="D121" s="36"/>
      <c r="E121" s="20">
        <v>44177</v>
      </c>
      <c r="F121" s="19">
        <v>0.67708333333333337</v>
      </c>
      <c r="H121" s="34">
        <v>41.3</v>
      </c>
      <c r="I121" s="19"/>
      <c r="L121" s="20">
        <v>44177</v>
      </c>
      <c r="M121" s="19">
        <v>0.67708333333333337</v>
      </c>
      <c r="N121" s="19"/>
      <c r="S121" s="36"/>
      <c r="T121" s="36"/>
    </row>
    <row r="122" spans="1:20" s="38" customFormat="1" ht="15.75" hidden="1" x14ac:dyDescent="0.3">
      <c r="A122" s="36" t="str">
        <f xml:space="preserve"> IF( 'From SvanPC++'!A112= "", "", ('From SvanPC++'!A112))</f>
        <v/>
      </c>
      <c r="B122" s="35" t="s">
        <v>251</v>
      </c>
      <c r="C122" s="34">
        <v>41.7</v>
      </c>
      <c r="D122" s="36"/>
      <c r="E122" s="20">
        <v>44177</v>
      </c>
      <c r="F122" s="19">
        <v>0.6875</v>
      </c>
      <c r="H122" s="34">
        <v>41.7</v>
      </c>
      <c r="I122" s="19"/>
      <c r="L122" s="20">
        <v>44177</v>
      </c>
      <c r="M122" s="19">
        <v>0.6875</v>
      </c>
      <c r="N122" s="19"/>
      <c r="S122" s="36"/>
      <c r="T122" s="36"/>
    </row>
    <row r="123" spans="1:20" s="38" customFormat="1" ht="15.75" hidden="1" x14ac:dyDescent="0.3">
      <c r="A123" s="36" t="str">
        <f xml:space="preserve"> IF( 'From SvanPC++'!A113= "", "", ('From SvanPC++'!A113))</f>
        <v/>
      </c>
      <c r="B123" s="35" t="s">
        <v>252</v>
      </c>
      <c r="C123" s="34">
        <v>41.8</v>
      </c>
      <c r="D123" s="36"/>
      <c r="E123" s="20">
        <v>44177</v>
      </c>
      <c r="F123" s="19">
        <v>0.69791666666666663</v>
      </c>
      <c r="H123" s="34">
        <v>41.8</v>
      </c>
      <c r="I123" s="19"/>
      <c r="L123" s="20">
        <v>44177</v>
      </c>
      <c r="M123" s="19">
        <v>0.69791666666666663</v>
      </c>
      <c r="N123" s="19"/>
      <c r="S123" s="36"/>
      <c r="T123" s="36"/>
    </row>
    <row r="124" spans="1:20" s="38" customFormat="1" ht="15.75" x14ac:dyDescent="0.3">
      <c r="A124" s="36" t="str">
        <f xml:space="preserve"> IF( 'From SvanPC++'!A114= "", "", ('From SvanPC++'!A114))</f>
        <v/>
      </c>
      <c r="B124" s="35" t="s">
        <v>253</v>
      </c>
      <c r="C124" s="34">
        <v>42.1</v>
      </c>
      <c r="D124" s="36"/>
      <c r="E124" s="20">
        <v>44177</v>
      </c>
      <c r="F124" s="19">
        <v>0.70833333333333337</v>
      </c>
      <c r="H124" s="34">
        <v>42.1</v>
      </c>
      <c r="I124" s="106">
        <f>AVERAGE(H121:H124)</f>
        <v>41.725000000000001</v>
      </c>
      <c r="L124" s="20">
        <v>44177</v>
      </c>
      <c r="M124" s="19">
        <v>0.70833333333333337</v>
      </c>
      <c r="N124" s="106">
        <v>41.725000000000001</v>
      </c>
      <c r="S124" s="36"/>
      <c r="T124" s="36"/>
    </row>
    <row r="125" spans="1:20" s="38" customFormat="1" ht="15.75" hidden="1" x14ac:dyDescent="0.3">
      <c r="A125" s="36" t="str">
        <f xml:space="preserve"> IF( 'From SvanPC++'!A115= "", "", ('From SvanPC++'!A115))</f>
        <v/>
      </c>
      <c r="B125" s="35" t="s">
        <v>254</v>
      </c>
      <c r="C125" s="34">
        <v>43</v>
      </c>
      <c r="D125" s="36"/>
      <c r="E125" s="20">
        <v>44177</v>
      </c>
      <c r="F125" s="19">
        <v>0.71875</v>
      </c>
      <c r="H125" s="34">
        <v>43</v>
      </c>
      <c r="I125" s="19"/>
      <c r="L125" s="20">
        <v>44177</v>
      </c>
      <c r="M125" s="19">
        <v>0.71875</v>
      </c>
      <c r="N125" s="19"/>
      <c r="S125" s="36"/>
      <c r="T125" s="36"/>
    </row>
    <row r="126" spans="1:20" s="38" customFormat="1" ht="15.75" hidden="1" x14ac:dyDescent="0.3">
      <c r="A126" s="36" t="str">
        <f xml:space="preserve"> IF( 'From SvanPC++'!A116= "", "", ('From SvanPC++'!A116))</f>
        <v/>
      </c>
      <c r="B126" s="35" t="s">
        <v>255</v>
      </c>
      <c r="C126" s="34">
        <v>43.3</v>
      </c>
      <c r="D126" s="36"/>
      <c r="E126" s="20">
        <v>44177</v>
      </c>
      <c r="F126" s="19">
        <v>0.72916666666666663</v>
      </c>
      <c r="H126" s="34">
        <v>43.3</v>
      </c>
      <c r="I126" s="19"/>
      <c r="L126" s="20">
        <v>44177</v>
      </c>
      <c r="M126" s="19">
        <v>0.72916666666666663</v>
      </c>
      <c r="N126" s="19"/>
      <c r="S126" s="36"/>
      <c r="T126" s="36"/>
    </row>
    <row r="127" spans="1:20" s="38" customFormat="1" ht="15.75" hidden="1" x14ac:dyDescent="0.3">
      <c r="A127" s="36" t="str">
        <f xml:space="preserve"> IF( 'From SvanPC++'!A117= "", "", ('From SvanPC++'!A117))</f>
        <v/>
      </c>
      <c r="B127" s="35" t="s">
        <v>256</v>
      </c>
      <c r="C127" s="34">
        <v>44.8</v>
      </c>
      <c r="D127" s="36"/>
      <c r="E127" s="20">
        <v>44177</v>
      </c>
      <c r="F127" s="19">
        <v>0.73958333333333337</v>
      </c>
      <c r="H127" s="34">
        <v>44.8</v>
      </c>
      <c r="I127" s="19"/>
      <c r="L127" s="20">
        <v>44177</v>
      </c>
      <c r="M127" s="19">
        <v>0.73958333333333337</v>
      </c>
      <c r="N127" s="19"/>
      <c r="S127" s="36"/>
      <c r="T127" s="36"/>
    </row>
    <row r="128" spans="1:20" s="38" customFormat="1" ht="15.75" x14ac:dyDescent="0.3">
      <c r="A128" s="36" t="str">
        <f xml:space="preserve"> IF( 'From SvanPC++'!A118= "", "", ('From SvanPC++'!A118))</f>
        <v/>
      </c>
      <c r="B128" s="35" t="s">
        <v>257</v>
      </c>
      <c r="C128" s="34">
        <v>44</v>
      </c>
      <c r="D128" s="36"/>
      <c r="E128" s="20">
        <v>44177</v>
      </c>
      <c r="F128" s="19">
        <v>0.75</v>
      </c>
      <c r="H128" s="34">
        <v>44</v>
      </c>
      <c r="I128" s="106">
        <f>AVERAGE(H125:H128)</f>
        <v>43.774999999999999</v>
      </c>
      <c r="L128" s="20">
        <v>44177</v>
      </c>
      <c r="M128" s="19">
        <v>0.75</v>
      </c>
      <c r="N128" s="106">
        <v>43.774999999999999</v>
      </c>
      <c r="S128" s="36"/>
      <c r="T128" s="36"/>
    </row>
    <row r="129" spans="1:20" s="38" customFormat="1" ht="15.75" hidden="1" x14ac:dyDescent="0.3">
      <c r="A129" s="36" t="str">
        <f xml:space="preserve"> IF( 'From SvanPC++'!A119= "", "", ('From SvanPC++'!A119))</f>
        <v/>
      </c>
      <c r="B129" s="35" t="s">
        <v>258</v>
      </c>
      <c r="C129" s="34">
        <v>43.1</v>
      </c>
      <c r="D129" s="36"/>
      <c r="E129" s="20">
        <v>44177</v>
      </c>
      <c r="F129" s="19">
        <v>0.76041666666666663</v>
      </c>
      <c r="H129" s="34">
        <v>43.1</v>
      </c>
      <c r="I129" s="19"/>
      <c r="L129" s="20">
        <v>44177</v>
      </c>
      <c r="M129" s="19">
        <v>0.76041666666666663</v>
      </c>
      <c r="N129" s="19"/>
      <c r="S129" s="36"/>
      <c r="T129" s="36"/>
    </row>
    <row r="130" spans="1:20" s="38" customFormat="1" ht="15.75" hidden="1" x14ac:dyDescent="0.3">
      <c r="A130" s="36" t="str">
        <f xml:space="preserve"> IF( 'From SvanPC++'!A120= "", "", ('From SvanPC++'!A120))</f>
        <v/>
      </c>
      <c r="B130" s="35" t="s">
        <v>259</v>
      </c>
      <c r="C130" s="34">
        <v>42.9</v>
      </c>
      <c r="D130" s="36"/>
      <c r="E130" s="20">
        <v>44177</v>
      </c>
      <c r="F130" s="19">
        <v>0.77083333333333337</v>
      </c>
      <c r="H130" s="34">
        <v>42.9</v>
      </c>
      <c r="I130" s="19"/>
      <c r="L130" s="20">
        <v>44177</v>
      </c>
      <c r="M130" s="19">
        <v>0.77083333333333337</v>
      </c>
      <c r="N130" s="19"/>
      <c r="S130" s="36"/>
      <c r="T130" s="36"/>
    </row>
    <row r="131" spans="1:20" s="38" customFormat="1" ht="15.75" hidden="1" x14ac:dyDescent="0.3">
      <c r="A131" s="36" t="str">
        <f xml:space="preserve"> IF( 'From SvanPC++'!A121= "", "", ('From SvanPC++'!A121))</f>
        <v/>
      </c>
      <c r="B131" s="35" t="s">
        <v>260</v>
      </c>
      <c r="C131" s="34">
        <v>42.9</v>
      </c>
      <c r="D131" s="36"/>
      <c r="E131" s="20">
        <v>44177</v>
      </c>
      <c r="F131" s="19">
        <v>0.78125</v>
      </c>
      <c r="H131" s="34">
        <v>42.9</v>
      </c>
      <c r="I131" s="19"/>
      <c r="L131" s="20">
        <v>44177</v>
      </c>
      <c r="M131" s="19">
        <v>0.78125</v>
      </c>
      <c r="N131" s="19"/>
      <c r="S131" s="36"/>
      <c r="T131" s="36"/>
    </row>
    <row r="132" spans="1:20" s="38" customFormat="1" ht="15.75" x14ac:dyDescent="0.3">
      <c r="A132" s="36" t="str">
        <f xml:space="preserve"> IF( 'From SvanPC++'!A122= "", "", ('From SvanPC++'!A122))</f>
        <v/>
      </c>
      <c r="B132" s="35" t="s">
        <v>261</v>
      </c>
      <c r="C132" s="34">
        <v>43.5</v>
      </c>
      <c r="D132" s="36"/>
      <c r="E132" s="20">
        <v>44177</v>
      </c>
      <c r="F132" s="19">
        <v>0.79166666666666663</v>
      </c>
      <c r="H132" s="34">
        <v>43.5</v>
      </c>
      <c r="I132" s="106">
        <f>AVERAGE(H129:H132)</f>
        <v>43.1</v>
      </c>
      <c r="L132" s="20">
        <v>44177</v>
      </c>
      <c r="M132" s="19">
        <v>0.79166666666666663</v>
      </c>
      <c r="N132" s="106">
        <v>43.1</v>
      </c>
      <c r="S132" s="36"/>
      <c r="T132" s="36"/>
    </row>
    <row r="133" spans="1:20" s="38" customFormat="1" ht="15.75" hidden="1" x14ac:dyDescent="0.3">
      <c r="A133" s="36" t="str">
        <f xml:space="preserve"> IF( 'From SvanPC++'!A123= "", "", ('From SvanPC++'!A123))</f>
        <v/>
      </c>
      <c r="B133" s="35" t="s">
        <v>262</v>
      </c>
      <c r="C133" s="34">
        <v>43.3</v>
      </c>
      <c r="D133" s="36"/>
      <c r="E133" s="20">
        <v>44177</v>
      </c>
      <c r="F133" s="19">
        <v>0.80208333333333337</v>
      </c>
      <c r="H133" s="34">
        <v>43.3</v>
      </c>
      <c r="I133" s="19"/>
      <c r="L133" s="20">
        <v>44177</v>
      </c>
      <c r="M133" s="19">
        <v>0.80208333333333337</v>
      </c>
      <c r="N133" s="19"/>
      <c r="S133" s="36"/>
      <c r="T133" s="36"/>
    </row>
    <row r="134" spans="1:20" s="38" customFormat="1" ht="15.75" hidden="1" x14ac:dyDescent="0.3">
      <c r="A134" s="36" t="str">
        <f xml:space="preserve"> IF( 'From SvanPC++'!A124= "", "", ('From SvanPC++'!A124))</f>
        <v/>
      </c>
      <c r="B134" s="35" t="s">
        <v>263</v>
      </c>
      <c r="C134" s="34">
        <v>43</v>
      </c>
      <c r="D134" s="36"/>
      <c r="E134" s="20">
        <v>44177</v>
      </c>
      <c r="F134" s="19">
        <v>0.8125</v>
      </c>
      <c r="H134" s="34">
        <v>43</v>
      </c>
      <c r="I134" s="19"/>
      <c r="L134" s="20">
        <v>44177</v>
      </c>
      <c r="M134" s="19">
        <v>0.8125</v>
      </c>
      <c r="N134" s="19"/>
      <c r="S134" s="36"/>
      <c r="T134" s="36"/>
    </row>
    <row r="135" spans="1:20" s="38" customFormat="1" ht="15.75" hidden="1" x14ac:dyDescent="0.3">
      <c r="A135" s="36" t="str">
        <f xml:space="preserve"> IF( 'From SvanPC++'!A125= "", "", ('From SvanPC++'!A125))</f>
        <v/>
      </c>
      <c r="B135" s="35" t="s">
        <v>264</v>
      </c>
      <c r="C135" s="34">
        <v>40.200000000000003</v>
      </c>
      <c r="D135" s="36"/>
      <c r="E135" s="20">
        <v>44177</v>
      </c>
      <c r="F135" s="19">
        <v>0.82291666666666663</v>
      </c>
      <c r="H135" s="34">
        <v>40.200000000000003</v>
      </c>
      <c r="I135" s="19"/>
      <c r="L135" s="20">
        <v>44177</v>
      </c>
      <c r="M135" s="19">
        <v>0.82291666666666663</v>
      </c>
      <c r="N135" s="19"/>
      <c r="S135" s="36"/>
      <c r="T135" s="36"/>
    </row>
    <row r="136" spans="1:20" s="38" customFormat="1" ht="15.75" x14ac:dyDescent="0.3">
      <c r="A136" s="36" t="str">
        <f xml:space="preserve"> IF( 'From SvanPC++'!A126= "", "", ('From SvanPC++'!A126))</f>
        <v/>
      </c>
      <c r="B136" s="35" t="s">
        <v>265</v>
      </c>
      <c r="C136" s="34">
        <v>39.4</v>
      </c>
      <c r="D136" s="36"/>
      <c r="E136" s="20">
        <v>44177</v>
      </c>
      <c r="F136" s="19">
        <v>0.83333333333333337</v>
      </c>
      <c r="H136" s="34">
        <v>39.4</v>
      </c>
      <c r="I136" s="106">
        <f>AVERAGE(H133:H136)</f>
        <v>41.475000000000001</v>
      </c>
      <c r="L136" s="20">
        <v>44177</v>
      </c>
      <c r="M136" s="19">
        <v>0.83333333333333337</v>
      </c>
      <c r="N136" s="106">
        <v>41.475000000000001</v>
      </c>
      <c r="S136" s="36"/>
      <c r="T136" s="36"/>
    </row>
    <row r="137" spans="1:20" s="38" customFormat="1" ht="15.75" hidden="1" x14ac:dyDescent="0.3">
      <c r="A137" s="36" t="str">
        <f xml:space="preserve"> IF( 'From SvanPC++'!A127= "", "", ('From SvanPC++'!A127))</f>
        <v/>
      </c>
      <c r="B137" s="35" t="s">
        <v>266</v>
      </c>
      <c r="C137" s="34">
        <v>39.799999999999997</v>
      </c>
      <c r="D137" s="36"/>
      <c r="E137" s="20">
        <v>44177</v>
      </c>
      <c r="F137" s="19">
        <v>0.84375</v>
      </c>
      <c r="H137" s="34">
        <v>39.799999999999997</v>
      </c>
      <c r="I137" s="19"/>
      <c r="L137" s="20">
        <v>44177</v>
      </c>
      <c r="M137" s="19">
        <v>0.84375</v>
      </c>
      <c r="N137" s="19"/>
      <c r="S137" s="36"/>
      <c r="T137" s="36"/>
    </row>
    <row r="138" spans="1:20" s="38" customFormat="1" ht="15.75" hidden="1" x14ac:dyDescent="0.3">
      <c r="A138" s="36" t="str">
        <f xml:space="preserve"> IF( 'From SvanPC++'!A128= "", "", ('From SvanPC++'!A128))</f>
        <v/>
      </c>
      <c r="B138" s="35" t="s">
        <v>267</v>
      </c>
      <c r="C138" s="34">
        <v>43.2</v>
      </c>
      <c r="D138" s="36"/>
      <c r="E138" s="20">
        <v>44177</v>
      </c>
      <c r="F138" s="19">
        <v>0.85416666666666663</v>
      </c>
      <c r="H138" s="34">
        <v>43.2</v>
      </c>
      <c r="I138" s="19"/>
      <c r="L138" s="20">
        <v>44177</v>
      </c>
      <c r="M138" s="19">
        <v>0.85416666666666663</v>
      </c>
      <c r="N138" s="19"/>
      <c r="S138" s="36"/>
      <c r="T138" s="36"/>
    </row>
    <row r="139" spans="1:20" s="38" customFormat="1" ht="15.75" hidden="1" x14ac:dyDescent="0.3">
      <c r="A139" s="36" t="str">
        <f xml:space="preserve"> IF( 'From SvanPC++'!A129= "", "", ('From SvanPC++'!A129))</f>
        <v/>
      </c>
      <c r="B139" s="35" t="s">
        <v>268</v>
      </c>
      <c r="C139" s="34">
        <v>39.6</v>
      </c>
      <c r="D139" s="36"/>
      <c r="E139" s="20">
        <v>44177</v>
      </c>
      <c r="F139" s="19">
        <v>0.86458333333333337</v>
      </c>
      <c r="H139" s="34">
        <v>39.6</v>
      </c>
      <c r="I139" s="19"/>
      <c r="L139" s="20">
        <v>44177</v>
      </c>
      <c r="M139" s="19">
        <v>0.86458333333333337</v>
      </c>
      <c r="N139" s="19"/>
      <c r="S139" s="36"/>
      <c r="T139" s="36"/>
    </row>
    <row r="140" spans="1:20" s="38" customFormat="1" ht="15.75" x14ac:dyDescent="0.3">
      <c r="A140" s="36" t="str">
        <f xml:space="preserve"> IF( 'From SvanPC++'!A130= "", "", ('From SvanPC++'!A130))</f>
        <v/>
      </c>
      <c r="B140" s="35" t="s">
        <v>269</v>
      </c>
      <c r="C140" s="34">
        <v>41.1</v>
      </c>
      <c r="D140" s="36"/>
      <c r="E140" s="20">
        <v>44177</v>
      </c>
      <c r="F140" s="19">
        <v>0.875</v>
      </c>
      <c r="H140" s="34">
        <v>41.1</v>
      </c>
      <c r="I140" s="106">
        <f>AVERAGE(H137:H140)</f>
        <v>40.924999999999997</v>
      </c>
      <c r="L140" s="20">
        <v>44177</v>
      </c>
      <c r="M140" s="19">
        <v>0.875</v>
      </c>
      <c r="N140" s="106">
        <v>40.924999999999997</v>
      </c>
      <c r="S140" s="36"/>
      <c r="T140" s="36"/>
    </row>
    <row r="141" spans="1:20" s="38" customFormat="1" ht="15.75" hidden="1" x14ac:dyDescent="0.3">
      <c r="A141" s="36" t="str">
        <f xml:space="preserve"> IF( 'From SvanPC++'!A131= "", "", ('From SvanPC++'!A131))</f>
        <v/>
      </c>
      <c r="B141" s="35" t="s">
        <v>270</v>
      </c>
      <c r="C141" s="34">
        <v>55.2</v>
      </c>
      <c r="D141" s="36"/>
      <c r="E141" s="20">
        <v>44177</v>
      </c>
      <c r="F141" s="19">
        <v>0.88541666666666663</v>
      </c>
      <c r="H141" s="34">
        <v>55.2</v>
      </c>
      <c r="I141" s="19"/>
      <c r="L141" s="20">
        <v>44177</v>
      </c>
      <c r="M141" s="19">
        <v>0.88541666666666663</v>
      </c>
      <c r="N141" s="19"/>
      <c r="S141" s="36"/>
      <c r="T141" s="36"/>
    </row>
    <row r="142" spans="1:20" s="38" customFormat="1" ht="15.75" hidden="1" x14ac:dyDescent="0.3">
      <c r="A142" s="36" t="str">
        <f xml:space="preserve"> IF( 'From SvanPC++'!A132= "", "", ('From SvanPC++'!A132))</f>
        <v/>
      </c>
      <c r="B142" s="35" t="s">
        <v>271</v>
      </c>
      <c r="C142" s="34">
        <v>41.8</v>
      </c>
      <c r="D142" s="36"/>
      <c r="E142" s="20">
        <v>44177</v>
      </c>
      <c r="F142" s="19">
        <v>0.89583333333333337</v>
      </c>
      <c r="H142" s="34">
        <v>41.8</v>
      </c>
      <c r="I142" s="19"/>
      <c r="L142" s="20">
        <v>44177</v>
      </c>
      <c r="M142" s="19">
        <v>0.89583333333333337</v>
      </c>
      <c r="N142" s="19"/>
      <c r="S142" s="36"/>
      <c r="T142" s="36"/>
    </row>
    <row r="143" spans="1:20" s="38" customFormat="1" ht="15.75" hidden="1" x14ac:dyDescent="0.3">
      <c r="A143" s="36" t="str">
        <f xml:space="preserve"> IF( 'From SvanPC++'!A133= "", "", ('From SvanPC++'!A133))</f>
        <v/>
      </c>
      <c r="B143" s="35" t="s">
        <v>272</v>
      </c>
      <c r="C143" s="34">
        <v>41.9</v>
      </c>
      <c r="D143" s="36"/>
      <c r="E143" s="20">
        <v>44177</v>
      </c>
      <c r="F143" s="19">
        <v>0.90625</v>
      </c>
      <c r="H143" s="34">
        <v>41.9</v>
      </c>
      <c r="I143" s="19"/>
      <c r="L143" s="20">
        <v>44177</v>
      </c>
      <c r="M143" s="19">
        <v>0.90625</v>
      </c>
      <c r="N143" s="19"/>
      <c r="S143" s="36"/>
      <c r="T143" s="36"/>
    </row>
    <row r="144" spans="1:20" s="38" customFormat="1" ht="15.75" x14ac:dyDescent="0.3">
      <c r="A144" s="36" t="str">
        <f xml:space="preserve"> IF( 'From SvanPC++'!A134= "", "", ('From SvanPC++'!A134))</f>
        <v/>
      </c>
      <c r="B144" s="35" t="s">
        <v>273</v>
      </c>
      <c r="C144" s="34">
        <v>39.9</v>
      </c>
      <c r="D144" s="36"/>
      <c r="E144" s="20">
        <v>44177</v>
      </c>
      <c r="F144" s="19">
        <v>0.91666666666666663</v>
      </c>
      <c r="H144" s="34">
        <v>39.9</v>
      </c>
      <c r="I144" s="106">
        <f>AVERAGE(H141:H144)</f>
        <v>44.7</v>
      </c>
      <c r="L144" s="20">
        <v>44177</v>
      </c>
      <c r="M144" s="19">
        <v>0.91666666666666663</v>
      </c>
      <c r="N144" s="106">
        <v>44.7</v>
      </c>
      <c r="S144" s="36"/>
      <c r="T144" s="36"/>
    </row>
    <row r="145" spans="1:20" s="38" customFormat="1" ht="15.75" hidden="1" x14ac:dyDescent="0.3">
      <c r="A145" s="36" t="str">
        <f xml:space="preserve"> IF( 'From SvanPC++'!A135= "", "", ('From SvanPC++'!A135))</f>
        <v/>
      </c>
      <c r="B145" s="35" t="s">
        <v>274</v>
      </c>
      <c r="C145" s="34">
        <v>40.1</v>
      </c>
      <c r="D145" s="36"/>
      <c r="E145" s="20">
        <v>44177</v>
      </c>
      <c r="F145" s="19">
        <v>0.92708333333333337</v>
      </c>
      <c r="H145" s="34">
        <v>40.1</v>
      </c>
      <c r="I145" s="19"/>
      <c r="L145" s="20">
        <v>44177</v>
      </c>
      <c r="M145" s="19">
        <v>0.92708333333333337</v>
      </c>
      <c r="N145" s="19"/>
      <c r="S145" s="36"/>
      <c r="T145" s="36"/>
    </row>
    <row r="146" spans="1:20" s="38" customFormat="1" ht="15.75" hidden="1" x14ac:dyDescent="0.3">
      <c r="A146" s="36" t="str">
        <f xml:space="preserve"> IF( 'From SvanPC++'!A136= "", "", ('From SvanPC++'!A136))</f>
        <v/>
      </c>
      <c r="B146" s="35" t="s">
        <v>275</v>
      </c>
      <c r="C146" s="34">
        <v>41.8</v>
      </c>
      <c r="D146" s="36"/>
      <c r="E146" s="20">
        <v>44177</v>
      </c>
      <c r="F146" s="19">
        <v>0.9375</v>
      </c>
      <c r="H146" s="34">
        <v>41.8</v>
      </c>
      <c r="I146" s="19"/>
      <c r="L146" s="20">
        <v>44177</v>
      </c>
      <c r="M146" s="19">
        <v>0.9375</v>
      </c>
      <c r="N146" s="19"/>
      <c r="S146" s="36"/>
      <c r="T146" s="36"/>
    </row>
    <row r="147" spans="1:20" s="38" customFormat="1" ht="15.75" hidden="1" x14ac:dyDescent="0.3">
      <c r="A147" s="36" t="str">
        <f xml:space="preserve"> IF( 'From SvanPC++'!A137= "", "", ('From SvanPC++'!A137))</f>
        <v/>
      </c>
      <c r="B147" s="35" t="s">
        <v>276</v>
      </c>
      <c r="C147" s="34">
        <v>41.5</v>
      </c>
      <c r="D147" s="36"/>
      <c r="E147" s="20">
        <v>44177</v>
      </c>
      <c r="F147" s="19">
        <v>0.94791666666666663</v>
      </c>
      <c r="H147" s="34">
        <v>41.5</v>
      </c>
      <c r="I147" s="19"/>
      <c r="L147" s="20">
        <v>44177</v>
      </c>
      <c r="M147" s="19">
        <v>0.94791666666666663</v>
      </c>
      <c r="N147" s="19"/>
      <c r="S147" s="36"/>
      <c r="T147" s="36"/>
    </row>
    <row r="148" spans="1:20" s="38" customFormat="1" ht="15.75" x14ac:dyDescent="0.3">
      <c r="A148" s="36" t="str">
        <f xml:space="preserve"> IF( 'From SvanPC++'!A138= "", "", ('From SvanPC++'!A138))</f>
        <v/>
      </c>
      <c r="B148" s="35" t="s">
        <v>277</v>
      </c>
      <c r="C148" s="34">
        <v>41.4</v>
      </c>
      <c r="D148" s="36"/>
      <c r="E148" s="20">
        <v>44177</v>
      </c>
      <c r="F148" s="19">
        <v>0.95833333333333337</v>
      </c>
      <c r="H148" s="34">
        <v>41.4</v>
      </c>
      <c r="I148" s="106">
        <f>AVERAGE(H145:H148)</f>
        <v>41.2</v>
      </c>
      <c r="L148" s="20">
        <v>44177</v>
      </c>
      <c r="M148" s="19">
        <v>0.95833333333333337</v>
      </c>
      <c r="N148" s="106">
        <v>41.2</v>
      </c>
      <c r="S148" s="36"/>
      <c r="T148" s="36"/>
    </row>
    <row r="149" spans="1:20" s="38" customFormat="1" ht="15.75" hidden="1" x14ac:dyDescent="0.3">
      <c r="A149" s="36" t="str">
        <f xml:space="preserve"> IF( 'From SvanPC++'!A139= "", "", ('From SvanPC++'!A139))</f>
        <v/>
      </c>
      <c r="B149" s="35" t="s">
        <v>278</v>
      </c>
      <c r="C149" s="34">
        <v>41.3</v>
      </c>
      <c r="D149" s="36"/>
      <c r="E149" s="20">
        <v>44177</v>
      </c>
      <c r="F149" s="19">
        <v>0.96875</v>
      </c>
      <c r="H149" s="34">
        <v>41.3</v>
      </c>
      <c r="I149" s="19"/>
      <c r="L149" s="20">
        <v>44177</v>
      </c>
      <c r="M149" s="19">
        <v>0.96875</v>
      </c>
      <c r="N149" s="19"/>
      <c r="S149" s="36"/>
      <c r="T149" s="36"/>
    </row>
    <row r="150" spans="1:20" s="38" customFormat="1" ht="15.75" hidden="1" x14ac:dyDescent="0.3">
      <c r="A150" s="36" t="str">
        <f xml:space="preserve"> IF( 'From SvanPC++'!A140= "", "", ('From SvanPC++'!A140))</f>
        <v/>
      </c>
      <c r="B150" s="35" t="s">
        <v>279</v>
      </c>
      <c r="C150" s="34">
        <v>41.2</v>
      </c>
      <c r="D150" s="36"/>
      <c r="E150" s="20">
        <v>44177</v>
      </c>
      <c r="F150" s="19">
        <v>0.97916666666666663</v>
      </c>
      <c r="H150" s="34">
        <v>41.2</v>
      </c>
      <c r="I150" s="19"/>
      <c r="L150" s="20">
        <v>44177</v>
      </c>
      <c r="M150" s="19">
        <v>0.97916666666666663</v>
      </c>
      <c r="N150" s="19"/>
      <c r="S150" s="36"/>
      <c r="T150" s="36"/>
    </row>
    <row r="151" spans="1:20" s="38" customFormat="1" ht="15.75" hidden="1" x14ac:dyDescent="0.3">
      <c r="A151" s="36" t="str">
        <f xml:space="preserve"> IF( 'From SvanPC++'!A141= "", "", ('From SvanPC++'!A141))</f>
        <v/>
      </c>
      <c r="B151" s="35" t="s">
        <v>280</v>
      </c>
      <c r="C151" s="34">
        <v>39.799999999999997</v>
      </c>
      <c r="D151" s="36"/>
      <c r="E151" s="20">
        <v>44177</v>
      </c>
      <c r="F151" s="19">
        <v>0.98958333333333337</v>
      </c>
      <c r="H151" s="34">
        <v>39.799999999999997</v>
      </c>
      <c r="I151" s="19"/>
      <c r="L151" s="20">
        <v>44177</v>
      </c>
      <c r="M151" s="19">
        <v>0.98958333333333337</v>
      </c>
      <c r="N151" s="19"/>
      <c r="S151" s="36"/>
      <c r="T151" s="36"/>
    </row>
    <row r="152" spans="1:20" s="38" customFormat="1" ht="15.75" x14ac:dyDescent="0.3">
      <c r="A152" s="36" t="str">
        <f xml:space="preserve"> IF( 'From SvanPC++'!A142= "", "", ('From SvanPC++'!A142))</f>
        <v/>
      </c>
      <c r="B152" s="35" t="s">
        <v>281</v>
      </c>
      <c r="C152" s="34">
        <v>39.6</v>
      </c>
      <c r="D152" s="36"/>
      <c r="E152" s="20">
        <v>44178</v>
      </c>
      <c r="F152" s="19">
        <v>0</v>
      </c>
      <c r="H152" s="34">
        <v>39.6</v>
      </c>
      <c r="I152" s="106">
        <f>AVERAGE(H149:H152)</f>
        <v>40.475000000000001</v>
      </c>
      <c r="L152" s="20">
        <v>44178</v>
      </c>
      <c r="M152" s="19">
        <v>0</v>
      </c>
      <c r="N152" s="106">
        <v>40.475000000000001</v>
      </c>
      <c r="S152" s="36"/>
      <c r="T152" s="36"/>
    </row>
    <row r="153" spans="1:20" s="38" customFormat="1" ht="15.75" hidden="1" x14ac:dyDescent="0.3">
      <c r="A153" s="36" t="str">
        <f xml:space="preserve"> IF( 'From SvanPC++'!A143= "", "", ('From SvanPC++'!A143))</f>
        <v/>
      </c>
      <c r="B153" s="35" t="s">
        <v>282</v>
      </c>
      <c r="C153" s="34">
        <v>35.200000000000003</v>
      </c>
      <c r="D153" s="36"/>
      <c r="E153" s="20">
        <v>44178</v>
      </c>
      <c r="F153" s="19">
        <v>1.0416666666666666E-2</v>
      </c>
      <c r="H153" s="34">
        <v>35.200000000000003</v>
      </c>
      <c r="I153" s="19"/>
      <c r="L153" s="20">
        <v>44178</v>
      </c>
      <c r="M153" s="19">
        <v>1.0416666666666666E-2</v>
      </c>
      <c r="N153" s="19"/>
      <c r="S153" s="36"/>
      <c r="T153" s="36"/>
    </row>
    <row r="154" spans="1:20" s="38" customFormat="1" ht="15.75" hidden="1" x14ac:dyDescent="0.3">
      <c r="A154" s="36" t="str">
        <f xml:space="preserve"> IF( 'From SvanPC++'!A144= "", "", ('From SvanPC++'!A144))</f>
        <v/>
      </c>
      <c r="B154" s="35" t="s">
        <v>283</v>
      </c>
      <c r="C154" s="34">
        <v>34.700000000000003</v>
      </c>
      <c r="D154" s="36"/>
      <c r="E154" s="20">
        <v>44178</v>
      </c>
      <c r="F154" s="19">
        <v>2.0833333333333332E-2</v>
      </c>
      <c r="H154" s="34">
        <v>34.700000000000003</v>
      </c>
      <c r="I154" s="19"/>
      <c r="L154" s="20">
        <v>44178</v>
      </c>
      <c r="M154" s="19">
        <v>2.0833333333333332E-2</v>
      </c>
      <c r="N154" s="19"/>
      <c r="S154" s="36"/>
      <c r="T154" s="36"/>
    </row>
    <row r="155" spans="1:20" s="38" customFormat="1" ht="15.75" hidden="1" x14ac:dyDescent="0.3">
      <c r="A155" s="36" t="str">
        <f xml:space="preserve"> IF( 'From SvanPC++'!A145= "", "", ('From SvanPC++'!A145))</f>
        <v/>
      </c>
      <c r="B155" s="35" t="s">
        <v>284</v>
      </c>
      <c r="C155" s="34">
        <v>31.9</v>
      </c>
      <c r="D155" s="36"/>
      <c r="E155" s="20">
        <v>44178</v>
      </c>
      <c r="F155" s="19">
        <v>3.125E-2</v>
      </c>
      <c r="H155" s="34">
        <v>31.9</v>
      </c>
      <c r="I155" s="19"/>
      <c r="L155" s="20">
        <v>44178</v>
      </c>
      <c r="M155" s="19">
        <v>3.125E-2</v>
      </c>
      <c r="N155" s="19"/>
      <c r="S155" s="36"/>
      <c r="T155" s="36"/>
    </row>
    <row r="156" spans="1:20" s="38" customFormat="1" ht="15.75" x14ac:dyDescent="0.3">
      <c r="A156" s="36" t="str">
        <f xml:space="preserve"> IF( 'From SvanPC++'!A146= "", "", ('From SvanPC++'!A146))</f>
        <v/>
      </c>
      <c r="B156" s="35" t="s">
        <v>285</v>
      </c>
      <c r="C156" s="34">
        <v>29</v>
      </c>
      <c r="D156" s="36"/>
      <c r="E156" s="20">
        <v>44178</v>
      </c>
      <c r="F156" s="19">
        <v>4.1666666666666664E-2</v>
      </c>
      <c r="H156" s="34">
        <v>29</v>
      </c>
      <c r="I156" s="106">
        <f>AVERAGE(H153:H156)</f>
        <v>32.700000000000003</v>
      </c>
      <c r="L156" s="20">
        <v>44178</v>
      </c>
      <c r="M156" s="19">
        <v>4.1666666666666664E-2</v>
      </c>
      <c r="N156" s="106">
        <v>32.700000000000003</v>
      </c>
      <c r="S156" s="36"/>
      <c r="T156" s="36"/>
    </row>
    <row r="157" spans="1:20" s="38" customFormat="1" ht="15.75" hidden="1" x14ac:dyDescent="0.3">
      <c r="A157" s="36" t="str">
        <f xml:space="preserve"> IF( 'From SvanPC++'!A147= "", "", ('From SvanPC++'!A147))</f>
        <v/>
      </c>
      <c r="B157" s="35" t="s">
        <v>286</v>
      </c>
      <c r="C157" s="34">
        <v>31.9</v>
      </c>
      <c r="D157" s="36"/>
      <c r="E157" s="20">
        <v>44178</v>
      </c>
      <c r="F157" s="19">
        <v>5.2083333333333336E-2</v>
      </c>
      <c r="H157" s="34">
        <v>31.9</v>
      </c>
      <c r="I157" s="19"/>
      <c r="L157" s="20">
        <v>44178</v>
      </c>
      <c r="M157" s="19">
        <v>5.2083333333333336E-2</v>
      </c>
      <c r="N157" s="19"/>
      <c r="S157" s="36"/>
      <c r="T157" s="36"/>
    </row>
    <row r="158" spans="1:20" s="38" customFormat="1" ht="15.75" hidden="1" x14ac:dyDescent="0.3">
      <c r="A158" s="36" t="str">
        <f xml:space="preserve"> IF( 'From SvanPC++'!A148= "", "", ('From SvanPC++'!A148))</f>
        <v/>
      </c>
      <c r="B158" s="35" t="s">
        <v>287</v>
      </c>
      <c r="C158" s="34">
        <v>28.6</v>
      </c>
      <c r="D158" s="36"/>
      <c r="E158" s="20">
        <v>44178</v>
      </c>
      <c r="F158" s="19">
        <v>6.25E-2</v>
      </c>
      <c r="H158" s="34">
        <v>28.6</v>
      </c>
      <c r="I158" s="19"/>
      <c r="L158" s="20">
        <v>44178</v>
      </c>
      <c r="M158" s="19">
        <v>6.25E-2</v>
      </c>
      <c r="N158" s="19"/>
      <c r="S158" s="36"/>
      <c r="T158" s="36"/>
    </row>
    <row r="159" spans="1:20" s="38" customFormat="1" ht="15.75" hidden="1" x14ac:dyDescent="0.3">
      <c r="A159" s="36" t="str">
        <f xml:space="preserve"> IF( 'From SvanPC++'!A149= "", "", ('From SvanPC++'!A149))</f>
        <v/>
      </c>
      <c r="B159" s="35" t="s">
        <v>288</v>
      </c>
      <c r="C159" s="34">
        <v>28.4</v>
      </c>
      <c r="D159" s="36"/>
      <c r="E159" s="20">
        <v>44178</v>
      </c>
      <c r="F159" s="19">
        <v>7.2916666666666671E-2</v>
      </c>
      <c r="H159" s="34">
        <v>28.4</v>
      </c>
      <c r="I159" s="19"/>
      <c r="L159" s="20">
        <v>44178</v>
      </c>
      <c r="M159" s="19">
        <v>7.2916666666666671E-2</v>
      </c>
      <c r="N159" s="19"/>
      <c r="S159" s="36"/>
      <c r="T159" s="36"/>
    </row>
    <row r="160" spans="1:20" s="38" customFormat="1" ht="15.75" x14ac:dyDescent="0.3">
      <c r="A160" s="36" t="str">
        <f xml:space="preserve"> IF( 'From SvanPC++'!A150= "", "", ('From SvanPC++'!A150))</f>
        <v/>
      </c>
      <c r="B160" s="35" t="s">
        <v>289</v>
      </c>
      <c r="C160" s="34">
        <v>32.299999999999997</v>
      </c>
      <c r="D160" s="36"/>
      <c r="E160" s="20">
        <v>44178</v>
      </c>
      <c r="F160" s="19">
        <v>8.3333333333333329E-2</v>
      </c>
      <c r="H160" s="34">
        <v>32.299999999999997</v>
      </c>
      <c r="I160" s="106">
        <f>AVERAGE(H157:H160)</f>
        <v>30.3</v>
      </c>
      <c r="L160" s="20">
        <v>44178</v>
      </c>
      <c r="M160" s="19">
        <v>8.3333333333333329E-2</v>
      </c>
      <c r="N160" s="106">
        <v>30.3</v>
      </c>
      <c r="S160" s="36"/>
      <c r="T160" s="36"/>
    </row>
    <row r="161" spans="1:20" s="38" customFormat="1" ht="15.75" hidden="1" x14ac:dyDescent="0.3">
      <c r="A161" s="36" t="str">
        <f xml:space="preserve"> IF( 'From SvanPC++'!A151= "", "", ('From SvanPC++'!A151))</f>
        <v/>
      </c>
      <c r="B161" s="35" t="s">
        <v>290</v>
      </c>
      <c r="C161" s="34">
        <v>28.3</v>
      </c>
      <c r="D161" s="36"/>
      <c r="E161" s="20">
        <v>44178</v>
      </c>
      <c r="F161" s="19">
        <v>9.375E-2</v>
      </c>
      <c r="H161" s="34">
        <v>28.3</v>
      </c>
      <c r="I161" s="19"/>
      <c r="L161" s="20">
        <v>44178</v>
      </c>
      <c r="M161" s="19">
        <v>9.375E-2</v>
      </c>
      <c r="N161" s="19"/>
      <c r="S161" s="36"/>
      <c r="T161" s="36"/>
    </row>
    <row r="162" spans="1:20" s="38" customFormat="1" ht="15.75" hidden="1" x14ac:dyDescent="0.3">
      <c r="A162" s="36" t="str">
        <f xml:space="preserve"> IF( 'From SvanPC++'!A152= "", "", ('From SvanPC++'!A152))</f>
        <v/>
      </c>
      <c r="B162" s="35" t="s">
        <v>291</v>
      </c>
      <c r="C162" s="34">
        <v>27.3</v>
      </c>
      <c r="D162" s="36"/>
      <c r="E162" s="20">
        <v>44178</v>
      </c>
      <c r="F162" s="19">
        <v>0.10416666666666667</v>
      </c>
      <c r="H162" s="34">
        <v>27.3</v>
      </c>
      <c r="I162" s="19"/>
      <c r="L162" s="20">
        <v>44178</v>
      </c>
      <c r="M162" s="19">
        <v>0.10416666666666667</v>
      </c>
      <c r="N162" s="19"/>
      <c r="S162" s="36"/>
      <c r="T162" s="36"/>
    </row>
    <row r="163" spans="1:20" s="38" customFormat="1" ht="15.75" hidden="1" x14ac:dyDescent="0.3">
      <c r="A163" s="36" t="str">
        <f xml:space="preserve"> IF( 'From SvanPC++'!A153= "", "", ('From SvanPC++'!A153))</f>
        <v/>
      </c>
      <c r="B163" s="35" t="s">
        <v>292</v>
      </c>
      <c r="C163" s="34">
        <v>27.4</v>
      </c>
      <c r="D163" s="36"/>
      <c r="E163" s="20">
        <v>44178</v>
      </c>
      <c r="F163" s="19">
        <v>0.11458333333333333</v>
      </c>
      <c r="H163" s="34">
        <v>27.4</v>
      </c>
      <c r="I163" s="19"/>
      <c r="L163" s="20">
        <v>44178</v>
      </c>
      <c r="M163" s="19">
        <v>0.11458333333333333</v>
      </c>
      <c r="N163" s="19"/>
      <c r="S163" s="36"/>
      <c r="T163" s="36"/>
    </row>
    <row r="164" spans="1:20" s="38" customFormat="1" ht="15.75" x14ac:dyDescent="0.3">
      <c r="A164" s="36" t="str">
        <f xml:space="preserve"> IF( 'From SvanPC++'!A154= "", "", ('From SvanPC++'!A154))</f>
        <v/>
      </c>
      <c r="B164" s="35" t="s">
        <v>293</v>
      </c>
      <c r="C164" s="34">
        <v>26.7</v>
      </c>
      <c r="D164" s="36"/>
      <c r="E164" s="20">
        <v>44178</v>
      </c>
      <c r="F164" s="19">
        <v>0.125</v>
      </c>
      <c r="H164" s="34">
        <v>26.7</v>
      </c>
      <c r="I164" s="106">
        <f>AVERAGE(H161:H164)</f>
        <v>27.425000000000001</v>
      </c>
      <c r="L164" s="20">
        <v>44178</v>
      </c>
      <c r="M164" s="19">
        <v>0.125</v>
      </c>
      <c r="N164" s="106">
        <v>27.425000000000001</v>
      </c>
      <c r="S164" s="36"/>
      <c r="T164" s="36"/>
    </row>
    <row r="165" spans="1:20" s="38" customFormat="1" ht="15.75" hidden="1" x14ac:dyDescent="0.3">
      <c r="A165" s="36" t="str">
        <f xml:space="preserve"> IF( 'From SvanPC++'!A155= "", "", ('From SvanPC++'!A155))</f>
        <v/>
      </c>
      <c r="B165" s="35" t="s">
        <v>294</v>
      </c>
      <c r="C165" s="34">
        <v>31</v>
      </c>
      <c r="D165" s="36"/>
      <c r="E165" s="20">
        <v>44178</v>
      </c>
      <c r="F165" s="19">
        <v>0.13541666666666666</v>
      </c>
      <c r="H165" s="34">
        <v>31</v>
      </c>
      <c r="I165" s="19"/>
      <c r="L165" s="20">
        <v>44178</v>
      </c>
      <c r="M165" s="19">
        <v>0.13541666666666666</v>
      </c>
      <c r="N165" s="19"/>
      <c r="S165" s="36"/>
      <c r="T165" s="36"/>
    </row>
    <row r="166" spans="1:20" s="38" customFormat="1" ht="15.75" hidden="1" x14ac:dyDescent="0.3">
      <c r="A166" s="36" t="str">
        <f xml:space="preserve"> IF( 'From SvanPC++'!A156= "", "", ('From SvanPC++'!A156))</f>
        <v/>
      </c>
      <c r="B166" s="35" t="s">
        <v>295</v>
      </c>
      <c r="C166" s="34">
        <v>27.2</v>
      </c>
      <c r="D166" s="36"/>
      <c r="E166" s="20">
        <v>44178</v>
      </c>
      <c r="F166" s="19">
        <v>0.14583333333333334</v>
      </c>
      <c r="H166" s="34">
        <v>27.2</v>
      </c>
      <c r="I166" s="19"/>
      <c r="L166" s="20">
        <v>44178</v>
      </c>
      <c r="M166" s="19">
        <v>0.14583333333333334</v>
      </c>
      <c r="N166" s="19"/>
      <c r="S166" s="36"/>
      <c r="T166" s="36"/>
    </row>
    <row r="167" spans="1:20" s="38" customFormat="1" ht="15.75" hidden="1" x14ac:dyDescent="0.3">
      <c r="A167" s="36" t="str">
        <f xml:space="preserve"> IF( 'From SvanPC++'!A157= "", "", ('From SvanPC++'!A157))</f>
        <v/>
      </c>
      <c r="B167" s="35" t="s">
        <v>296</v>
      </c>
      <c r="C167" s="34">
        <v>27</v>
      </c>
      <c r="D167" s="36"/>
      <c r="E167" s="20">
        <v>44178</v>
      </c>
      <c r="F167" s="19">
        <v>0.15625</v>
      </c>
      <c r="H167" s="34">
        <v>27</v>
      </c>
      <c r="I167" s="19"/>
      <c r="L167" s="20">
        <v>44178</v>
      </c>
      <c r="M167" s="19">
        <v>0.15625</v>
      </c>
      <c r="N167" s="19"/>
      <c r="S167" s="36"/>
      <c r="T167" s="36"/>
    </row>
    <row r="168" spans="1:20" s="38" customFormat="1" ht="15.75" x14ac:dyDescent="0.3">
      <c r="A168" s="36" t="str">
        <f xml:space="preserve"> IF( 'From SvanPC++'!A158= "", "", ('From SvanPC++'!A158))</f>
        <v/>
      </c>
      <c r="B168" s="35" t="s">
        <v>297</v>
      </c>
      <c r="C168" s="34">
        <v>26.1</v>
      </c>
      <c r="D168" s="36"/>
      <c r="E168" s="20">
        <v>44178</v>
      </c>
      <c r="F168" s="19">
        <v>0.16666666666666666</v>
      </c>
      <c r="H168" s="34">
        <v>26.1</v>
      </c>
      <c r="I168" s="106">
        <f>AVERAGE(H165:H168)</f>
        <v>27.825000000000003</v>
      </c>
      <c r="L168" s="20">
        <v>44178</v>
      </c>
      <c r="M168" s="19">
        <v>0.16666666666666666</v>
      </c>
      <c r="N168" s="106">
        <v>27.825000000000003</v>
      </c>
      <c r="S168" s="36"/>
      <c r="T168" s="36"/>
    </row>
    <row r="169" spans="1:20" s="38" customFormat="1" ht="15.75" hidden="1" x14ac:dyDescent="0.3">
      <c r="A169" s="36" t="str">
        <f xml:space="preserve"> IF( 'From SvanPC++'!A159= "", "", ('From SvanPC++'!A159))</f>
        <v/>
      </c>
      <c r="B169" s="35" t="s">
        <v>298</v>
      </c>
      <c r="C169" s="34">
        <v>26.9</v>
      </c>
      <c r="D169" s="36"/>
      <c r="E169" s="20">
        <v>44178</v>
      </c>
      <c r="F169" s="19">
        <v>0.17708333333333334</v>
      </c>
      <c r="H169" s="34">
        <v>26.9</v>
      </c>
      <c r="I169" s="19"/>
      <c r="L169" s="20">
        <v>44178</v>
      </c>
      <c r="M169" s="19">
        <v>0.17708333333333334</v>
      </c>
      <c r="N169" s="19"/>
      <c r="S169" s="36"/>
      <c r="T169" s="36"/>
    </row>
    <row r="170" spans="1:20" s="38" customFormat="1" ht="15.75" hidden="1" x14ac:dyDescent="0.3">
      <c r="A170" s="36" t="str">
        <f xml:space="preserve"> IF( 'From SvanPC++'!A160= "", "", ('From SvanPC++'!A160))</f>
        <v/>
      </c>
      <c r="B170" s="35" t="s">
        <v>299</v>
      </c>
      <c r="C170" s="34">
        <v>25.7</v>
      </c>
      <c r="D170" s="36"/>
      <c r="E170" s="20">
        <v>44178</v>
      </c>
      <c r="F170" s="19">
        <v>0.1875</v>
      </c>
      <c r="H170" s="34">
        <v>25.7</v>
      </c>
      <c r="I170" s="19"/>
      <c r="L170" s="20">
        <v>44178</v>
      </c>
      <c r="M170" s="19">
        <v>0.1875</v>
      </c>
      <c r="N170" s="19"/>
      <c r="S170" s="36"/>
      <c r="T170" s="36"/>
    </row>
    <row r="171" spans="1:20" s="38" customFormat="1" ht="15.75" hidden="1" x14ac:dyDescent="0.3">
      <c r="A171" s="36" t="str">
        <f xml:space="preserve"> IF( 'From SvanPC++'!A161= "", "", ('From SvanPC++'!A161))</f>
        <v/>
      </c>
      <c r="B171" s="35" t="s">
        <v>300</v>
      </c>
      <c r="C171" s="34">
        <v>26.7</v>
      </c>
      <c r="D171" s="36"/>
      <c r="E171" s="20">
        <v>44178</v>
      </c>
      <c r="F171" s="19">
        <v>0.19791666666666666</v>
      </c>
      <c r="H171" s="34">
        <v>26.7</v>
      </c>
      <c r="I171" s="19"/>
      <c r="L171" s="20">
        <v>44178</v>
      </c>
      <c r="M171" s="19">
        <v>0.19791666666666666</v>
      </c>
      <c r="N171" s="19"/>
      <c r="S171" s="36"/>
      <c r="T171" s="36"/>
    </row>
    <row r="172" spans="1:20" s="38" customFormat="1" ht="15.75" x14ac:dyDescent="0.3">
      <c r="A172" s="36" t="str">
        <f xml:space="preserve"> IF( 'From SvanPC++'!A162= "", "", ('From SvanPC++'!A162))</f>
        <v/>
      </c>
      <c r="B172" s="35" t="s">
        <v>301</v>
      </c>
      <c r="C172" s="34">
        <v>26.3</v>
      </c>
      <c r="D172" s="36"/>
      <c r="E172" s="20">
        <v>44178</v>
      </c>
      <c r="F172" s="19">
        <v>0.20833333333333334</v>
      </c>
      <c r="H172" s="34">
        <v>26.3</v>
      </c>
      <c r="I172" s="106">
        <f>AVERAGE(H169:H172)</f>
        <v>26.4</v>
      </c>
      <c r="L172" s="20">
        <v>44178</v>
      </c>
      <c r="M172" s="19">
        <v>0.20833333333333334</v>
      </c>
      <c r="N172" s="106">
        <v>26.4</v>
      </c>
      <c r="S172" s="36"/>
      <c r="T172" s="36"/>
    </row>
    <row r="173" spans="1:20" s="38" customFormat="1" ht="15.75" hidden="1" x14ac:dyDescent="0.3">
      <c r="A173" s="36" t="str">
        <f xml:space="preserve"> IF( 'From SvanPC++'!A163= "", "", ('From SvanPC++'!A163))</f>
        <v/>
      </c>
      <c r="B173" s="35" t="s">
        <v>302</v>
      </c>
      <c r="C173" s="34">
        <v>31</v>
      </c>
      <c r="D173" s="36"/>
      <c r="E173" s="20">
        <v>44178</v>
      </c>
      <c r="F173" s="19">
        <v>0.21875</v>
      </c>
      <c r="H173" s="34">
        <v>31</v>
      </c>
      <c r="I173" s="19"/>
      <c r="L173" s="20">
        <v>44178</v>
      </c>
      <c r="M173" s="19">
        <v>0.21875</v>
      </c>
      <c r="N173" s="19"/>
      <c r="S173" s="36"/>
      <c r="T173" s="36"/>
    </row>
    <row r="174" spans="1:20" s="38" customFormat="1" ht="15.75" hidden="1" x14ac:dyDescent="0.3">
      <c r="A174" s="36" t="str">
        <f xml:space="preserve"> IF( 'From SvanPC++'!A164= "", "", ('From SvanPC++'!A164))</f>
        <v/>
      </c>
      <c r="B174" s="35" t="s">
        <v>303</v>
      </c>
      <c r="C174" s="34">
        <v>39.700000000000003</v>
      </c>
      <c r="D174" s="36"/>
      <c r="E174" s="20">
        <v>44178</v>
      </c>
      <c r="F174" s="19">
        <v>0.22916666666666666</v>
      </c>
      <c r="H174" s="34">
        <v>39.700000000000003</v>
      </c>
      <c r="I174" s="19"/>
      <c r="L174" s="20">
        <v>44178</v>
      </c>
      <c r="M174" s="19">
        <v>0.22916666666666666</v>
      </c>
      <c r="N174" s="19"/>
      <c r="S174" s="36"/>
      <c r="T174" s="36"/>
    </row>
    <row r="175" spans="1:20" s="38" customFormat="1" ht="15.75" hidden="1" x14ac:dyDescent="0.3">
      <c r="A175" s="36" t="str">
        <f xml:space="preserve"> IF( 'From SvanPC++'!A165= "", "", ('From SvanPC++'!A165))</f>
        <v/>
      </c>
      <c r="B175" s="35" t="s">
        <v>304</v>
      </c>
      <c r="C175" s="34">
        <v>36.6</v>
      </c>
      <c r="D175" s="36"/>
      <c r="E175" s="20">
        <v>44178</v>
      </c>
      <c r="F175" s="19">
        <v>0.23958333333333334</v>
      </c>
      <c r="H175" s="34">
        <v>36.6</v>
      </c>
      <c r="I175" s="19"/>
      <c r="L175" s="20">
        <v>44178</v>
      </c>
      <c r="M175" s="19">
        <v>0.23958333333333334</v>
      </c>
      <c r="N175" s="19"/>
      <c r="S175" s="36"/>
      <c r="T175" s="36"/>
    </row>
    <row r="176" spans="1:20" s="38" customFormat="1" ht="15.75" x14ac:dyDescent="0.3">
      <c r="A176" s="36" t="str">
        <f xml:space="preserve"> IF( 'From SvanPC++'!A166= "", "", ('From SvanPC++'!A166))</f>
        <v/>
      </c>
      <c r="B176" s="35" t="s">
        <v>305</v>
      </c>
      <c r="C176" s="34">
        <v>35.6</v>
      </c>
      <c r="D176" s="36"/>
      <c r="E176" s="20">
        <v>44178</v>
      </c>
      <c r="F176" s="19">
        <v>0.25</v>
      </c>
      <c r="H176" s="34">
        <v>35.6</v>
      </c>
      <c r="I176" s="106">
        <f>AVERAGE(H173:H176)</f>
        <v>35.725000000000001</v>
      </c>
      <c r="L176" s="20">
        <v>44178</v>
      </c>
      <c r="M176" s="19">
        <v>0.25</v>
      </c>
      <c r="N176" s="106">
        <v>35.725000000000001</v>
      </c>
      <c r="S176" s="36"/>
      <c r="T176" s="36"/>
    </row>
    <row r="177" spans="1:20" s="38" customFormat="1" ht="15.75" hidden="1" x14ac:dyDescent="0.3">
      <c r="A177" s="36" t="str">
        <f xml:space="preserve"> IF( 'From SvanPC++'!A167= "", "", ('From SvanPC++'!A167))</f>
        <v/>
      </c>
      <c r="B177" s="35" t="s">
        <v>306</v>
      </c>
      <c r="C177" s="34">
        <v>34.5</v>
      </c>
      <c r="D177" s="36"/>
      <c r="E177" s="20">
        <v>44178</v>
      </c>
      <c r="F177" s="19">
        <v>0.26041666666666669</v>
      </c>
      <c r="H177" s="34">
        <v>34.5</v>
      </c>
      <c r="I177" s="19"/>
      <c r="L177" s="20">
        <v>44178</v>
      </c>
      <c r="M177" s="19">
        <v>0.26041666666666669</v>
      </c>
      <c r="N177" s="19"/>
      <c r="S177" s="36"/>
      <c r="T177" s="36"/>
    </row>
    <row r="178" spans="1:20" s="38" customFormat="1" ht="15.75" hidden="1" x14ac:dyDescent="0.3">
      <c r="A178" s="36" t="str">
        <f xml:space="preserve"> IF( 'From SvanPC++'!A168= "", "", ('From SvanPC++'!A168))</f>
        <v/>
      </c>
      <c r="B178" s="35" t="s">
        <v>307</v>
      </c>
      <c r="C178" s="34">
        <v>36.1</v>
      </c>
      <c r="D178" s="36"/>
      <c r="E178" s="20">
        <v>44178</v>
      </c>
      <c r="F178" s="19">
        <v>0.27083333333333331</v>
      </c>
      <c r="H178" s="34">
        <v>36.1</v>
      </c>
      <c r="I178" s="19"/>
      <c r="L178" s="20">
        <v>44178</v>
      </c>
      <c r="M178" s="19">
        <v>0.27083333333333331</v>
      </c>
      <c r="N178" s="19"/>
      <c r="S178" s="36"/>
      <c r="T178" s="36"/>
    </row>
    <row r="179" spans="1:20" s="38" customFormat="1" ht="15.75" hidden="1" x14ac:dyDescent="0.3">
      <c r="A179" s="36" t="str">
        <f xml:space="preserve"> IF( 'From SvanPC++'!A169= "", "", ('From SvanPC++'!A169))</f>
        <v/>
      </c>
      <c r="B179" s="35" t="s">
        <v>308</v>
      </c>
      <c r="C179" s="34">
        <v>38.1</v>
      </c>
      <c r="D179" s="36"/>
      <c r="E179" s="20">
        <v>44178</v>
      </c>
      <c r="F179" s="19">
        <v>0.28125</v>
      </c>
      <c r="H179" s="34">
        <v>38.1</v>
      </c>
      <c r="I179" s="19"/>
      <c r="L179" s="20">
        <v>44178</v>
      </c>
      <c r="M179" s="19">
        <v>0.28125</v>
      </c>
      <c r="N179" s="19"/>
      <c r="S179" s="36"/>
      <c r="T179" s="36"/>
    </row>
    <row r="180" spans="1:20" s="38" customFormat="1" ht="15.75" x14ac:dyDescent="0.3">
      <c r="A180" s="36" t="str">
        <f xml:space="preserve"> IF( 'From SvanPC++'!A170= "", "", ('From SvanPC++'!A170))</f>
        <v/>
      </c>
      <c r="B180" s="35" t="s">
        <v>309</v>
      </c>
      <c r="C180" s="34">
        <v>35.700000000000003</v>
      </c>
      <c r="D180" s="36"/>
      <c r="E180" s="20">
        <v>44178</v>
      </c>
      <c r="F180" s="19">
        <v>0.29166666666666669</v>
      </c>
      <c r="H180" s="34">
        <v>35.700000000000003</v>
      </c>
      <c r="I180" s="106">
        <f>AVERAGE(H177:H180)</f>
        <v>36.099999999999994</v>
      </c>
      <c r="L180" s="20">
        <v>44178</v>
      </c>
      <c r="M180" s="19">
        <v>0.29166666666666669</v>
      </c>
      <c r="N180" s="106">
        <v>36.099999999999994</v>
      </c>
      <c r="S180" s="36"/>
      <c r="T180" s="36"/>
    </row>
    <row r="181" spans="1:20" s="38" customFormat="1" ht="15.75" hidden="1" x14ac:dyDescent="0.3">
      <c r="A181" s="36" t="str">
        <f xml:space="preserve"> IF( 'From SvanPC++'!A171= "", "", ('From SvanPC++'!A171))</f>
        <v/>
      </c>
      <c r="B181" s="35" t="s">
        <v>310</v>
      </c>
      <c r="C181" s="34">
        <v>37.1</v>
      </c>
      <c r="D181" s="36"/>
      <c r="E181" s="20">
        <v>44178</v>
      </c>
      <c r="F181" s="19">
        <v>0.30208333333333331</v>
      </c>
      <c r="H181" s="34">
        <v>37.1</v>
      </c>
      <c r="I181" s="19"/>
      <c r="L181" s="20">
        <v>44178</v>
      </c>
      <c r="M181" s="19">
        <v>0.30208333333333331</v>
      </c>
      <c r="N181" s="19"/>
      <c r="S181" s="36"/>
      <c r="T181" s="36"/>
    </row>
    <row r="182" spans="1:20" s="38" customFormat="1" ht="15.75" hidden="1" x14ac:dyDescent="0.3">
      <c r="A182" s="36" t="str">
        <f xml:space="preserve"> IF( 'From SvanPC++'!A172= "", "", ('From SvanPC++'!A172))</f>
        <v/>
      </c>
      <c r="B182" s="35" t="s">
        <v>311</v>
      </c>
      <c r="C182" s="34">
        <v>36.9</v>
      </c>
      <c r="D182" s="36"/>
      <c r="E182" s="20">
        <v>44178</v>
      </c>
      <c r="F182" s="19">
        <v>0.3125</v>
      </c>
      <c r="H182" s="34">
        <v>36.9</v>
      </c>
      <c r="I182" s="19"/>
      <c r="L182" s="20">
        <v>44178</v>
      </c>
      <c r="M182" s="19">
        <v>0.3125</v>
      </c>
      <c r="N182" s="19"/>
      <c r="S182" s="36"/>
      <c r="T182" s="36"/>
    </row>
    <row r="183" spans="1:20" s="38" customFormat="1" ht="15.75" hidden="1" x14ac:dyDescent="0.3">
      <c r="A183" s="36" t="str">
        <f xml:space="preserve"> IF( 'From SvanPC++'!A173= "", "", ('From SvanPC++'!A173))</f>
        <v/>
      </c>
      <c r="B183" s="35" t="s">
        <v>312</v>
      </c>
      <c r="C183" s="34">
        <v>37.1</v>
      </c>
      <c r="D183" s="36"/>
      <c r="E183" s="20">
        <v>44178</v>
      </c>
      <c r="F183" s="19">
        <v>0.32291666666666669</v>
      </c>
      <c r="H183" s="34">
        <v>37.1</v>
      </c>
      <c r="I183" s="19"/>
      <c r="L183" s="20">
        <v>44178</v>
      </c>
      <c r="M183" s="19">
        <v>0.32291666666666669</v>
      </c>
      <c r="N183" s="19"/>
      <c r="S183" s="36"/>
      <c r="T183" s="36"/>
    </row>
    <row r="184" spans="1:20" s="38" customFormat="1" ht="15.75" x14ac:dyDescent="0.3">
      <c r="A184" s="36" t="str">
        <f xml:space="preserve"> IF( 'From SvanPC++'!A174= "", "", ('From SvanPC++'!A174))</f>
        <v/>
      </c>
      <c r="B184" s="35" t="s">
        <v>313</v>
      </c>
      <c r="C184" s="34">
        <v>40.299999999999997</v>
      </c>
      <c r="D184" s="36"/>
      <c r="E184" s="20">
        <v>44178</v>
      </c>
      <c r="F184" s="19">
        <v>0.33333333333333331</v>
      </c>
      <c r="H184" s="34">
        <v>40.299999999999997</v>
      </c>
      <c r="I184" s="106">
        <f>AVERAGE(H181:H184)</f>
        <v>37.849999999999994</v>
      </c>
      <c r="L184" s="20">
        <v>44178</v>
      </c>
      <c r="M184" s="19">
        <v>0.33333333333333331</v>
      </c>
      <c r="N184" s="106">
        <v>37.849999999999994</v>
      </c>
      <c r="S184" s="36"/>
      <c r="T184" s="36"/>
    </row>
    <row r="185" spans="1:20" s="38" customFormat="1" ht="15.75" hidden="1" x14ac:dyDescent="0.3">
      <c r="A185" s="36" t="str">
        <f xml:space="preserve"> IF( 'From SvanPC++'!A175= "", "", ('From SvanPC++'!A175))</f>
        <v/>
      </c>
      <c r="B185" s="35" t="s">
        <v>314</v>
      </c>
      <c r="C185" s="34">
        <v>39.5</v>
      </c>
      <c r="D185" s="36"/>
      <c r="E185" s="20">
        <v>44178</v>
      </c>
      <c r="F185" s="19">
        <v>0.34375</v>
      </c>
      <c r="H185" s="34">
        <v>39.5</v>
      </c>
      <c r="I185" s="19"/>
      <c r="L185" s="20">
        <v>44178</v>
      </c>
      <c r="M185" s="19">
        <v>0.34375</v>
      </c>
      <c r="N185" s="19"/>
      <c r="S185" s="36"/>
      <c r="T185" s="36"/>
    </row>
    <row r="186" spans="1:20" s="38" customFormat="1" ht="15.75" hidden="1" x14ac:dyDescent="0.3">
      <c r="A186" s="36" t="str">
        <f xml:space="preserve"> IF( 'From SvanPC++'!A176= "", "", ('From SvanPC++'!A176))</f>
        <v/>
      </c>
      <c r="B186" s="35" t="s">
        <v>315</v>
      </c>
      <c r="C186" s="34">
        <v>41.5</v>
      </c>
      <c r="D186" s="36"/>
      <c r="E186" s="20">
        <v>44178</v>
      </c>
      <c r="F186" s="19">
        <v>0.35416666666666669</v>
      </c>
      <c r="H186" s="34">
        <v>41.5</v>
      </c>
      <c r="I186" s="19"/>
      <c r="L186" s="20">
        <v>44178</v>
      </c>
      <c r="M186" s="19">
        <v>0.35416666666666669</v>
      </c>
      <c r="N186" s="19"/>
      <c r="S186" s="36"/>
      <c r="T186" s="36"/>
    </row>
    <row r="187" spans="1:20" s="38" customFormat="1" ht="15.75" hidden="1" x14ac:dyDescent="0.3">
      <c r="A187" s="36" t="str">
        <f xml:space="preserve"> IF( 'From SvanPC++'!A177= "", "", ('From SvanPC++'!A177))</f>
        <v/>
      </c>
      <c r="B187" s="35" t="s">
        <v>316</v>
      </c>
      <c r="C187" s="34">
        <v>41.8</v>
      </c>
      <c r="D187" s="36"/>
      <c r="E187" s="20">
        <v>44178</v>
      </c>
      <c r="F187" s="19">
        <v>0.36458333333333331</v>
      </c>
      <c r="H187" s="34">
        <v>41.8</v>
      </c>
      <c r="I187" s="19"/>
      <c r="L187" s="20">
        <v>44178</v>
      </c>
      <c r="M187" s="19">
        <v>0.36458333333333331</v>
      </c>
      <c r="N187" s="19"/>
      <c r="S187" s="36"/>
      <c r="T187" s="36"/>
    </row>
    <row r="188" spans="1:20" s="38" customFormat="1" ht="15.75" x14ac:dyDescent="0.3">
      <c r="A188" s="36" t="str">
        <f xml:space="preserve"> IF( 'From SvanPC++'!A178= "", "", ('From SvanPC++'!A178))</f>
        <v/>
      </c>
      <c r="B188" s="35" t="s">
        <v>317</v>
      </c>
      <c r="C188" s="34">
        <v>42</v>
      </c>
      <c r="D188" s="36"/>
      <c r="E188" s="20">
        <v>44178</v>
      </c>
      <c r="F188" s="19">
        <v>0.375</v>
      </c>
      <c r="H188" s="34">
        <v>42</v>
      </c>
      <c r="I188" s="106">
        <f>AVERAGE(H185:H188)</f>
        <v>41.2</v>
      </c>
      <c r="L188" s="20">
        <v>44178</v>
      </c>
      <c r="M188" s="19">
        <v>0.375</v>
      </c>
      <c r="N188" s="106">
        <v>41.2</v>
      </c>
      <c r="S188" s="36"/>
      <c r="T188" s="36"/>
    </row>
    <row r="189" spans="1:20" s="38" customFormat="1" ht="15.75" hidden="1" x14ac:dyDescent="0.3">
      <c r="A189" s="36" t="str">
        <f xml:space="preserve"> IF( 'From SvanPC++'!A179= "", "", ('From SvanPC++'!A179))</f>
        <v/>
      </c>
      <c r="B189" s="35" t="s">
        <v>318</v>
      </c>
      <c r="C189" s="34">
        <v>42.2</v>
      </c>
      <c r="D189" s="36"/>
      <c r="E189" s="20">
        <v>44178</v>
      </c>
      <c r="F189" s="19">
        <v>0.38541666666666669</v>
      </c>
      <c r="H189" s="34">
        <v>42.2</v>
      </c>
      <c r="I189" s="19"/>
      <c r="L189" s="20">
        <v>44178</v>
      </c>
      <c r="M189" s="19">
        <v>0.38541666666666669</v>
      </c>
      <c r="N189" s="19"/>
      <c r="S189" s="36"/>
      <c r="T189" s="36"/>
    </row>
    <row r="190" spans="1:20" s="38" customFormat="1" ht="15.75" hidden="1" x14ac:dyDescent="0.3">
      <c r="A190" s="36" t="str">
        <f xml:space="preserve"> IF( 'From SvanPC++'!A180= "", "", ('From SvanPC++'!A180))</f>
        <v/>
      </c>
      <c r="B190" s="35" t="s">
        <v>319</v>
      </c>
      <c r="C190" s="34">
        <v>42.3</v>
      </c>
      <c r="D190" s="36"/>
      <c r="E190" s="20">
        <v>44178</v>
      </c>
      <c r="F190" s="19">
        <v>0.39583333333333331</v>
      </c>
      <c r="H190" s="34">
        <v>42.3</v>
      </c>
      <c r="I190" s="19"/>
      <c r="L190" s="20">
        <v>44178</v>
      </c>
      <c r="M190" s="19">
        <v>0.39583333333333331</v>
      </c>
      <c r="N190" s="19"/>
      <c r="S190" s="36"/>
      <c r="T190" s="36"/>
    </row>
    <row r="191" spans="1:20" s="38" customFormat="1" ht="15.75" hidden="1" x14ac:dyDescent="0.3">
      <c r="A191" s="36" t="str">
        <f xml:space="preserve"> IF( 'From SvanPC++'!A181= "", "", ('From SvanPC++'!A181))</f>
        <v/>
      </c>
      <c r="B191" s="35" t="s">
        <v>320</v>
      </c>
      <c r="C191" s="34">
        <v>41.9</v>
      </c>
      <c r="D191" s="36"/>
      <c r="E191" s="20">
        <v>44178</v>
      </c>
      <c r="F191" s="19">
        <v>0.40625</v>
      </c>
      <c r="H191" s="34">
        <v>41.9</v>
      </c>
      <c r="I191" s="19"/>
      <c r="L191" s="20">
        <v>44178</v>
      </c>
      <c r="M191" s="19">
        <v>0.40625</v>
      </c>
      <c r="N191" s="19"/>
      <c r="S191" s="36"/>
      <c r="T191" s="36"/>
    </row>
    <row r="192" spans="1:20" s="38" customFormat="1" ht="15.75" x14ac:dyDescent="0.3">
      <c r="A192" s="36" t="str">
        <f xml:space="preserve"> IF( 'From SvanPC++'!A182= "", "", ('From SvanPC++'!A182))</f>
        <v/>
      </c>
      <c r="B192" s="35" t="s">
        <v>321</v>
      </c>
      <c r="C192" s="34">
        <v>42.3</v>
      </c>
      <c r="D192" s="36"/>
      <c r="E192" s="20">
        <v>44178</v>
      </c>
      <c r="F192" s="19">
        <v>0.41666666666666669</v>
      </c>
      <c r="H192" s="34">
        <v>42.3</v>
      </c>
      <c r="I192" s="106">
        <f>AVERAGE(H189:H192)</f>
        <v>42.174999999999997</v>
      </c>
      <c r="L192" s="20">
        <v>44178</v>
      </c>
      <c r="M192" s="19">
        <v>0.41666666666666669</v>
      </c>
      <c r="N192" s="106">
        <v>42.174999999999997</v>
      </c>
      <c r="S192" s="36"/>
      <c r="T192" s="36"/>
    </row>
    <row r="193" spans="1:20" s="38" customFormat="1" ht="15.75" hidden="1" x14ac:dyDescent="0.3">
      <c r="A193" s="36" t="str">
        <f xml:space="preserve"> IF( 'From SvanPC++'!A183= "", "", ('From SvanPC++'!A183))</f>
        <v/>
      </c>
      <c r="B193" s="35" t="s">
        <v>322</v>
      </c>
      <c r="C193" s="34">
        <v>41.9</v>
      </c>
      <c r="D193" s="36"/>
      <c r="E193" s="20">
        <v>44178</v>
      </c>
      <c r="F193" s="19">
        <v>0.42708333333333331</v>
      </c>
      <c r="H193" s="34">
        <v>41.9</v>
      </c>
      <c r="I193" s="19"/>
      <c r="L193" s="20">
        <v>44178</v>
      </c>
      <c r="M193" s="19">
        <v>0.42708333333333331</v>
      </c>
      <c r="N193" s="19"/>
      <c r="S193" s="36"/>
      <c r="T193" s="36"/>
    </row>
    <row r="194" spans="1:20" s="38" customFormat="1" ht="15.75" hidden="1" x14ac:dyDescent="0.3">
      <c r="A194" s="36" t="str">
        <f xml:space="preserve"> IF( 'From SvanPC++'!A184= "", "", ('From SvanPC++'!A184))</f>
        <v/>
      </c>
      <c r="B194" s="35" t="s">
        <v>323</v>
      </c>
      <c r="C194" s="34">
        <v>42</v>
      </c>
      <c r="D194" s="36"/>
      <c r="E194" s="20">
        <v>44178</v>
      </c>
      <c r="F194" s="19">
        <v>0.4375</v>
      </c>
      <c r="H194" s="34">
        <v>42</v>
      </c>
      <c r="I194" s="19"/>
      <c r="L194" s="20">
        <v>44178</v>
      </c>
      <c r="M194" s="19">
        <v>0.4375</v>
      </c>
      <c r="N194" s="19"/>
      <c r="S194" s="36"/>
      <c r="T194" s="36"/>
    </row>
    <row r="195" spans="1:20" s="38" customFormat="1" ht="15.75" hidden="1" x14ac:dyDescent="0.3">
      <c r="A195" s="36" t="str">
        <f xml:space="preserve"> IF( 'From SvanPC++'!A185= "", "", ('From SvanPC++'!A185))</f>
        <v/>
      </c>
      <c r="B195" s="35" t="s">
        <v>324</v>
      </c>
      <c r="C195" s="34">
        <v>42.4</v>
      </c>
      <c r="D195" s="36"/>
      <c r="E195" s="20">
        <v>44178</v>
      </c>
      <c r="F195" s="19">
        <v>0.44791666666666669</v>
      </c>
      <c r="H195" s="34">
        <v>42.4</v>
      </c>
      <c r="I195" s="19"/>
      <c r="L195" s="20">
        <v>44178</v>
      </c>
      <c r="M195" s="19">
        <v>0.44791666666666669</v>
      </c>
      <c r="N195" s="19"/>
      <c r="S195" s="36"/>
      <c r="T195" s="36"/>
    </row>
    <row r="196" spans="1:20" s="38" customFormat="1" ht="15.75" x14ac:dyDescent="0.3">
      <c r="A196" s="36" t="str">
        <f xml:space="preserve"> IF( 'From SvanPC++'!A186= "", "", ('From SvanPC++'!A186))</f>
        <v/>
      </c>
      <c r="B196" s="35" t="s">
        <v>325</v>
      </c>
      <c r="C196" s="34">
        <v>41.9</v>
      </c>
      <c r="D196" s="36"/>
      <c r="E196" s="20">
        <v>44178</v>
      </c>
      <c r="F196" s="19">
        <v>0.45833333333333331</v>
      </c>
      <c r="H196" s="34">
        <v>41.9</v>
      </c>
      <c r="I196" s="106">
        <f>AVERAGE(H193:H196)</f>
        <v>42.050000000000004</v>
      </c>
      <c r="L196" s="20">
        <v>44178</v>
      </c>
      <c r="M196" s="19">
        <v>0.45833333333333331</v>
      </c>
      <c r="N196" s="106">
        <v>42.050000000000004</v>
      </c>
      <c r="S196" s="36"/>
      <c r="T196" s="36"/>
    </row>
    <row r="197" spans="1:20" s="38" customFormat="1" ht="15.75" hidden="1" x14ac:dyDescent="0.3">
      <c r="A197" s="36" t="str">
        <f xml:space="preserve"> IF( 'From SvanPC++'!A187= "", "", ('From SvanPC++'!A187))</f>
        <v/>
      </c>
      <c r="B197" s="35" t="s">
        <v>326</v>
      </c>
      <c r="C197" s="34">
        <v>40.799999999999997</v>
      </c>
      <c r="D197" s="36"/>
      <c r="E197" s="20">
        <v>44178</v>
      </c>
      <c r="F197" s="19">
        <v>0.46875</v>
      </c>
      <c r="H197" s="34">
        <v>40.799999999999997</v>
      </c>
      <c r="I197" s="19"/>
      <c r="L197" s="20">
        <v>44178</v>
      </c>
      <c r="M197" s="19">
        <v>0.46875</v>
      </c>
      <c r="N197" s="19"/>
      <c r="S197" s="36"/>
      <c r="T197" s="36"/>
    </row>
    <row r="198" spans="1:20" s="38" customFormat="1" ht="15.75" hidden="1" x14ac:dyDescent="0.3">
      <c r="A198" s="36" t="str">
        <f xml:space="preserve"> IF( 'From SvanPC++'!A188= "", "", ('From SvanPC++'!A188))</f>
        <v/>
      </c>
      <c r="B198" s="35" t="s">
        <v>327</v>
      </c>
      <c r="C198" s="34">
        <v>41.5</v>
      </c>
      <c r="D198" s="36"/>
      <c r="E198" s="20">
        <v>44178</v>
      </c>
      <c r="F198" s="19">
        <v>0.47916666666666669</v>
      </c>
      <c r="H198" s="34">
        <v>41.5</v>
      </c>
      <c r="I198" s="19"/>
      <c r="L198" s="20">
        <v>44178</v>
      </c>
      <c r="M198" s="19">
        <v>0.47916666666666669</v>
      </c>
      <c r="N198" s="19"/>
      <c r="S198" s="36"/>
      <c r="T198" s="36"/>
    </row>
    <row r="199" spans="1:20" s="38" customFormat="1" ht="15.75" hidden="1" x14ac:dyDescent="0.3">
      <c r="A199" s="36" t="str">
        <f xml:space="preserve"> IF( 'From SvanPC++'!A189= "", "", ('From SvanPC++'!A189))</f>
        <v/>
      </c>
      <c r="B199" s="35" t="s">
        <v>328</v>
      </c>
      <c r="C199" s="34">
        <v>42.7</v>
      </c>
      <c r="D199" s="36"/>
      <c r="E199" s="20">
        <v>44178</v>
      </c>
      <c r="F199" s="19">
        <v>0.48958333333333331</v>
      </c>
      <c r="H199" s="34">
        <v>42.7</v>
      </c>
      <c r="I199" s="19"/>
      <c r="L199" s="20">
        <v>44178</v>
      </c>
      <c r="M199" s="19">
        <v>0.48958333333333331</v>
      </c>
      <c r="N199" s="19"/>
      <c r="S199" s="36"/>
      <c r="T199" s="36"/>
    </row>
    <row r="200" spans="1:20" s="38" customFormat="1" ht="15.75" x14ac:dyDescent="0.3">
      <c r="A200" s="36" t="str">
        <f xml:space="preserve"> IF( 'From SvanPC++'!A190= "", "", ('From SvanPC++'!A190))</f>
        <v/>
      </c>
      <c r="B200" s="35" t="s">
        <v>329</v>
      </c>
      <c r="C200" s="34">
        <v>42.4</v>
      </c>
      <c r="D200" s="36"/>
      <c r="E200" s="20">
        <v>44178</v>
      </c>
      <c r="F200" s="19">
        <v>0.5</v>
      </c>
      <c r="H200" s="34">
        <v>42.4</v>
      </c>
      <c r="I200" s="106">
        <f>AVERAGE(H197:H200)</f>
        <v>41.85</v>
      </c>
      <c r="L200" s="20">
        <v>44178</v>
      </c>
      <c r="M200" s="19">
        <v>0.5</v>
      </c>
      <c r="N200" s="106">
        <v>41.85</v>
      </c>
      <c r="S200" s="36"/>
      <c r="T200" s="36"/>
    </row>
    <row r="201" spans="1:20" s="38" customFormat="1" ht="15.75" hidden="1" x14ac:dyDescent="0.3">
      <c r="A201" s="36" t="str">
        <f xml:space="preserve"> IF( 'From SvanPC++'!A191= "", "", ('From SvanPC++'!A191))</f>
        <v/>
      </c>
      <c r="B201" s="35" t="s">
        <v>330</v>
      </c>
      <c r="C201" s="34">
        <v>40.9</v>
      </c>
      <c r="D201" s="36"/>
      <c r="E201" s="20">
        <v>44178</v>
      </c>
      <c r="F201" s="19">
        <v>0.51041666666666663</v>
      </c>
      <c r="H201" s="34">
        <v>40.9</v>
      </c>
      <c r="I201" s="19"/>
      <c r="L201" s="20">
        <v>44178</v>
      </c>
      <c r="M201" s="19">
        <v>0.51041666666666663</v>
      </c>
      <c r="N201" s="19"/>
      <c r="S201" s="36"/>
      <c r="T201" s="36"/>
    </row>
    <row r="202" spans="1:20" s="38" customFormat="1" ht="15.75" hidden="1" x14ac:dyDescent="0.3">
      <c r="A202" s="36" t="str">
        <f xml:space="preserve"> IF( 'From SvanPC++'!A192= "", "", ('From SvanPC++'!A192))</f>
        <v/>
      </c>
      <c r="B202" s="35" t="s">
        <v>331</v>
      </c>
      <c r="C202" s="34">
        <v>41.1</v>
      </c>
      <c r="D202" s="36"/>
      <c r="E202" s="20">
        <v>44178</v>
      </c>
      <c r="F202" s="19">
        <v>0.52083333333333337</v>
      </c>
      <c r="H202" s="34">
        <v>41.1</v>
      </c>
      <c r="I202" s="19"/>
      <c r="L202" s="20">
        <v>44178</v>
      </c>
      <c r="M202" s="19">
        <v>0.52083333333333337</v>
      </c>
      <c r="N202" s="19"/>
      <c r="S202" s="36"/>
      <c r="T202" s="36"/>
    </row>
    <row r="203" spans="1:20" s="38" customFormat="1" ht="15.75" hidden="1" x14ac:dyDescent="0.3">
      <c r="A203" s="36" t="str">
        <f xml:space="preserve"> IF( 'From SvanPC++'!A193= "", "", ('From SvanPC++'!A193))</f>
        <v/>
      </c>
      <c r="B203" s="35" t="s">
        <v>332</v>
      </c>
      <c r="C203" s="34">
        <v>41.1</v>
      </c>
      <c r="D203" s="36"/>
      <c r="E203" s="20">
        <v>44178</v>
      </c>
      <c r="F203" s="19">
        <v>0.53125</v>
      </c>
      <c r="H203" s="34">
        <v>41.1</v>
      </c>
      <c r="I203" s="19"/>
      <c r="L203" s="20">
        <v>44178</v>
      </c>
      <c r="M203" s="19">
        <v>0.53125</v>
      </c>
      <c r="N203" s="19"/>
      <c r="S203" s="36"/>
      <c r="T203" s="36"/>
    </row>
    <row r="204" spans="1:20" s="38" customFormat="1" ht="15.75" x14ac:dyDescent="0.3">
      <c r="A204" s="36" t="str">
        <f xml:space="preserve"> IF( 'From SvanPC++'!A194= "", "", ('From SvanPC++'!A194))</f>
        <v/>
      </c>
      <c r="B204" s="35" t="s">
        <v>333</v>
      </c>
      <c r="C204" s="34">
        <v>41.4</v>
      </c>
      <c r="D204" s="36"/>
      <c r="E204" s="20">
        <v>44178</v>
      </c>
      <c r="F204" s="19">
        <v>0.54166666666666663</v>
      </c>
      <c r="H204" s="34">
        <v>41.4</v>
      </c>
      <c r="I204" s="106">
        <f>AVERAGE(H201:H204)</f>
        <v>41.125</v>
      </c>
      <c r="L204" s="20">
        <v>44178</v>
      </c>
      <c r="M204" s="19">
        <v>0.54166666666666663</v>
      </c>
      <c r="N204" s="106">
        <v>41.125</v>
      </c>
      <c r="S204" s="36"/>
      <c r="T204" s="36"/>
    </row>
    <row r="205" spans="1:20" s="38" customFormat="1" ht="15.75" hidden="1" x14ac:dyDescent="0.3">
      <c r="A205" s="36" t="str">
        <f xml:space="preserve"> IF( 'From SvanPC++'!A195= "", "", ('From SvanPC++'!A195))</f>
        <v/>
      </c>
      <c r="B205" s="35" t="s">
        <v>334</v>
      </c>
      <c r="C205" s="34">
        <v>40.9</v>
      </c>
      <c r="D205" s="36"/>
      <c r="E205" s="20">
        <v>44178</v>
      </c>
      <c r="F205" s="19">
        <v>0.55208333333333337</v>
      </c>
      <c r="H205" s="34">
        <v>40.9</v>
      </c>
      <c r="I205" s="19"/>
      <c r="L205" s="20">
        <v>44178</v>
      </c>
      <c r="M205" s="19">
        <v>0.55208333333333337</v>
      </c>
      <c r="N205" s="19"/>
      <c r="S205" s="36"/>
      <c r="T205" s="36"/>
    </row>
    <row r="206" spans="1:20" s="38" customFormat="1" ht="15.75" hidden="1" x14ac:dyDescent="0.3">
      <c r="A206" s="36" t="str">
        <f xml:space="preserve"> IF( 'From SvanPC++'!A196= "", "", ('From SvanPC++'!A196))</f>
        <v/>
      </c>
      <c r="B206" s="35" t="s">
        <v>335</v>
      </c>
      <c r="C206" s="34">
        <v>40.4</v>
      </c>
      <c r="D206" s="36"/>
      <c r="E206" s="20">
        <v>44178</v>
      </c>
      <c r="F206" s="19">
        <v>0.5625</v>
      </c>
      <c r="H206" s="34">
        <v>40.4</v>
      </c>
      <c r="I206" s="19"/>
      <c r="L206" s="20">
        <v>44178</v>
      </c>
      <c r="M206" s="19">
        <v>0.5625</v>
      </c>
      <c r="N206" s="19"/>
      <c r="S206" s="36"/>
      <c r="T206" s="36"/>
    </row>
    <row r="207" spans="1:20" s="38" customFormat="1" ht="15.75" hidden="1" x14ac:dyDescent="0.3">
      <c r="A207" s="36" t="str">
        <f xml:space="preserve"> IF( 'From SvanPC++'!A197= "", "", ('From SvanPC++'!A197))</f>
        <v/>
      </c>
      <c r="B207" s="35" t="s">
        <v>336</v>
      </c>
      <c r="C207" s="34">
        <v>41.7</v>
      </c>
      <c r="D207" s="36"/>
      <c r="E207" s="20">
        <v>44178</v>
      </c>
      <c r="F207" s="19">
        <v>0.57291666666666663</v>
      </c>
      <c r="H207" s="34">
        <v>41.7</v>
      </c>
      <c r="I207" s="19"/>
      <c r="L207" s="20">
        <v>44178</v>
      </c>
      <c r="M207" s="19">
        <v>0.57291666666666663</v>
      </c>
      <c r="N207" s="19"/>
      <c r="S207" s="36"/>
      <c r="T207" s="36"/>
    </row>
    <row r="208" spans="1:20" s="38" customFormat="1" ht="15.75" x14ac:dyDescent="0.3">
      <c r="A208" s="36" t="str">
        <f xml:space="preserve"> IF( 'From SvanPC++'!A198= "", "", ('From SvanPC++'!A198))</f>
        <v/>
      </c>
      <c r="B208" s="35" t="s">
        <v>337</v>
      </c>
      <c r="C208" s="34">
        <v>41.1</v>
      </c>
      <c r="D208" s="36"/>
      <c r="E208" s="20">
        <v>44178</v>
      </c>
      <c r="F208" s="19">
        <v>0.58333333333333337</v>
      </c>
      <c r="H208" s="34">
        <v>41.1</v>
      </c>
      <c r="I208" s="106">
        <f>AVERAGE(H205:H208)</f>
        <v>41.024999999999999</v>
      </c>
      <c r="L208" s="20">
        <v>44178</v>
      </c>
      <c r="M208" s="19">
        <v>0.58333333333333337</v>
      </c>
      <c r="N208" s="106">
        <v>41.024999999999999</v>
      </c>
      <c r="S208" s="36"/>
      <c r="T208" s="36"/>
    </row>
    <row r="209" spans="1:20" s="38" customFormat="1" ht="15.75" hidden="1" x14ac:dyDescent="0.3">
      <c r="A209" s="36" t="str">
        <f xml:space="preserve"> IF( 'From SvanPC++'!A199= "", "", ('From SvanPC++'!A199))</f>
        <v/>
      </c>
      <c r="B209" s="35" t="s">
        <v>338</v>
      </c>
      <c r="C209" s="34">
        <v>40.700000000000003</v>
      </c>
      <c r="D209" s="36"/>
      <c r="E209" s="20">
        <v>44178</v>
      </c>
      <c r="F209" s="19">
        <v>0.59375</v>
      </c>
      <c r="H209" s="34">
        <v>40.700000000000003</v>
      </c>
      <c r="I209" s="19"/>
      <c r="L209" s="20">
        <v>44178</v>
      </c>
      <c r="M209" s="19">
        <v>0.59375</v>
      </c>
      <c r="N209" s="19"/>
      <c r="S209" s="36"/>
      <c r="T209" s="36"/>
    </row>
    <row r="210" spans="1:20" s="38" customFormat="1" ht="15.75" hidden="1" x14ac:dyDescent="0.3">
      <c r="A210" s="36" t="str">
        <f xml:space="preserve"> IF( 'From SvanPC++'!A200= "", "", ('From SvanPC++'!A200))</f>
        <v/>
      </c>
      <c r="B210" s="35" t="s">
        <v>339</v>
      </c>
      <c r="C210" s="34">
        <v>40.200000000000003</v>
      </c>
      <c r="D210" s="36"/>
      <c r="E210" s="20">
        <v>44178</v>
      </c>
      <c r="F210" s="19">
        <v>0.60416666666666663</v>
      </c>
      <c r="H210" s="34">
        <v>40.200000000000003</v>
      </c>
      <c r="I210" s="19"/>
      <c r="L210" s="20">
        <v>44178</v>
      </c>
      <c r="M210" s="19">
        <v>0.60416666666666663</v>
      </c>
      <c r="N210" s="19"/>
      <c r="S210" s="36"/>
      <c r="T210" s="36"/>
    </row>
    <row r="211" spans="1:20" s="38" customFormat="1" ht="15.75" hidden="1" x14ac:dyDescent="0.3">
      <c r="A211" s="36" t="str">
        <f xml:space="preserve"> IF( 'From SvanPC++'!A201= "", "", ('From SvanPC++'!A201))</f>
        <v/>
      </c>
      <c r="B211" s="35" t="s">
        <v>340</v>
      </c>
      <c r="C211" s="34">
        <v>40.299999999999997</v>
      </c>
      <c r="D211" s="36"/>
      <c r="E211" s="20">
        <v>44178</v>
      </c>
      <c r="F211" s="19">
        <v>0.61458333333333337</v>
      </c>
      <c r="H211" s="34">
        <v>40.299999999999997</v>
      </c>
      <c r="I211" s="19"/>
      <c r="L211" s="20">
        <v>44178</v>
      </c>
      <c r="M211" s="19">
        <v>0.61458333333333337</v>
      </c>
      <c r="N211" s="19"/>
      <c r="S211" s="36"/>
      <c r="T211" s="36"/>
    </row>
    <row r="212" spans="1:20" s="38" customFormat="1" ht="15.75" x14ac:dyDescent="0.3">
      <c r="A212" s="36" t="str">
        <f xml:space="preserve"> IF( 'From SvanPC++'!A202= "", "", ('From SvanPC++'!A202))</f>
        <v/>
      </c>
      <c r="B212" s="35" t="s">
        <v>341</v>
      </c>
      <c r="C212" s="34">
        <v>40.4</v>
      </c>
      <c r="D212" s="36"/>
      <c r="E212" s="20">
        <v>44178</v>
      </c>
      <c r="F212" s="19">
        <v>0.625</v>
      </c>
      <c r="H212" s="34">
        <v>40.4</v>
      </c>
      <c r="I212" s="106">
        <f>AVERAGE(H209:H212)</f>
        <v>40.4</v>
      </c>
      <c r="L212" s="20">
        <v>44178</v>
      </c>
      <c r="M212" s="19">
        <v>0.625</v>
      </c>
      <c r="N212" s="106">
        <v>40.4</v>
      </c>
      <c r="S212" s="36"/>
      <c r="T212" s="36"/>
    </row>
    <row r="213" spans="1:20" s="38" customFormat="1" ht="15.75" hidden="1" x14ac:dyDescent="0.3">
      <c r="A213" s="36" t="str">
        <f xml:space="preserve"> IF( 'From SvanPC++'!A203= "", "", ('From SvanPC++'!A203))</f>
        <v/>
      </c>
      <c r="B213" s="35" t="s">
        <v>342</v>
      </c>
      <c r="C213" s="34">
        <v>40.9</v>
      </c>
      <c r="D213" s="36"/>
      <c r="E213" s="20">
        <v>44178</v>
      </c>
      <c r="F213" s="19">
        <v>0.63541666666666663</v>
      </c>
      <c r="H213" s="34">
        <v>40.9</v>
      </c>
      <c r="I213" s="19"/>
      <c r="L213" s="20">
        <v>44178</v>
      </c>
      <c r="M213" s="19">
        <v>0.63541666666666663</v>
      </c>
      <c r="N213" s="19"/>
      <c r="S213" s="36"/>
      <c r="T213" s="36"/>
    </row>
    <row r="214" spans="1:20" s="38" customFormat="1" ht="15.75" hidden="1" x14ac:dyDescent="0.3">
      <c r="A214" s="36" t="str">
        <f xml:space="preserve"> IF( 'From SvanPC++'!A204= "", "", ('From SvanPC++'!A204))</f>
        <v/>
      </c>
      <c r="B214" s="35" t="s">
        <v>343</v>
      </c>
      <c r="C214" s="34">
        <v>40.4</v>
      </c>
      <c r="D214" s="36"/>
      <c r="E214" s="20">
        <v>44178</v>
      </c>
      <c r="F214" s="19">
        <v>0.64583333333333337</v>
      </c>
      <c r="H214" s="34">
        <v>40.4</v>
      </c>
      <c r="I214" s="19"/>
      <c r="L214" s="20">
        <v>44178</v>
      </c>
      <c r="M214" s="19">
        <v>0.64583333333333337</v>
      </c>
      <c r="N214" s="19"/>
      <c r="S214" s="36"/>
      <c r="T214" s="36"/>
    </row>
    <row r="215" spans="1:20" s="38" customFormat="1" ht="15.75" hidden="1" x14ac:dyDescent="0.3">
      <c r="A215" s="36" t="str">
        <f xml:space="preserve"> IF( 'From SvanPC++'!A205= "", "", ('From SvanPC++'!A205))</f>
        <v/>
      </c>
      <c r="B215" s="35" t="s">
        <v>344</v>
      </c>
      <c r="C215" s="34">
        <v>41.1</v>
      </c>
      <c r="D215" s="36"/>
      <c r="E215" s="20">
        <v>44178</v>
      </c>
      <c r="F215" s="19">
        <v>0.65625</v>
      </c>
      <c r="H215" s="34">
        <v>41.1</v>
      </c>
      <c r="I215" s="19"/>
      <c r="L215" s="20">
        <v>44178</v>
      </c>
      <c r="M215" s="19">
        <v>0.65625</v>
      </c>
      <c r="N215" s="19"/>
      <c r="S215" s="36"/>
      <c r="T215" s="36"/>
    </row>
    <row r="216" spans="1:20" s="38" customFormat="1" ht="15.75" x14ac:dyDescent="0.3">
      <c r="A216" s="36" t="str">
        <f xml:space="preserve"> IF( 'From SvanPC++'!A206= "", "", ('From SvanPC++'!A206))</f>
        <v/>
      </c>
      <c r="B216" s="35" t="s">
        <v>345</v>
      </c>
      <c r="C216" s="34">
        <v>41.1</v>
      </c>
      <c r="D216" s="36"/>
      <c r="E216" s="20">
        <v>44178</v>
      </c>
      <c r="F216" s="19">
        <v>0.66666666666666663</v>
      </c>
      <c r="H216" s="34">
        <v>41.1</v>
      </c>
      <c r="I216" s="106">
        <f>AVERAGE(H213:H216)</f>
        <v>40.875</v>
      </c>
      <c r="L216" s="20">
        <v>44178</v>
      </c>
      <c r="M216" s="19">
        <v>0.66666666666666663</v>
      </c>
      <c r="N216" s="106">
        <v>40.875</v>
      </c>
      <c r="S216" s="36"/>
      <c r="T216" s="36"/>
    </row>
    <row r="217" spans="1:20" s="38" customFormat="1" ht="15.75" hidden="1" x14ac:dyDescent="0.3">
      <c r="A217" s="36" t="str">
        <f xml:space="preserve"> IF( 'From SvanPC++'!A207= "", "", ('From SvanPC++'!A207))</f>
        <v/>
      </c>
      <c r="B217" s="35" t="s">
        <v>346</v>
      </c>
      <c r="C217" s="34">
        <v>40.200000000000003</v>
      </c>
      <c r="D217" s="36"/>
      <c r="E217" s="20">
        <v>44178</v>
      </c>
      <c r="F217" s="19">
        <v>0.67708333333333337</v>
      </c>
      <c r="H217" s="34">
        <v>40.200000000000003</v>
      </c>
      <c r="I217" s="19"/>
      <c r="L217" s="20">
        <v>44178</v>
      </c>
      <c r="M217" s="19">
        <v>0.67708333333333337</v>
      </c>
      <c r="N217" s="19"/>
      <c r="S217" s="36"/>
      <c r="T217" s="36"/>
    </row>
    <row r="218" spans="1:20" s="38" customFormat="1" ht="15.75" hidden="1" x14ac:dyDescent="0.3">
      <c r="A218" s="36" t="str">
        <f xml:space="preserve"> IF( 'From SvanPC++'!A208= "", "", ('From SvanPC++'!A208))</f>
        <v/>
      </c>
      <c r="B218" s="35" t="s">
        <v>347</v>
      </c>
      <c r="C218" s="34">
        <v>40.1</v>
      </c>
      <c r="D218" s="36"/>
      <c r="E218" s="20">
        <v>44178</v>
      </c>
      <c r="F218" s="19">
        <v>0.6875</v>
      </c>
      <c r="H218" s="34">
        <v>40.1</v>
      </c>
      <c r="I218" s="19"/>
      <c r="L218" s="20">
        <v>44178</v>
      </c>
      <c r="M218" s="19">
        <v>0.6875</v>
      </c>
      <c r="N218" s="19"/>
      <c r="S218" s="36"/>
      <c r="T218" s="36"/>
    </row>
    <row r="219" spans="1:20" s="38" customFormat="1" ht="15.75" hidden="1" x14ac:dyDescent="0.3">
      <c r="A219" s="36" t="str">
        <f xml:space="preserve"> IF( 'From SvanPC++'!A209= "", "", ('From SvanPC++'!A209))</f>
        <v/>
      </c>
      <c r="B219" s="35" t="s">
        <v>348</v>
      </c>
      <c r="C219" s="34">
        <v>39.9</v>
      </c>
      <c r="D219" s="36"/>
      <c r="E219" s="20">
        <v>44178</v>
      </c>
      <c r="F219" s="19">
        <v>0.69791666666666663</v>
      </c>
      <c r="H219" s="34">
        <v>39.9</v>
      </c>
      <c r="I219" s="19"/>
      <c r="L219" s="20">
        <v>44178</v>
      </c>
      <c r="M219" s="19">
        <v>0.69791666666666663</v>
      </c>
      <c r="N219" s="19"/>
      <c r="S219" s="36"/>
      <c r="T219" s="36"/>
    </row>
    <row r="220" spans="1:20" s="38" customFormat="1" ht="15.75" x14ac:dyDescent="0.3">
      <c r="A220" s="36" t="str">
        <f xml:space="preserve"> IF( 'From SvanPC++'!A210= "", "", ('From SvanPC++'!A210))</f>
        <v/>
      </c>
      <c r="B220" s="35" t="s">
        <v>349</v>
      </c>
      <c r="C220" s="34">
        <v>41.3</v>
      </c>
      <c r="D220" s="36"/>
      <c r="E220" s="20">
        <v>44178</v>
      </c>
      <c r="F220" s="19">
        <v>0.70833333333333337</v>
      </c>
      <c r="H220" s="34">
        <v>41.3</v>
      </c>
      <c r="I220" s="106">
        <f>AVERAGE(H217:H220)</f>
        <v>40.375</v>
      </c>
      <c r="L220" s="20">
        <v>44178</v>
      </c>
      <c r="M220" s="19">
        <v>0.70833333333333337</v>
      </c>
      <c r="N220" s="106">
        <v>40.375</v>
      </c>
      <c r="S220" s="36"/>
      <c r="T220" s="36"/>
    </row>
    <row r="221" spans="1:20" s="38" customFormat="1" ht="15.75" hidden="1" x14ac:dyDescent="0.3">
      <c r="A221" s="36" t="str">
        <f xml:space="preserve"> IF( 'From SvanPC++'!A211= "", "", ('From SvanPC++'!A211))</f>
        <v/>
      </c>
      <c r="B221" s="35" t="s">
        <v>350</v>
      </c>
      <c r="C221" s="34">
        <v>42.9</v>
      </c>
      <c r="D221" s="36"/>
      <c r="E221" s="20">
        <v>44178</v>
      </c>
      <c r="F221" s="19">
        <v>0.71875</v>
      </c>
      <c r="H221" s="34">
        <v>42.9</v>
      </c>
      <c r="I221" s="19"/>
      <c r="L221" s="20">
        <v>44178</v>
      </c>
      <c r="M221" s="19">
        <v>0.71875</v>
      </c>
      <c r="N221" s="19"/>
      <c r="S221" s="36"/>
      <c r="T221" s="36"/>
    </row>
    <row r="222" spans="1:20" s="38" customFormat="1" ht="15.75" hidden="1" x14ac:dyDescent="0.3">
      <c r="A222" s="36" t="str">
        <f xml:space="preserve"> IF( 'From SvanPC++'!A212= "", "", ('From SvanPC++'!A212))</f>
        <v/>
      </c>
      <c r="B222" s="35" t="s">
        <v>351</v>
      </c>
      <c r="C222" s="34">
        <v>42.1</v>
      </c>
      <c r="D222" s="36"/>
      <c r="E222" s="20">
        <v>44178</v>
      </c>
      <c r="F222" s="19">
        <v>0.72916666666666663</v>
      </c>
      <c r="H222" s="34">
        <v>42.1</v>
      </c>
      <c r="I222" s="19"/>
      <c r="L222" s="20">
        <v>44178</v>
      </c>
      <c r="M222" s="19">
        <v>0.72916666666666663</v>
      </c>
      <c r="N222" s="19"/>
      <c r="S222" s="36"/>
      <c r="T222" s="36"/>
    </row>
    <row r="223" spans="1:20" s="38" customFormat="1" ht="15.75" hidden="1" x14ac:dyDescent="0.3">
      <c r="A223" s="36" t="str">
        <f xml:space="preserve"> IF( 'From SvanPC++'!A213= "", "", ('From SvanPC++'!A213))</f>
        <v/>
      </c>
      <c r="B223" s="35" t="s">
        <v>352</v>
      </c>
      <c r="C223" s="34">
        <v>41.2</v>
      </c>
      <c r="D223" s="36"/>
      <c r="E223" s="20">
        <v>44178</v>
      </c>
      <c r="F223" s="19">
        <v>0.73958333333333337</v>
      </c>
      <c r="H223" s="34">
        <v>41.2</v>
      </c>
      <c r="I223" s="19"/>
      <c r="L223" s="20">
        <v>44178</v>
      </c>
      <c r="M223" s="19">
        <v>0.73958333333333337</v>
      </c>
      <c r="N223" s="19"/>
      <c r="S223" s="36"/>
      <c r="T223" s="36"/>
    </row>
    <row r="224" spans="1:20" s="38" customFormat="1" ht="15.75" x14ac:dyDescent="0.3">
      <c r="A224" s="36" t="str">
        <f xml:space="preserve"> IF( 'From SvanPC++'!A214= "", "", ('From SvanPC++'!A214))</f>
        <v/>
      </c>
      <c r="B224" s="35" t="s">
        <v>353</v>
      </c>
      <c r="C224" s="34">
        <v>40.700000000000003</v>
      </c>
      <c r="D224" s="36"/>
      <c r="E224" s="20">
        <v>44178</v>
      </c>
      <c r="F224" s="19">
        <v>0.75</v>
      </c>
      <c r="H224" s="34">
        <v>40.700000000000003</v>
      </c>
      <c r="I224" s="106">
        <f>AVERAGE(H221:H224)</f>
        <v>41.725000000000001</v>
      </c>
      <c r="L224" s="20">
        <v>44178</v>
      </c>
      <c r="M224" s="19">
        <v>0.75</v>
      </c>
      <c r="N224" s="106">
        <v>41.725000000000001</v>
      </c>
      <c r="S224" s="36"/>
      <c r="T224" s="36"/>
    </row>
    <row r="225" spans="1:20" s="38" customFormat="1" ht="15.75" hidden="1" x14ac:dyDescent="0.3">
      <c r="A225" s="36" t="str">
        <f xml:space="preserve"> IF( 'From SvanPC++'!A215= "", "", ('From SvanPC++'!A215))</f>
        <v/>
      </c>
      <c r="B225" s="35" t="s">
        <v>354</v>
      </c>
      <c r="C225" s="34">
        <v>41.2</v>
      </c>
      <c r="D225" s="36"/>
      <c r="E225" s="20">
        <v>44178</v>
      </c>
      <c r="F225" s="19">
        <v>0.76041666666666663</v>
      </c>
      <c r="H225" s="34">
        <v>41.2</v>
      </c>
      <c r="I225" s="19"/>
      <c r="L225" s="20">
        <v>44178</v>
      </c>
      <c r="M225" s="19">
        <v>0.76041666666666663</v>
      </c>
      <c r="N225" s="19"/>
      <c r="S225" s="36"/>
      <c r="T225" s="36"/>
    </row>
    <row r="226" spans="1:20" s="38" customFormat="1" ht="15.75" hidden="1" x14ac:dyDescent="0.3">
      <c r="A226" s="36" t="str">
        <f xml:space="preserve"> IF( 'From SvanPC++'!A216= "", "", ('From SvanPC++'!A216))</f>
        <v/>
      </c>
      <c r="B226" s="35" t="s">
        <v>355</v>
      </c>
      <c r="C226" s="34">
        <v>40.200000000000003</v>
      </c>
      <c r="D226" s="36"/>
      <c r="E226" s="20">
        <v>44178</v>
      </c>
      <c r="F226" s="19">
        <v>0.77083333333333337</v>
      </c>
      <c r="H226" s="34">
        <v>40.200000000000003</v>
      </c>
      <c r="I226" s="19"/>
      <c r="L226" s="20">
        <v>44178</v>
      </c>
      <c r="M226" s="19">
        <v>0.77083333333333337</v>
      </c>
      <c r="N226" s="19"/>
      <c r="S226" s="36"/>
      <c r="T226" s="36"/>
    </row>
    <row r="227" spans="1:20" s="38" customFormat="1" ht="15.75" hidden="1" x14ac:dyDescent="0.3">
      <c r="A227" s="36" t="str">
        <f xml:space="preserve"> IF( 'From SvanPC++'!A217= "", "", ('From SvanPC++'!A217))</f>
        <v/>
      </c>
      <c r="B227" s="35" t="s">
        <v>356</v>
      </c>
      <c r="C227" s="34">
        <v>40.9</v>
      </c>
      <c r="D227" s="36"/>
      <c r="E227" s="20">
        <v>44178</v>
      </c>
      <c r="F227" s="19">
        <v>0.78125</v>
      </c>
      <c r="H227" s="34">
        <v>40.9</v>
      </c>
      <c r="I227" s="19"/>
      <c r="L227" s="20">
        <v>44178</v>
      </c>
      <c r="M227" s="19">
        <v>0.78125</v>
      </c>
      <c r="N227" s="19"/>
      <c r="S227" s="36"/>
      <c r="T227" s="36"/>
    </row>
    <row r="228" spans="1:20" s="38" customFormat="1" ht="15.75" x14ac:dyDescent="0.3">
      <c r="A228" s="36" t="str">
        <f xml:space="preserve"> IF( 'From SvanPC++'!A218= "", "", ('From SvanPC++'!A218))</f>
        <v/>
      </c>
      <c r="B228" s="35" t="s">
        <v>357</v>
      </c>
      <c r="C228" s="34">
        <v>42.2</v>
      </c>
      <c r="D228" s="36"/>
      <c r="E228" s="20">
        <v>44178</v>
      </c>
      <c r="F228" s="19">
        <v>0.79166666666666663</v>
      </c>
      <c r="H228" s="34">
        <v>42.2</v>
      </c>
      <c r="I228" s="106">
        <f>AVERAGE(H225:H228)</f>
        <v>41.125</v>
      </c>
      <c r="L228" s="20">
        <v>44178</v>
      </c>
      <c r="M228" s="19">
        <v>0.79166666666666663</v>
      </c>
      <c r="N228" s="106">
        <v>41.125</v>
      </c>
      <c r="S228" s="36"/>
      <c r="T228" s="36"/>
    </row>
    <row r="229" spans="1:20" s="38" customFormat="1" ht="15.75" hidden="1" x14ac:dyDescent="0.3">
      <c r="A229" s="36" t="str">
        <f xml:space="preserve"> IF( 'From SvanPC++'!A219= "", "", ('From SvanPC++'!A219))</f>
        <v/>
      </c>
      <c r="B229" s="35" t="s">
        <v>358</v>
      </c>
      <c r="C229" s="34">
        <v>39.700000000000003</v>
      </c>
      <c r="D229" s="36"/>
      <c r="E229" s="20">
        <v>44178</v>
      </c>
      <c r="F229" s="19">
        <v>0.80208333333333337</v>
      </c>
      <c r="H229" s="34">
        <v>39.700000000000003</v>
      </c>
      <c r="I229" s="19"/>
      <c r="L229" s="20">
        <v>44178</v>
      </c>
      <c r="M229" s="19">
        <v>0.80208333333333337</v>
      </c>
      <c r="N229" s="19"/>
      <c r="S229" s="36"/>
      <c r="T229" s="36"/>
    </row>
    <row r="230" spans="1:20" s="38" customFormat="1" ht="15.75" hidden="1" x14ac:dyDescent="0.3">
      <c r="A230" s="36" t="str">
        <f xml:space="preserve"> IF( 'From SvanPC++'!A220= "", "", ('From SvanPC++'!A220))</f>
        <v/>
      </c>
      <c r="B230" s="35" t="s">
        <v>359</v>
      </c>
      <c r="C230" s="34">
        <v>39.299999999999997</v>
      </c>
      <c r="D230" s="36"/>
      <c r="E230" s="20">
        <v>44178</v>
      </c>
      <c r="F230" s="19">
        <v>0.8125</v>
      </c>
      <c r="H230" s="34">
        <v>39.299999999999997</v>
      </c>
      <c r="I230" s="19"/>
      <c r="L230" s="20">
        <v>44178</v>
      </c>
      <c r="M230" s="19">
        <v>0.8125</v>
      </c>
      <c r="N230" s="19"/>
      <c r="S230" s="36"/>
      <c r="T230" s="36"/>
    </row>
    <row r="231" spans="1:20" s="38" customFormat="1" ht="15.75" hidden="1" x14ac:dyDescent="0.3">
      <c r="A231" s="36" t="str">
        <f xml:space="preserve"> IF( 'From SvanPC++'!A221= "", "", ('From SvanPC++'!A221))</f>
        <v/>
      </c>
      <c r="B231" s="35" t="s">
        <v>360</v>
      </c>
      <c r="C231" s="34">
        <v>40</v>
      </c>
      <c r="D231" s="36"/>
      <c r="E231" s="20">
        <v>44178</v>
      </c>
      <c r="F231" s="19">
        <v>0.82291666666666663</v>
      </c>
      <c r="H231" s="34">
        <v>40</v>
      </c>
      <c r="I231" s="19"/>
      <c r="L231" s="20">
        <v>44178</v>
      </c>
      <c r="M231" s="19">
        <v>0.82291666666666663</v>
      </c>
      <c r="N231" s="19"/>
      <c r="S231" s="36"/>
      <c r="T231" s="36"/>
    </row>
    <row r="232" spans="1:20" s="38" customFormat="1" ht="15.75" x14ac:dyDescent="0.3">
      <c r="A232" s="36" t="str">
        <f xml:space="preserve"> IF( 'From SvanPC++'!A222= "", "", ('From SvanPC++'!A222))</f>
        <v/>
      </c>
      <c r="B232" s="35" t="s">
        <v>361</v>
      </c>
      <c r="C232" s="34">
        <v>39.200000000000003</v>
      </c>
      <c r="D232" s="36"/>
      <c r="E232" s="20">
        <v>44178</v>
      </c>
      <c r="F232" s="19">
        <v>0.83333333333333337</v>
      </c>
      <c r="H232" s="34">
        <v>39.200000000000003</v>
      </c>
      <c r="I232" s="106">
        <f>AVERAGE(H229:H232)</f>
        <v>39.549999999999997</v>
      </c>
      <c r="L232" s="20">
        <v>44178</v>
      </c>
      <c r="M232" s="19">
        <v>0.83333333333333337</v>
      </c>
      <c r="N232" s="106">
        <v>39.549999999999997</v>
      </c>
      <c r="S232" s="36"/>
      <c r="T232" s="36"/>
    </row>
    <row r="233" spans="1:20" s="38" customFormat="1" ht="15.75" hidden="1" x14ac:dyDescent="0.3">
      <c r="A233" s="36" t="str">
        <f xml:space="preserve"> IF( 'From SvanPC++'!A223= "", "", ('From SvanPC++'!A223))</f>
        <v/>
      </c>
      <c r="B233" s="35" t="s">
        <v>362</v>
      </c>
      <c r="C233" s="34">
        <v>38.4</v>
      </c>
      <c r="D233" s="36"/>
      <c r="E233" s="20">
        <v>44178</v>
      </c>
      <c r="F233" s="19">
        <v>0.84375</v>
      </c>
      <c r="H233" s="34">
        <v>38.4</v>
      </c>
      <c r="I233" s="19"/>
      <c r="L233" s="20">
        <v>44178</v>
      </c>
      <c r="M233" s="19">
        <v>0.84375</v>
      </c>
      <c r="N233" s="19"/>
      <c r="S233" s="36"/>
      <c r="T233" s="36"/>
    </row>
    <row r="234" spans="1:20" s="38" customFormat="1" ht="15.75" hidden="1" x14ac:dyDescent="0.3">
      <c r="A234" s="36" t="str">
        <f xml:space="preserve"> IF( 'From SvanPC++'!A224= "", "", ('From SvanPC++'!A224))</f>
        <v/>
      </c>
      <c r="B234" s="35" t="s">
        <v>363</v>
      </c>
      <c r="C234" s="34">
        <v>38.299999999999997</v>
      </c>
      <c r="D234" s="36"/>
      <c r="E234" s="20">
        <v>44178</v>
      </c>
      <c r="F234" s="19">
        <v>0.85416666666666663</v>
      </c>
      <c r="H234" s="34">
        <v>38.299999999999997</v>
      </c>
      <c r="I234" s="19"/>
      <c r="L234" s="20">
        <v>44178</v>
      </c>
      <c r="M234" s="19">
        <v>0.85416666666666663</v>
      </c>
      <c r="N234" s="19"/>
      <c r="S234" s="36"/>
      <c r="T234" s="36"/>
    </row>
    <row r="235" spans="1:20" s="38" customFormat="1" ht="15.75" hidden="1" x14ac:dyDescent="0.3">
      <c r="A235" s="36" t="str">
        <f xml:space="preserve"> IF( 'From SvanPC++'!A225= "", "", ('From SvanPC++'!A225))</f>
        <v/>
      </c>
      <c r="B235" s="35" t="s">
        <v>364</v>
      </c>
      <c r="C235" s="34">
        <v>39.799999999999997</v>
      </c>
      <c r="D235" s="36"/>
      <c r="E235" s="20">
        <v>44178</v>
      </c>
      <c r="F235" s="19">
        <v>0.86458333333333337</v>
      </c>
      <c r="H235" s="34">
        <v>39.799999999999997</v>
      </c>
      <c r="I235" s="19"/>
      <c r="L235" s="20">
        <v>44178</v>
      </c>
      <c r="M235" s="19">
        <v>0.86458333333333337</v>
      </c>
      <c r="N235" s="19"/>
      <c r="S235" s="36"/>
      <c r="T235" s="36"/>
    </row>
    <row r="236" spans="1:20" s="38" customFormat="1" ht="15.75" x14ac:dyDescent="0.3">
      <c r="A236" s="36" t="str">
        <f xml:space="preserve"> IF( 'From SvanPC++'!A226= "", "", ('From SvanPC++'!A226))</f>
        <v/>
      </c>
      <c r="B236" s="35" t="s">
        <v>365</v>
      </c>
      <c r="C236" s="34">
        <v>41</v>
      </c>
      <c r="D236" s="36"/>
      <c r="E236" s="20">
        <v>44178</v>
      </c>
      <c r="F236" s="19">
        <v>0.875</v>
      </c>
      <c r="H236" s="34">
        <v>41</v>
      </c>
      <c r="I236" s="106">
        <f>AVERAGE(H233:H236)</f>
        <v>39.375</v>
      </c>
      <c r="L236" s="20">
        <v>44178</v>
      </c>
      <c r="M236" s="19">
        <v>0.875</v>
      </c>
      <c r="N236" s="106">
        <v>39.375</v>
      </c>
      <c r="S236" s="36"/>
      <c r="T236" s="36"/>
    </row>
    <row r="237" spans="1:20" s="38" customFormat="1" ht="15.75" hidden="1" x14ac:dyDescent="0.3">
      <c r="A237" s="36" t="str">
        <f xml:space="preserve"> IF( 'From SvanPC++'!A227= "", "", ('From SvanPC++'!A227))</f>
        <v/>
      </c>
      <c r="B237" s="35" t="s">
        <v>366</v>
      </c>
      <c r="C237" s="34">
        <v>55.1</v>
      </c>
      <c r="D237" s="36"/>
      <c r="E237" s="20">
        <v>44178</v>
      </c>
      <c r="F237" s="19">
        <v>0.88541666666666663</v>
      </c>
      <c r="H237" s="34">
        <v>55.1</v>
      </c>
      <c r="I237" s="19"/>
      <c r="L237" s="20">
        <v>44178</v>
      </c>
      <c r="M237" s="19">
        <v>0.88541666666666663</v>
      </c>
      <c r="N237" s="19"/>
      <c r="S237" s="36"/>
      <c r="T237" s="36"/>
    </row>
    <row r="238" spans="1:20" s="38" customFormat="1" ht="15.75" hidden="1" x14ac:dyDescent="0.3">
      <c r="A238" s="36" t="str">
        <f xml:space="preserve"> IF( 'From SvanPC++'!A228= "", "", ('From SvanPC++'!A228))</f>
        <v/>
      </c>
      <c r="B238" s="35" t="s">
        <v>367</v>
      </c>
      <c r="C238" s="34">
        <v>43.5</v>
      </c>
      <c r="D238" s="36"/>
      <c r="E238" s="20">
        <v>44178</v>
      </c>
      <c r="F238" s="19">
        <v>0.89583333333333337</v>
      </c>
      <c r="H238" s="34">
        <v>43.5</v>
      </c>
      <c r="I238" s="19"/>
      <c r="L238" s="20">
        <v>44178</v>
      </c>
      <c r="M238" s="19">
        <v>0.89583333333333337</v>
      </c>
      <c r="N238" s="19"/>
      <c r="S238" s="36"/>
      <c r="T238" s="36"/>
    </row>
    <row r="239" spans="1:20" s="38" customFormat="1" ht="15.75" hidden="1" x14ac:dyDescent="0.3">
      <c r="A239" s="36" t="str">
        <f xml:space="preserve"> IF( 'From SvanPC++'!A229= "", "", ('From SvanPC++'!A229))</f>
        <v/>
      </c>
      <c r="B239" s="35" t="s">
        <v>368</v>
      </c>
      <c r="C239" s="34">
        <v>37.700000000000003</v>
      </c>
      <c r="D239" s="36"/>
      <c r="E239" s="20">
        <v>44178</v>
      </c>
      <c r="F239" s="19">
        <v>0.90625</v>
      </c>
      <c r="H239" s="34">
        <v>37.700000000000003</v>
      </c>
      <c r="I239" s="19"/>
      <c r="L239" s="20">
        <v>44178</v>
      </c>
      <c r="M239" s="19">
        <v>0.90625</v>
      </c>
      <c r="N239" s="19"/>
      <c r="S239" s="36"/>
      <c r="T239" s="36"/>
    </row>
    <row r="240" spans="1:20" s="38" customFormat="1" ht="15.75" x14ac:dyDescent="0.3">
      <c r="A240" s="36" t="str">
        <f xml:space="preserve"> IF( 'From SvanPC++'!A230= "", "", ('From SvanPC++'!A230))</f>
        <v/>
      </c>
      <c r="B240" s="35" t="s">
        <v>369</v>
      </c>
      <c r="C240" s="34">
        <v>38</v>
      </c>
      <c r="D240" s="36"/>
      <c r="E240" s="20">
        <v>44178</v>
      </c>
      <c r="F240" s="19">
        <v>0.91666666666666663</v>
      </c>
      <c r="H240" s="34">
        <v>38</v>
      </c>
      <c r="I240" s="106">
        <f>AVERAGE(H237:H240)</f>
        <v>43.575000000000003</v>
      </c>
      <c r="L240" s="20">
        <v>44178</v>
      </c>
      <c r="M240" s="19">
        <v>0.91666666666666663</v>
      </c>
      <c r="N240" s="106">
        <v>43.575000000000003</v>
      </c>
      <c r="S240" s="36"/>
      <c r="T240" s="36"/>
    </row>
    <row r="241" spans="1:20" s="38" customFormat="1" ht="15.75" hidden="1" x14ac:dyDescent="0.3">
      <c r="A241" s="36" t="str">
        <f xml:space="preserve"> IF( 'From SvanPC++'!A231= "", "", ('From SvanPC++'!A231))</f>
        <v/>
      </c>
      <c r="B241" s="35" t="s">
        <v>370</v>
      </c>
      <c r="C241" s="34">
        <v>37.1</v>
      </c>
      <c r="D241" s="36"/>
      <c r="E241" s="20">
        <v>44178</v>
      </c>
      <c r="F241" s="19">
        <v>0.92708333333333337</v>
      </c>
      <c r="H241" s="34">
        <v>37.1</v>
      </c>
      <c r="I241" s="19"/>
      <c r="L241" s="20">
        <v>44178</v>
      </c>
      <c r="M241" s="19">
        <v>0.92708333333333337</v>
      </c>
      <c r="N241" s="19"/>
      <c r="S241" s="36"/>
      <c r="T241" s="36"/>
    </row>
    <row r="242" spans="1:20" s="38" customFormat="1" ht="15.75" hidden="1" x14ac:dyDescent="0.3">
      <c r="A242" s="36" t="str">
        <f xml:space="preserve"> IF( 'From SvanPC++'!A232= "", "", ('From SvanPC++'!A232))</f>
        <v/>
      </c>
      <c r="B242" s="35" t="s">
        <v>371</v>
      </c>
      <c r="C242" s="34">
        <v>34.1</v>
      </c>
      <c r="D242" s="36"/>
      <c r="E242" s="20">
        <v>44178</v>
      </c>
      <c r="F242" s="19">
        <v>0.9375</v>
      </c>
      <c r="H242" s="34">
        <v>34.1</v>
      </c>
      <c r="I242" s="19"/>
      <c r="L242" s="20">
        <v>44178</v>
      </c>
      <c r="M242" s="19">
        <v>0.9375</v>
      </c>
      <c r="N242" s="19"/>
      <c r="S242" s="36"/>
      <c r="T242" s="36"/>
    </row>
    <row r="243" spans="1:20" s="38" customFormat="1" ht="15.75" hidden="1" x14ac:dyDescent="0.3">
      <c r="A243" s="36" t="str">
        <f xml:space="preserve"> IF( 'From SvanPC++'!A233= "", "", ('From SvanPC++'!A233))</f>
        <v/>
      </c>
      <c r="B243" s="35" t="s">
        <v>372</v>
      </c>
      <c r="C243" s="34">
        <v>35.200000000000003</v>
      </c>
      <c r="D243" s="36"/>
      <c r="E243" s="20">
        <v>44178</v>
      </c>
      <c r="F243" s="19">
        <v>0.94791666666666663</v>
      </c>
      <c r="H243" s="34">
        <v>35.200000000000003</v>
      </c>
      <c r="I243" s="19"/>
      <c r="L243" s="20">
        <v>44178</v>
      </c>
      <c r="M243" s="19">
        <v>0.94791666666666663</v>
      </c>
      <c r="N243" s="19"/>
      <c r="S243" s="36"/>
      <c r="T243" s="36"/>
    </row>
    <row r="244" spans="1:20" s="38" customFormat="1" ht="15.75" x14ac:dyDescent="0.3">
      <c r="A244" s="36" t="str">
        <f xml:space="preserve"> IF( 'From SvanPC++'!A234= "", "", ('From SvanPC++'!A234))</f>
        <v/>
      </c>
      <c r="B244" s="35" t="s">
        <v>373</v>
      </c>
      <c r="C244" s="34">
        <v>32.700000000000003</v>
      </c>
      <c r="D244" s="36"/>
      <c r="E244" s="20">
        <v>44178</v>
      </c>
      <c r="F244" s="19">
        <v>0.95833333333333337</v>
      </c>
      <c r="H244" s="34">
        <v>32.700000000000003</v>
      </c>
      <c r="I244" s="106">
        <f>AVERAGE(H241:H244)</f>
        <v>34.775000000000006</v>
      </c>
      <c r="L244" s="20">
        <v>44178</v>
      </c>
      <c r="M244" s="19">
        <v>0.95833333333333337</v>
      </c>
      <c r="N244" s="106">
        <v>34.775000000000006</v>
      </c>
      <c r="S244" s="36"/>
      <c r="T244" s="36"/>
    </row>
    <row r="245" spans="1:20" s="38" customFormat="1" ht="15.75" hidden="1" x14ac:dyDescent="0.3">
      <c r="A245" s="36" t="str">
        <f xml:space="preserve"> IF( 'From SvanPC++'!A235= "", "", ('From SvanPC++'!A235))</f>
        <v/>
      </c>
      <c r="B245" s="35" t="s">
        <v>374</v>
      </c>
      <c r="C245" s="34">
        <v>31.4</v>
      </c>
      <c r="D245" s="36"/>
      <c r="E245" s="20">
        <v>44178</v>
      </c>
      <c r="F245" s="19">
        <v>0.96875</v>
      </c>
      <c r="H245" s="34">
        <v>31.4</v>
      </c>
      <c r="I245" s="19"/>
      <c r="L245" s="20">
        <v>44178</v>
      </c>
      <c r="M245" s="19">
        <v>0.96875</v>
      </c>
      <c r="N245" s="19"/>
      <c r="S245" s="36"/>
      <c r="T245" s="36"/>
    </row>
    <row r="246" spans="1:20" s="38" customFormat="1" ht="15.75" hidden="1" x14ac:dyDescent="0.3">
      <c r="A246" s="36" t="str">
        <f xml:space="preserve"> IF( 'From SvanPC++'!A236= "", "", ('From SvanPC++'!A236))</f>
        <v/>
      </c>
      <c r="B246" s="35" t="s">
        <v>375</v>
      </c>
      <c r="C246" s="34">
        <v>33.299999999999997</v>
      </c>
      <c r="D246" s="36"/>
      <c r="E246" s="20">
        <v>44178</v>
      </c>
      <c r="F246" s="19">
        <v>0.97916666666666663</v>
      </c>
      <c r="H246" s="34">
        <v>33.299999999999997</v>
      </c>
      <c r="I246" s="19"/>
      <c r="L246" s="20">
        <v>44178</v>
      </c>
      <c r="M246" s="19">
        <v>0.97916666666666663</v>
      </c>
      <c r="N246" s="19"/>
      <c r="S246" s="36"/>
      <c r="T246" s="36"/>
    </row>
    <row r="247" spans="1:20" s="38" customFormat="1" ht="15.75" hidden="1" x14ac:dyDescent="0.3">
      <c r="A247" s="36" t="str">
        <f xml:space="preserve"> IF( 'From SvanPC++'!A237= "", "", ('From SvanPC++'!A237))</f>
        <v/>
      </c>
      <c r="B247" s="35" t="s">
        <v>376</v>
      </c>
      <c r="C247" s="34">
        <v>33</v>
      </c>
      <c r="D247" s="36"/>
      <c r="E247" s="20">
        <v>44178</v>
      </c>
      <c r="F247" s="19">
        <v>0.98958333333333337</v>
      </c>
      <c r="H247" s="34">
        <v>33</v>
      </c>
      <c r="I247" s="19"/>
      <c r="L247" s="20">
        <v>44178</v>
      </c>
      <c r="M247" s="19">
        <v>0.98958333333333337</v>
      </c>
      <c r="N247" s="19"/>
      <c r="S247" s="36"/>
      <c r="T247" s="36"/>
    </row>
    <row r="248" spans="1:20" s="38" customFormat="1" ht="15.75" x14ac:dyDescent="0.3">
      <c r="A248" s="36" t="str">
        <f xml:space="preserve"> IF( 'From SvanPC++'!A238= "", "", ('From SvanPC++'!A238))</f>
        <v/>
      </c>
      <c r="B248" s="35" t="s">
        <v>377</v>
      </c>
      <c r="C248" s="34">
        <v>32.6</v>
      </c>
      <c r="D248" s="36"/>
      <c r="E248" s="20">
        <v>44179</v>
      </c>
      <c r="F248" s="19">
        <v>0</v>
      </c>
      <c r="H248" s="34">
        <v>32.6</v>
      </c>
      <c r="I248" s="106">
        <f>AVERAGE(H245:H248)</f>
        <v>32.574999999999996</v>
      </c>
      <c r="L248" s="20">
        <v>44179</v>
      </c>
      <c r="M248" s="19">
        <v>0</v>
      </c>
      <c r="N248" s="106">
        <v>32.574999999999996</v>
      </c>
      <c r="S248" s="36"/>
      <c r="T248" s="36"/>
    </row>
    <row r="249" spans="1:20" s="38" customFormat="1" ht="15.75" hidden="1" x14ac:dyDescent="0.3">
      <c r="A249" s="36" t="str">
        <f xml:space="preserve"> IF( 'From SvanPC++'!A239= "", "", ('From SvanPC++'!A239))</f>
        <v/>
      </c>
      <c r="B249" s="35" t="s">
        <v>378</v>
      </c>
      <c r="C249" s="34">
        <v>32.4</v>
      </c>
      <c r="D249" s="36"/>
      <c r="E249" s="20">
        <v>44179</v>
      </c>
      <c r="F249" s="19">
        <v>1.0416666666666666E-2</v>
      </c>
      <c r="H249" s="34">
        <v>32.4</v>
      </c>
      <c r="I249" s="19"/>
      <c r="L249" s="20">
        <v>44179</v>
      </c>
      <c r="M249" s="19">
        <v>1.0416666666666666E-2</v>
      </c>
      <c r="N249" s="19"/>
      <c r="S249" s="36"/>
      <c r="T249" s="36"/>
    </row>
    <row r="250" spans="1:20" s="38" customFormat="1" ht="15.75" hidden="1" x14ac:dyDescent="0.3">
      <c r="A250" s="36" t="str">
        <f xml:space="preserve"> IF( 'From SvanPC++'!A240= "", "", ('From SvanPC++'!A240))</f>
        <v/>
      </c>
      <c r="B250" s="35" t="s">
        <v>379</v>
      </c>
      <c r="C250" s="34">
        <v>32.4</v>
      </c>
      <c r="D250" s="36"/>
      <c r="E250" s="20">
        <v>44179</v>
      </c>
      <c r="F250" s="19">
        <v>2.0833333333333332E-2</v>
      </c>
      <c r="H250" s="34">
        <v>32.4</v>
      </c>
      <c r="I250" s="19"/>
      <c r="L250" s="20">
        <v>44179</v>
      </c>
      <c r="M250" s="19">
        <v>2.0833333333333332E-2</v>
      </c>
      <c r="N250" s="19"/>
      <c r="S250" s="36"/>
      <c r="T250" s="36"/>
    </row>
    <row r="251" spans="1:20" s="38" customFormat="1" ht="15.75" hidden="1" x14ac:dyDescent="0.3">
      <c r="A251" s="36" t="str">
        <f xml:space="preserve"> IF( 'From SvanPC++'!A241= "", "", ('From SvanPC++'!A241))</f>
        <v/>
      </c>
      <c r="B251" s="35" t="s">
        <v>380</v>
      </c>
      <c r="C251" s="34">
        <v>27.8</v>
      </c>
      <c r="D251" s="36"/>
      <c r="E251" s="20">
        <v>44179</v>
      </c>
      <c r="F251" s="19">
        <v>3.125E-2</v>
      </c>
      <c r="H251" s="34">
        <v>27.8</v>
      </c>
      <c r="I251" s="19"/>
      <c r="L251" s="20">
        <v>44179</v>
      </c>
      <c r="M251" s="19">
        <v>3.125E-2</v>
      </c>
      <c r="N251" s="19"/>
      <c r="S251" s="36"/>
      <c r="T251" s="36"/>
    </row>
    <row r="252" spans="1:20" s="38" customFormat="1" ht="15.75" x14ac:dyDescent="0.3">
      <c r="A252" s="36" t="str">
        <f xml:space="preserve"> IF( 'From SvanPC++'!A242= "", "", ('From SvanPC++'!A242))</f>
        <v/>
      </c>
      <c r="B252" s="35" t="s">
        <v>381</v>
      </c>
      <c r="C252" s="34">
        <v>26.2</v>
      </c>
      <c r="D252" s="36"/>
      <c r="E252" s="20">
        <v>44179</v>
      </c>
      <c r="F252" s="19">
        <v>4.1666666666666664E-2</v>
      </c>
      <c r="H252" s="34">
        <v>26.2</v>
      </c>
      <c r="I252" s="106">
        <f>AVERAGE(H249:H252)</f>
        <v>29.7</v>
      </c>
      <c r="L252" s="20">
        <v>44179</v>
      </c>
      <c r="M252" s="19">
        <v>4.1666666666666664E-2</v>
      </c>
      <c r="N252" s="106">
        <v>29.7</v>
      </c>
      <c r="S252" s="36"/>
      <c r="T252" s="36"/>
    </row>
    <row r="253" spans="1:20" s="38" customFormat="1" ht="15.75" hidden="1" x14ac:dyDescent="0.3">
      <c r="A253" s="36" t="str">
        <f xml:space="preserve"> IF( 'From SvanPC++'!A243= "", "", ('From SvanPC++'!A243))</f>
        <v/>
      </c>
      <c r="B253" s="35" t="s">
        <v>382</v>
      </c>
      <c r="C253" s="34">
        <v>31.6</v>
      </c>
      <c r="D253" s="36"/>
      <c r="E253" s="20">
        <v>44179</v>
      </c>
      <c r="F253" s="19">
        <v>5.2083333333333336E-2</v>
      </c>
      <c r="H253" s="34">
        <v>31.6</v>
      </c>
      <c r="I253" s="19"/>
      <c r="L253" s="20">
        <v>44179</v>
      </c>
      <c r="M253" s="19">
        <v>5.2083333333333336E-2</v>
      </c>
      <c r="N253" s="19"/>
      <c r="S253" s="36"/>
      <c r="T253" s="36"/>
    </row>
    <row r="254" spans="1:20" s="38" customFormat="1" ht="15.75" hidden="1" x14ac:dyDescent="0.3">
      <c r="A254" s="36" t="str">
        <f xml:space="preserve"> IF( 'From SvanPC++'!A244= "", "", ('From SvanPC++'!A244))</f>
        <v/>
      </c>
      <c r="B254" s="35" t="s">
        <v>383</v>
      </c>
      <c r="C254" s="34">
        <v>27.5</v>
      </c>
      <c r="D254" s="36"/>
      <c r="E254" s="20">
        <v>44179</v>
      </c>
      <c r="F254" s="19">
        <v>6.25E-2</v>
      </c>
      <c r="H254" s="34">
        <v>27.5</v>
      </c>
      <c r="I254" s="19"/>
      <c r="L254" s="20">
        <v>44179</v>
      </c>
      <c r="M254" s="19">
        <v>6.25E-2</v>
      </c>
      <c r="N254" s="19"/>
      <c r="S254" s="36"/>
      <c r="T254" s="36"/>
    </row>
    <row r="255" spans="1:20" s="38" customFormat="1" ht="15.75" hidden="1" x14ac:dyDescent="0.3">
      <c r="A255" s="36" t="str">
        <f xml:space="preserve"> IF( 'From SvanPC++'!A245= "", "", ('From SvanPC++'!A245))</f>
        <v/>
      </c>
      <c r="B255" s="35" t="s">
        <v>384</v>
      </c>
      <c r="C255" s="34">
        <v>26.9</v>
      </c>
      <c r="D255" s="36"/>
      <c r="E255" s="20">
        <v>44179</v>
      </c>
      <c r="F255" s="19">
        <v>7.2916666666666671E-2</v>
      </c>
      <c r="H255" s="34">
        <v>26.9</v>
      </c>
      <c r="I255" s="19"/>
      <c r="L255" s="20">
        <v>44179</v>
      </c>
      <c r="M255" s="19">
        <v>7.2916666666666671E-2</v>
      </c>
      <c r="N255" s="19"/>
      <c r="S255" s="36"/>
      <c r="T255" s="36"/>
    </row>
    <row r="256" spans="1:20" s="38" customFormat="1" ht="15.75" x14ac:dyDescent="0.3">
      <c r="A256" s="36" t="str">
        <f xml:space="preserve"> IF( 'From SvanPC++'!A246= "", "", ('From SvanPC++'!A246))</f>
        <v/>
      </c>
      <c r="B256" s="35" t="s">
        <v>385</v>
      </c>
      <c r="C256" s="34">
        <v>29.9</v>
      </c>
      <c r="D256" s="36"/>
      <c r="E256" s="20">
        <v>44179</v>
      </c>
      <c r="F256" s="19">
        <v>8.3333333333333329E-2</v>
      </c>
      <c r="H256" s="34">
        <v>29.9</v>
      </c>
      <c r="I256" s="106">
        <f>AVERAGE(H253:H256)</f>
        <v>28.975000000000001</v>
      </c>
      <c r="L256" s="20">
        <v>44179</v>
      </c>
      <c r="M256" s="19">
        <v>8.3333333333333329E-2</v>
      </c>
      <c r="N256" s="106">
        <v>28.975000000000001</v>
      </c>
      <c r="S256" s="36"/>
      <c r="T256" s="36"/>
    </row>
    <row r="257" spans="1:20" s="38" customFormat="1" ht="15.75" hidden="1" x14ac:dyDescent="0.3">
      <c r="A257" s="36" t="str">
        <f xml:space="preserve"> IF( 'From SvanPC++'!A247= "", "", ('From SvanPC++'!A247))</f>
        <v/>
      </c>
      <c r="B257" s="35" t="s">
        <v>386</v>
      </c>
      <c r="C257" s="34">
        <v>29.3</v>
      </c>
      <c r="D257" s="36"/>
      <c r="E257" s="20">
        <v>44179</v>
      </c>
      <c r="F257" s="19">
        <v>9.375E-2</v>
      </c>
      <c r="H257" s="34">
        <v>29.3</v>
      </c>
      <c r="I257" s="19"/>
      <c r="L257" s="20">
        <v>44179</v>
      </c>
      <c r="M257" s="19">
        <v>9.375E-2</v>
      </c>
      <c r="N257" s="19"/>
      <c r="S257" s="36"/>
      <c r="T257" s="36"/>
    </row>
    <row r="258" spans="1:20" s="38" customFormat="1" ht="15.75" hidden="1" x14ac:dyDescent="0.3">
      <c r="A258" s="36" t="str">
        <f xml:space="preserve"> IF( 'From SvanPC++'!A248= "", "", ('From SvanPC++'!A248))</f>
        <v/>
      </c>
      <c r="B258" s="35" t="s">
        <v>387</v>
      </c>
      <c r="C258" s="34">
        <v>25.3</v>
      </c>
      <c r="D258" s="36"/>
      <c r="E258" s="20">
        <v>44179</v>
      </c>
      <c r="F258" s="19">
        <v>0.10416666666666667</v>
      </c>
      <c r="H258" s="34">
        <v>25.3</v>
      </c>
      <c r="I258" s="19"/>
      <c r="L258" s="20">
        <v>44179</v>
      </c>
      <c r="M258" s="19">
        <v>0.10416666666666667</v>
      </c>
      <c r="N258" s="19"/>
      <c r="S258" s="36"/>
      <c r="T258" s="36"/>
    </row>
    <row r="259" spans="1:20" s="38" customFormat="1" ht="15.75" hidden="1" x14ac:dyDescent="0.3">
      <c r="A259" s="36" t="str">
        <f xml:space="preserve"> IF( 'From SvanPC++'!A249= "", "", ('From SvanPC++'!A249))</f>
        <v/>
      </c>
      <c r="B259" s="35" t="s">
        <v>388</v>
      </c>
      <c r="C259" s="34">
        <v>31.3</v>
      </c>
      <c r="D259" s="36"/>
      <c r="E259" s="20">
        <v>44179</v>
      </c>
      <c r="F259" s="19">
        <v>0.11458333333333333</v>
      </c>
      <c r="H259" s="34">
        <v>31.3</v>
      </c>
      <c r="I259" s="19"/>
      <c r="L259" s="20">
        <v>44179</v>
      </c>
      <c r="M259" s="19">
        <v>0.11458333333333333</v>
      </c>
      <c r="N259" s="19"/>
      <c r="S259" s="36"/>
      <c r="T259" s="36"/>
    </row>
    <row r="260" spans="1:20" s="38" customFormat="1" ht="15.75" x14ac:dyDescent="0.3">
      <c r="A260" s="36" t="str">
        <f xml:space="preserve"> IF( 'From SvanPC++'!A250= "", "", ('From SvanPC++'!A250))</f>
        <v/>
      </c>
      <c r="B260" s="35" t="s">
        <v>389</v>
      </c>
      <c r="C260" s="34">
        <v>25.6</v>
      </c>
      <c r="D260" s="36"/>
      <c r="E260" s="20">
        <v>44179</v>
      </c>
      <c r="F260" s="19">
        <v>0.125</v>
      </c>
      <c r="H260" s="34">
        <v>25.6</v>
      </c>
      <c r="I260" s="106">
        <f>AVERAGE(H257:H260)</f>
        <v>27.875</v>
      </c>
      <c r="L260" s="20">
        <v>44179</v>
      </c>
      <c r="M260" s="19">
        <v>0.125</v>
      </c>
      <c r="N260" s="106">
        <v>27.875</v>
      </c>
      <c r="S260" s="36"/>
      <c r="T260" s="36"/>
    </row>
    <row r="261" spans="1:20" s="38" customFormat="1" ht="15.75" hidden="1" x14ac:dyDescent="0.3">
      <c r="A261" s="36" t="str">
        <f xml:space="preserve"> IF( 'From SvanPC++'!A251= "", "", ('From SvanPC++'!A251))</f>
        <v/>
      </c>
      <c r="B261" s="35" t="s">
        <v>390</v>
      </c>
      <c r="C261" s="34">
        <v>25.2</v>
      </c>
      <c r="D261" s="36"/>
      <c r="E261" s="20">
        <v>44179</v>
      </c>
      <c r="F261" s="19">
        <v>0.13541666666666666</v>
      </c>
      <c r="H261" s="34">
        <v>25.2</v>
      </c>
      <c r="I261" s="19"/>
      <c r="L261" s="20">
        <v>44179</v>
      </c>
      <c r="M261" s="19">
        <v>0.13541666666666666</v>
      </c>
      <c r="N261" s="19"/>
      <c r="S261" s="36"/>
      <c r="T261" s="36"/>
    </row>
    <row r="262" spans="1:20" s="38" customFormat="1" ht="15.75" hidden="1" x14ac:dyDescent="0.3">
      <c r="A262" s="36" t="str">
        <f xml:space="preserve"> IF( 'From SvanPC++'!A252= "", "", ('From SvanPC++'!A252))</f>
        <v/>
      </c>
      <c r="B262" s="35" t="s">
        <v>391</v>
      </c>
      <c r="C262" s="34">
        <v>28.7</v>
      </c>
      <c r="D262" s="36"/>
      <c r="E262" s="20">
        <v>44179</v>
      </c>
      <c r="F262" s="19">
        <v>0.14583333333333334</v>
      </c>
      <c r="H262" s="34">
        <v>28.7</v>
      </c>
      <c r="I262" s="19"/>
      <c r="L262" s="20">
        <v>44179</v>
      </c>
      <c r="M262" s="19">
        <v>0.14583333333333334</v>
      </c>
      <c r="N262" s="19"/>
      <c r="S262" s="36"/>
      <c r="T262" s="36"/>
    </row>
    <row r="263" spans="1:20" s="38" customFormat="1" ht="15.75" hidden="1" x14ac:dyDescent="0.3">
      <c r="A263" s="36" t="str">
        <f xml:space="preserve"> IF( 'From SvanPC++'!A253= "", "", ('From SvanPC++'!A253))</f>
        <v/>
      </c>
      <c r="B263" s="35" t="s">
        <v>392</v>
      </c>
      <c r="C263" s="34">
        <v>25.3</v>
      </c>
      <c r="D263" s="36"/>
      <c r="E263" s="20">
        <v>44179</v>
      </c>
      <c r="F263" s="19">
        <v>0.15625</v>
      </c>
      <c r="H263" s="34">
        <v>25.3</v>
      </c>
      <c r="I263" s="19"/>
      <c r="L263" s="20">
        <v>44179</v>
      </c>
      <c r="M263" s="19">
        <v>0.15625</v>
      </c>
      <c r="N263" s="19"/>
      <c r="S263" s="36"/>
      <c r="T263" s="36"/>
    </row>
    <row r="264" spans="1:20" s="38" customFormat="1" ht="15.75" x14ac:dyDescent="0.3">
      <c r="A264" s="36" t="str">
        <f xml:space="preserve"> IF( 'From SvanPC++'!A254= "", "", ('From SvanPC++'!A254))</f>
        <v/>
      </c>
      <c r="B264" s="35" t="s">
        <v>393</v>
      </c>
      <c r="C264" s="34">
        <v>31.2</v>
      </c>
      <c r="D264" s="36"/>
      <c r="E264" s="20">
        <v>44179</v>
      </c>
      <c r="F264" s="19">
        <v>0.16666666666666666</v>
      </c>
      <c r="H264" s="34">
        <v>31.2</v>
      </c>
      <c r="I264" s="106">
        <f>AVERAGE(H261:H264)</f>
        <v>27.6</v>
      </c>
      <c r="L264" s="20">
        <v>44179</v>
      </c>
      <c r="M264" s="19">
        <v>0.16666666666666666</v>
      </c>
      <c r="N264" s="106">
        <v>27.6</v>
      </c>
      <c r="S264" s="36"/>
      <c r="T264" s="36"/>
    </row>
    <row r="265" spans="1:20" s="38" customFormat="1" ht="15.75" hidden="1" x14ac:dyDescent="0.3">
      <c r="A265" s="36" t="str">
        <f xml:space="preserve"> IF( 'From SvanPC++'!A255= "", "", ('From SvanPC++'!A255))</f>
        <v/>
      </c>
      <c r="B265" s="35" t="s">
        <v>394</v>
      </c>
      <c r="C265" s="34">
        <v>26.2</v>
      </c>
      <c r="D265" s="36"/>
      <c r="E265" s="20">
        <v>44179</v>
      </c>
      <c r="F265" s="19">
        <v>0.17708333333333334</v>
      </c>
      <c r="H265" s="34">
        <v>26.2</v>
      </c>
      <c r="I265" s="19"/>
      <c r="L265" s="20">
        <v>44179</v>
      </c>
      <c r="M265" s="19">
        <v>0.17708333333333334</v>
      </c>
      <c r="N265" s="19"/>
      <c r="S265" s="36"/>
      <c r="T265" s="36"/>
    </row>
    <row r="266" spans="1:20" s="38" customFormat="1" ht="15.75" hidden="1" x14ac:dyDescent="0.3">
      <c r="A266" s="36" t="str">
        <f xml:space="preserve"> IF( 'From SvanPC++'!A256= "", "", ('From SvanPC++'!A256))</f>
        <v/>
      </c>
      <c r="B266" s="35" t="s">
        <v>395</v>
      </c>
      <c r="C266" s="34">
        <v>27.9</v>
      </c>
      <c r="D266" s="36"/>
      <c r="E266" s="20">
        <v>44179</v>
      </c>
      <c r="F266" s="19">
        <v>0.1875</v>
      </c>
      <c r="H266" s="34">
        <v>27.9</v>
      </c>
      <c r="I266" s="19"/>
      <c r="L266" s="20">
        <v>44179</v>
      </c>
      <c r="M266" s="19">
        <v>0.1875</v>
      </c>
      <c r="N266" s="19"/>
      <c r="S266" s="36"/>
      <c r="T266" s="36"/>
    </row>
    <row r="267" spans="1:20" s="38" customFormat="1" ht="15.75" hidden="1" x14ac:dyDescent="0.3">
      <c r="A267" s="36" t="str">
        <f xml:space="preserve"> IF( 'From SvanPC++'!A257= "", "", ('From SvanPC++'!A257))</f>
        <v/>
      </c>
      <c r="B267" s="35" t="s">
        <v>396</v>
      </c>
      <c r="C267" s="34">
        <v>32</v>
      </c>
      <c r="D267" s="36"/>
      <c r="E267" s="20">
        <v>44179</v>
      </c>
      <c r="F267" s="19">
        <v>0.19791666666666666</v>
      </c>
      <c r="H267" s="34">
        <v>32</v>
      </c>
      <c r="I267" s="19"/>
      <c r="L267" s="20">
        <v>44179</v>
      </c>
      <c r="M267" s="19">
        <v>0.19791666666666666</v>
      </c>
      <c r="N267" s="19"/>
      <c r="S267" s="36"/>
      <c r="T267" s="36"/>
    </row>
    <row r="268" spans="1:20" s="38" customFormat="1" ht="15.75" x14ac:dyDescent="0.3">
      <c r="A268" s="36" t="str">
        <f xml:space="preserve"> IF( 'From SvanPC++'!A258= "", "", ('From SvanPC++'!A258))</f>
        <v/>
      </c>
      <c r="B268" s="35" t="s">
        <v>397</v>
      </c>
      <c r="C268" s="34">
        <v>29.2</v>
      </c>
      <c r="D268" s="36"/>
      <c r="E268" s="20">
        <v>44179</v>
      </c>
      <c r="F268" s="19">
        <v>0.20833333333333334</v>
      </c>
      <c r="H268" s="34">
        <v>29.2</v>
      </c>
      <c r="I268" s="106">
        <f>AVERAGE(H265:H268)</f>
        <v>28.824999999999999</v>
      </c>
      <c r="L268" s="20">
        <v>44179</v>
      </c>
      <c r="M268" s="19">
        <v>0.20833333333333334</v>
      </c>
      <c r="N268" s="106">
        <v>28.824999999999999</v>
      </c>
      <c r="S268" s="36"/>
      <c r="T268" s="36"/>
    </row>
    <row r="269" spans="1:20" s="38" customFormat="1" ht="15.75" hidden="1" x14ac:dyDescent="0.3">
      <c r="A269" s="36" t="str">
        <f xml:space="preserve"> IF( 'From SvanPC++'!A259= "", "", ('From SvanPC++'!A259))</f>
        <v/>
      </c>
      <c r="B269" s="35" t="s">
        <v>398</v>
      </c>
      <c r="C269" s="34">
        <v>36.1</v>
      </c>
      <c r="D269" s="36"/>
      <c r="E269" s="20">
        <v>44179</v>
      </c>
      <c r="F269" s="19">
        <v>0.21875</v>
      </c>
      <c r="H269" s="34">
        <v>36.1</v>
      </c>
      <c r="I269" s="19"/>
      <c r="L269" s="20">
        <v>44179</v>
      </c>
      <c r="M269" s="19">
        <v>0.21875</v>
      </c>
      <c r="N269" s="19"/>
      <c r="S269" s="36"/>
      <c r="T269" s="36"/>
    </row>
    <row r="270" spans="1:20" s="38" customFormat="1" ht="15.75" hidden="1" x14ac:dyDescent="0.3">
      <c r="A270" s="36" t="str">
        <f xml:space="preserve"> IF( 'From SvanPC++'!A260= "", "", ('From SvanPC++'!A260))</f>
        <v/>
      </c>
      <c r="B270" s="35" t="s">
        <v>399</v>
      </c>
      <c r="C270" s="34">
        <v>41</v>
      </c>
      <c r="D270" s="36"/>
      <c r="E270" s="20">
        <v>44179</v>
      </c>
      <c r="F270" s="19">
        <v>0.22916666666666666</v>
      </c>
      <c r="H270" s="34">
        <v>41</v>
      </c>
      <c r="I270" s="19"/>
      <c r="L270" s="20">
        <v>44179</v>
      </c>
      <c r="M270" s="19">
        <v>0.22916666666666666</v>
      </c>
      <c r="N270" s="19"/>
      <c r="S270" s="36"/>
      <c r="T270" s="36"/>
    </row>
    <row r="271" spans="1:20" s="38" customFormat="1" ht="15.75" hidden="1" x14ac:dyDescent="0.3">
      <c r="A271" s="36" t="str">
        <f xml:space="preserve"> IF( 'From SvanPC++'!A261= "", "", ('From SvanPC++'!A261))</f>
        <v/>
      </c>
      <c r="B271" s="35" t="s">
        <v>400</v>
      </c>
      <c r="C271" s="34">
        <v>40.299999999999997</v>
      </c>
      <c r="D271" s="36"/>
      <c r="E271" s="20">
        <v>44179</v>
      </c>
      <c r="F271" s="19">
        <v>0.23958333333333334</v>
      </c>
      <c r="H271" s="34">
        <v>40.299999999999997</v>
      </c>
      <c r="I271" s="19"/>
      <c r="L271" s="20">
        <v>44179</v>
      </c>
      <c r="M271" s="19">
        <v>0.23958333333333334</v>
      </c>
      <c r="N271" s="19"/>
      <c r="S271" s="36"/>
      <c r="T271" s="36"/>
    </row>
    <row r="272" spans="1:20" s="38" customFormat="1" ht="15.75" x14ac:dyDescent="0.3">
      <c r="A272" s="36" t="str">
        <f xml:space="preserve"> IF( 'From SvanPC++'!A262= "", "", ('From SvanPC++'!A262))</f>
        <v/>
      </c>
      <c r="B272" s="35" t="s">
        <v>401</v>
      </c>
      <c r="C272" s="34">
        <v>40.6</v>
      </c>
      <c r="D272" s="36"/>
      <c r="E272" s="20">
        <v>44179</v>
      </c>
      <c r="F272" s="19">
        <v>0.25</v>
      </c>
      <c r="H272" s="34">
        <v>40.6</v>
      </c>
      <c r="I272" s="106">
        <f>AVERAGE(H269:H272)</f>
        <v>39.5</v>
      </c>
      <c r="L272" s="20">
        <v>44179</v>
      </c>
      <c r="M272" s="19">
        <v>0.25</v>
      </c>
      <c r="N272" s="106">
        <v>39.5</v>
      </c>
      <c r="S272" s="36"/>
      <c r="T272" s="36"/>
    </row>
    <row r="273" spans="1:20" s="38" customFormat="1" ht="15.75" hidden="1" x14ac:dyDescent="0.3">
      <c r="A273" s="36" t="str">
        <f xml:space="preserve"> IF( 'From SvanPC++'!A263= "", "", ('From SvanPC++'!A263))</f>
        <v/>
      </c>
      <c r="B273" s="35" t="s">
        <v>402</v>
      </c>
      <c r="C273" s="34">
        <v>42</v>
      </c>
      <c r="D273" s="36"/>
      <c r="E273" s="20">
        <v>44179</v>
      </c>
      <c r="F273" s="19">
        <v>0.26041666666666669</v>
      </c>
      <c r="H273" s="34">
        <v>42</v>
      </c>
      <c r="I273" s="19"/>
      <c r="L273" s="20">
        <v>44179</v>
      </c>
      <c r="M273" s="19">
        <v>0.26041666666666669</v>
      </c>
      <c r="N273" s="19"/>
      <c r="S273" s="36"/>
      <c r="T273" s="36"/>
    </row>
    <row r="274" spans="1:20" s="38" customFormat="1" ht="15.75" hidden="1" x14ac:dyDescent="0.3">
      <c r="A274" s="36" t="str">
        <f xml:space="preserve"> IF( 'From SvanPC++'!A264= "", "", ('From SvanPC++'!A264))</f>
        <v/>
      </c>
      <c r="B274" s="35" t="s">
        <v>403</v>
      </c>
      <c r="C274" s="34">
        <v>42.3</v>
      </c>
      <c r="D274" s="36"/>
      <c r="E274" s="20">
        <v>44179</v>
      </c>
      <c r="F274" s="19">
        <v>0.27083333333333331</v>
      </c>
      <c r="H274" s="34">
        <v>42.3</v>
      </c>
      <c r="I274" s="19"/>
      <c r="L274" s="20">
        <v>44179</v>
      </c>
      <c r="M274" s="19">
        <v>0.27083333333333331</v>
      </c>
      <c r="N274" s="19"/>
      <c r="S274" s="36"/>
      <c r="T274" s="36"/>
    </row>
    <row r="275" spans="1:20" s="38" customFormat="1" ht="15.75" hidden="1" x14ac:dyDescent="0.3">
      <c r="A275" s="36" t="str">
        <f xml:space="preserve"> IF( 'From SvanPC++'!A265= "", "", ('From SvanPC++'!A265))</f>
        <v/>
      </c>
      <c r="B275" s="35" t="s">
        <v>404</v>
      </c>
      <c r="C275" s="34">
        <v>43.6</v>
      </c>
      <c r="D275" s="36"/>
      <c r="E275" s="20">
        <v>44179</v>
      </c>
      <c r="F275" s="19">
        <v>0.28125</v>
      </c>
      <c r="H275" s="34">
        <v>43.6</v>
      </c>
      <c r="I275" s="19"/>
      <c r="L275" s="20">
        <v>44179</v>
      </c>
      <c r="M275" s="19">
        <v>0.28125</v>
      </c>
      <c r="N275" s="19"/>
      <c r="S275" s="36"/>
      <c r="T275" s="36"/>
    </row>
    <row r="276" spans="1:20" s="38" customFormat="1" ht="15.75" x14ac:dyDescent="0.3">
      <c r="A276" s="36" t="str">
        <f xml:space="preserve"> IF( 'From SvanPC++'!A266= "", "", ('From SvanPC++'!A266))</f>
        <v/>
      </c>
      <c r="B276" s="35" t="s">
        <v>405</v>
      </c>
      <c r="C276" s="34">
        <v>43.4</v>
      </c>
      <c r="D276" s="36"/>
      <c r="E276" s="20">
        <v>44179</v>
      </c>
      <c r="F276" s="19">
        <v>0.29166666666666669</v>
      </c>
      <c r="H276" s="34">
        <v>43.4</v>
      </c>
      <c r="I276" s="106">
        <f>AVERAGE(H273:H276)</f>
        <v>42.825000000000003</v>
      </c>
      <c r="L276" s="20">
        <v>44179</v>
      </c>
      <c r="M276" s="19">
        <v>0.29166666666666669</v>
      </c>
      <c r="N276" s="106">
        <v>42.825000000000003</v>
      </c>
      <c r="S276" s="36"/>
      <c r="T276" s="36"/>
    </row>
    <row r="277" spans="1:20" s="38" customFormat="1" ht="15.75" hidden="1" x14ac:dyDescent="0.3">
      <c r="A277" s="36" t="str">
        <f xml:space="preserve"> IF( 'From SvanPC++'!A267= "", "", ('From SvanPC++'!A267))</f>
        <v/>
      </c>
      <c r="B277" s="35" t="s">
        <v>406</v>
      </c>
      <c r="C277" s="34">
        <v>41.9</v>
      </c>
      <c r="D277" s="36"/>
      <c r="E277" s="20">
        <v>44179</v>
      </c>
      <c r="F277" s="19">
        <v>0.30208333333333331</v>
      </c>
      <c r="H277" s="34">
        <v>41.9</v>
      </c>
      <c r="I277" s="19"/>
      <c r="L277" s="20">
        <v>44179</v>
      </c>
      <c r="M277" s="19">
        <v>0.30208333333333331</v>
      </c>
      <c r="N277" s="19"/>
      <c r="S277" s="36"/>
      <c r="T277" s="36"/>
    </row>
    <row r="278" spans="1:20" s="38" customFormat="1" ht="15.75" hidden="1" x14ac:dyDescent="0.3">
      <c r="A278" s="36" t="str">
        <f xml:space="preserve"> IF( 'From SvanPC++'!A268= "", "", ('From SvanPC++'!A268))</f>
        <v/>
      </c>
      <c r="B278" s="35" t="s">
        <v>407</v>
      </c>
      <c r="C278" s="34">
        <v>43.9</v>
      </c>
      <c r="D278" s="36"/>
      <c r="E278" s="20">
        <v>44179</v>
      </c>
      <c r="F278" s="19">
        <v>0.3125</v>
      </c>
      <c r="H278" s="34">
        <v>43.9</v>
      </c>
      <c r="I278" s="19"/>
      <c r="L278" s="20">
        <v>44179</v>
      </c>
      <c r="M278" s="19">
        <v>0.3125</v>
      </c>
      <c r="N278" s="19"/>
      <c r="S278" s="36"/>
      <c r="T278" s="36"/>
    </row>
    <row r="279" spans="1:20" s="38" customFormat="1" ht="15.75" hidden="1" x14ac:dyDescent="0.3">
      <c r="A279" s="36" t="str">
        <f xml:space="preserve"> IF( 'From SvanPC++'!A269= "", "", ('From SvanPC++'!A269))</f>
        <v/>
      </c>
      <c r="B279" s="35" t="s">
        <v>408</v>
      </c>
      <c r="C279" s="34">
        <v>44.2</v>
      </c>
      <c r="D279" s="36"/>
      <c r="E279" s="20">
        <v>44179</v>
      </c>
      <c r="F279" s="19">
        <v>0.32291666666666669</v>
      </c>
      <c r="H279" s="34">
        <v>44.2</v>
      </c>
      <c r="I279" s="19"/>
      <c r="L279" s="20">
        <v>44179</v>
      </c>
      <c r="M279" s="19">
        <v>0.32291666666666669</v>
      </c>
      <c r="N279" s="19"/>
      <c r="S279" s="36"/>
      <c r="T279" s="36"/>
    </row>
    <row r="280" spans="1:20" s="38" customFormat="1" ht="15.75" x14ac:dyDescent="0.3">
      <c r="A280" s="36" t="str">
        <f xml:space="preserve"> IF( 'From SvanPC++'!A270= "", "", ('From SvanPC++'!A270))</f>
        <v/>
      </c>
      <c r="B280" s="35" t="s">
        <v>409</v>
      </c>
      <c r="C280" s="34">
        <v>44.1</v>
      </c>
      <c r="D280" s="36"/>
      <c r="E280" s="20">
        <v>44179</v>
      </c>
      <c r="F280" s="19">
        <v>0.33333333333333331</v>
      </c>
      <c r="H280" s="34">
        <v>44.1</v>
      </c>
      <c r="I280" s="106">
        <f>AVERAGE(H277:H280)</f>
        <v>43.524999999999999</v>
      </c>
      <c r="L280" s="20">
        <v>44179</v>
      </c>
      <c r="M280" s="19">
        <v>0.33333333333333331</v>
      </c>
      <c r="N280" s="106">
        <v>43.524999999999999</v>
      </c>
      <c r="S280" s="36"/>
      <c r="T280" s="36"/>
    </row>
    <row r="281" spans="1:20" s="38" customFormat="1" ht="15.75" hidden="1" x14ac:dyDescent="0.3">
      <c r="A281" s="36" t="str">
        <f xml:space="preserve"> IF( 'From SvanPC++'!A271= "", "", ('From SvanPC++'!A271))</f>
        <v/>
      </c>
      <c r="B281" s="35" t="s">
        <v>410</v>
      </c>
      <c r="C281" s="34">
        <v>43.7</v>
      </c>
      <c r="D281" s="36"/>
      <c r="E281" s="20">
        <v>44179</v>
      </c>
      <c r="F281" s="19">
        <v>0.34375</v>
      </c>
      <c r="H281" s="34">
        <v>43.7</v>
      </c>
      <c r="I281" s="19"/>
      <c r="L281" s="20">
        <v>44179</v>
      </c>
      <c r="M281" s="19">
        <v>0.34375</v>
      </c>
      <c r="N281" s="19"/>
      <c r="S281" s="36"/>
      <c r="T281" s="36"/>
    </row>
    <row r="282" spans="1:20" s="38" customFormat="1" ht="15.75" hidden="1" x14ac:dyDescent="0.3">
      <c r="A282" s="36" t="str">
        <f xml:space="preserve"> IF( 'From SvanPC++'!A272= "", "", ('From SvanPC++'!A272))</f>
        <v/>
      </c>
      <c r="B282" s="35" t="s">
        <v>411</v>
      </c>
      <c r="C282" s="34">
        <v>44.4</v>
      </c>
      <c r="D282" s="36"/>
      <c r="E282" s="20">
        <v>44179</v>
      </c>
      <c r="F282" s="19">
        <v>0.35416666666666669</v>
      </c>
      <c r="H282" s="34">
        <v>44.4</v>
      </c>
      <c r="I282" s="19"/>
      <c r="L282" s="20">
        <v>44179</v>
      </c>
      <c r="M282" s="19">
        <v>0.35416666666666669</v>
      </c>
      <c r="N282" s="19"/>
      <c r="S282" s="36"/>
      <c r="T282" s="36"/>
    </row>
    <row r="283" spans="1:20" s="38" customFormat="1" ht="15.75" hidden="1" x14ac:dyDescent="0.3">
      <c r="A283" s="36" t="str">
        <f xml:space="preserve"> IF( 'From SvanPC++'!A273= "", "", ('From SvanPC++'!A273))</f>
        <v/>
      </c>
      <c r="B283" s="35" t="s">
        <v>412</v>
      </c>
      <c r="C283" s="34">
        <v>44.4</v>
      </c>
      <c r="D283" s="36"/>
      <c r="E283" s="20">
        <v>44179</v>
      </c>
      <c r="F283" s="19">
        <v>0.36458333333333331</v>
      </c>
      <c r="H283" s="34">
        <v>44.4</v>
      </c>
      <c r="I283" s="19"/>
      <c r="L283" s="20">
        <v>44179</v>
      </c>
      <c r="M283" s="19">
        <v>0.36458333333333331</v>
      </c>
      <c r="N283" s="19"/>
      <c r="S283" s="36"/>
      <c r="T283" s="36"/>
    </row>
    <row r="284" spans="1:20" s="38" customFormat="1" ht="15.75" x14ac:dyDescent="0.3">
      <c r="A284" s="36" t="str">
        <f xml:space="preserve"> IF( 'From SvanPC++'!A274= "", "", ('From SvanPC++'!A274))</f>
        <v/>
      </c>
      <c r="B284" s="35" t="s">
        <v>413</v>
      </c>
      <c r="C284" s="34">
        <v>45</v>
      </c>
      <c r="D284" s="36"/>
      <c r="E284" s="20">
        <v>44179</v>
      </c>
      <c r="F284" s="19">
        <v>0.375</v>
      </c>
      <c r="H284" s="34">
        <v>45</v>
      </c>
      <c r="I284" s="106">
        <f>AVERAGE(H281:H284)</f>
        <v>44.375</v>
      </c>
      <c r="L284" s="20">
        <v>44179</v>
      </c>
      <c r="M284" s="19">
        <v>0.375</v>
      </c>
      <c r="N284" s="106">
        <v>44.375</v>
      </c>
      <c r="S284" s="36"/>
      <c r="T284" s="36"/>
    </row>
    <row r="285" spans="1:20" s="38" customFormat="1" ht="15.75" hidden="1" x14ac:dyDescent="0.3">
      <c r="A285" s="36" t="str">
        <f xml:space="preserve"> IF( 'From SvanPC++'!A275= "", "", ('From SvanPC++'!A275))</f>
        <v/>
      </c>
      <c r="B285" s="35" t="s">
        <v>414</v>
      </c>
      <c r="C285" s="34">
        <v>44.3</v>
      </c>
      <c r="D285" s="36"/>
      <c r="E285" s="20">
        <v>44179</v>
      </c>
      <c r="F285" s="19">
        <v>0.38541666666666669</v>
      </c>
      <c r="H285" s="34">
        <v>44.3</v>
      </c>
      <c r="I285" s="19"/>
      <c r="L285" s="20">
        <v>44179</v>
      </c>
      <c r="M285" s="19">
        <v>0.38541666666666669</v>
      </c>
      <c r="N285" s="19"/>
      <c r="S285" s="36"/>
      <c r="T285" s="36"/>
    </row>
    <row r="286" spans="1:20" s="38" customFormat="1" ht="15.75" hidden="1" x14ac:dyDescent="0.3">
      <c r="A286" s="36" t="str">
        <f xml:space="preserve"> IF( 'From SvanPC++'!A276= "", "", ('From SvanPC++'!A276))</f>
        <v/>
      </c>
      <c r="B286" s="35" t="s">
        <v>415</v>
      </c>
      <c r="C286" s="34">
        <v>45.6</v>
      </c>
      <c r="D286" s="36"/>
      <c r="E286" s="20">
        <v>44179</v>
      </c>
      <c r="F286" s="19">
        <v>0.39583333333333331</v>
      </c>
      <c r="H286" s="34">
        <v>45.6</v>
      </c>
      <c r="I286" s="19"/>
      <c r="L286" s="20">
        <v>44179</v>
      </c>
      <c r="M286" s="19">
        <v>0.39583333333333331</v>
      </c>
      <c r="N286" s="19"/>
      <c r="S286" s="36"/>
      <c r="T286" s="36"/>
    </row>
    <row r="287" spans="1:20" s="38" customFormat="1" ht="15.75" hidden="1" x14ac:dyDescent="0.3">
      <c r="A287" s="36" t="str">
        <f xml:space="preserve"> IF( 'From SvanPC++'!A277= "", "", ('From SvanPC++'!A277))</f>
        <v/>
      </c>
      <c r="B287" s="35" t="s">
        <v>416</v>
      </c>
      <c r="C287" s="34">
        <v>45</v>
      </c>
      <c r="D287" s="36"/>
      <c r="E287" s="20">
        <v>44179</v>
      </c>
      <c r="F287" s="19">
        <v>0.40625</v>
      </c>
      <c r="H287" s="34">
        <v>45</v>
      </c>
      <c r="I287" s="19"/>
      <c r="L287" s="20">
        <v>44179</v>
      </c>
      <c r="M287" s="19">
        <v>0.40625</v>
      </c>
      <c r="N287" s="19"/>
      <c r="S287" s="36"/>
      <c r="T287" s="36"/>
    </row>
    <row r="288" spans="1:20" s="38" customFormat="1" ht="15.75" x14ac:dyDescent="0.3">
      <c r="A288" s="36" t="str">
        <f xml:space="preserve"> IF( 'From SvanPC++'!A278= "", "", ('From SvanPC++'!A278))</f>
        <v/>
      </c>
      <c r="B288" s="35" t="s">
        <v>417</v>
      </c>
      <c r="C288" s="34">
        <v>44.7</v>
      </c>
      <c r="D288" s="36"/>
      <c r="E288" s="20">
        <v>44179</v>
      </c>
      <c r="F288" s="19">
        <v>0.41666666666666669</v>
      </c>
      <c r="H288" s="34">
        <v>44.7</v>
      </c>
      <c r="I288" s="106">
        <f>AVERAGE(H285:H288)</f>
        <v>44.900000000000006</v>
      </c>
      <c r="L288" s="20">
        <v>44179</v>
      </c>
      <c r="M288" s="19">
        <v>0.41666666666666669</v>
      </c>
      <c r="N288" s="106">
        <v>44.900000000000006</v>
      </c>
      <c r="S288" s="36"/>
      <c r="T288" s="36"/>
    </row>
    <row r="289" spans="1:20" s="38" customFormat="1" ht="15.75" hidden="1" x14ac:dyDescent="0.3">
      <c r="A289" s="36" t="str">
        <f xml:space="preserve"> IF( 'From SvanPC++'!A279= "", "", ('From SvanPC++'!A279))</f>
        <v/>
      </c>
      <c r="B289" s="35" t="s">
        <v>418</v>
      </c>
      <c r="C289" s="34">
        <v>44.8</v>
      </c>
      <c r="D289" s="36"/>
      <c r="E289" s="20">
        <v>44179</v>
      </c>
      <c r="F289" s="19">
        <v>0.42708333333333331</v>
      </c>
      <c r="H289" s="34">
        <v>44.8</v>
      </c>
      <c r="I289" s="19"/>
      <c r="L289" s="20">
        <v>44179</v>
      </c>
      <c r="M289" s="19">
        <v>0.42708333333333331</v>
      </c>
      <c r="N289" s="19"/>
      <c r="S289" s="36"/>
      <c r="T289" s="36"/>
    </row>
    <row r="290" spans="1:20" s="38" customFormat="1" ht="15.75" hidden="1" x14ac:dyDescent="0.3">
      <c r="A290" s="36" t="str">
        <f xml:space="preserve"> IF( 'From SvanPC++'!A280= "", "", ('From SvanPC++'!A280))</f>
        <v/>
      </c>
      <c r="B290" s="35" t="s">
        <v>419</v>
      </c>
      <c r="C290" s="34">
        <v>43.9</v>
      </c>
      <c r="D290" s="36"/>
      <c r="E290" s="20">
        <v>44179</v>
      </c>
      <c r="F290" s="19">
        <v>0.4375</v>
      </c>
      <c r="H290" s="34">
        <v>43.9</v>
      </c>
      <c r="I290" s="19"/>
      <c r="L290" s="20">
        <v>44179</v>
      </c>
      <c r="M290" s="19">
        <v>0.4375</v>
      </c>
      <c r="N290" s="19"/>
      <c r="S290" s="36"/>
      <c r="T290" s="36"/>
    </row>
    <row r="291" spans="1:20" s="38" customFormat="1" ht="15.75" hidden="1" x14ac:dyDescent="0.3">
      <c r="A291" s="36" t="str">
        <f xml:space="preserve"> IF( 'From SvanPC++'!A281= "", "", ('From SvanPC++'!A281))</f>
        <v/>
      </c>
      <c r="B291" s="35" t="s">
        <v>420</v>
      </c>
      <c r="C291" s="34">
        <v>43.8</v>
      </c>
      <c r="D291" s="36"/>
      <c r="E291" s="20">
        <v>44179</v>
      </c>
      <c r="F291" s="19">
        <v>0.44791666666666669</v>
      </c>
      <c r="H291" s="34">
        <v>43.8</v>
      </c>
      <c r="I291" s="19"/>
      <c r="L291" s="20">
        <v>44179</v>
      </c>
      <c r="M291" s="19">
        <v>0.44791666666666669</v>
      </c>
      <c r="N291" s="19"/>
      <c r="S291" s="36"/>
      <c r="T291" s="36"/>
    </row>
    <row r="292" spans="1:20" s="38" customFormat="1" ht="15.75" x14ac:dyDescent="0.3">
      <c r="A292" s="36" t="str">
        <f xml:space="preserve"> IF( 'From SvanPC++'!A282= "", "", ('From SvanPC++'!A282))</f>
        <v/>
      </c>
      <c r="B292" s="35" t="s">
        <v>421</v>
      </c>
      <c r="C292" s="34">
        <v>44.1</v>
      </c>
      <c r="D292" s="36"/>
      <c r="E292" s="20">
        <v>44179</v>
      </c>
      <c r="F292" s="19">
        <v>0.45833333333333331</v>
      </c>
      <c r="H292" s="34">
        <v>44.1</v>
      </c>
      <c r="I292" s="106">
        <f>AVERAGE(H289:H292)</f>
        <v>44.15</v>
      </c>
      <c r="L292" s="20">
        <v>44179</v>
      </c>
      <c r="M292" s="19">
        <v>0.45833333333333331</v>
      </c>
      <c r="N292" s="106">
        <v>44.15</v>
      </c>
      <c r="S292" s="36"/>
      <c r="T292" s="36"/>
    </row>
    <row r="293" spans="1:20" s="38" customFormat="1" ht="15.75" hidden="1" x14ac:dyDescent="0.3">
      <c r="A293" s="36" t="str">
        <f xml:space="preserve"> IF( 'From SvanPC++'!A283= "", "", ('From SvanPC++'!A283))</f>
        <v/>
      </c>
      <c r="B293" s="35" t="s">
        <v>422</v>
      </c>
      <c r="C293" s="34">
        <v>43.4</v>
      </c>
      <c r="D293" s="36"/>
      <c r="E293" s="20">
        <v>44179</v>
      </c>
      <c r="F293" s="19">
        <v>0.46875</v>
      </c>
      <c r="H293" s="34">
        <v>43.4</v>
      </c>
      <c r="I293" s="19"/>
      <c r="L293" s="20">
        <v>44179</v>
      </c>
      <c r="M293" s="19">
        <v>0.46875</v>
      </c>
      <c r="N293" s="19"/>
      <c r="S293" s="36"/>
      <c r="T293" s="36"/>
    </row>
    <row r="294" spans="1:20" s="38" customFormat="1" ht="15.75" hidden="1" x14ac:dyDescent="0.3">
      <c r="A294" s="36" t="str">
        <f xml:space="preserve"> IF( 'From SvanPC++'!A284= "", "", ('From SvanPC++'!A284))</f>
        <v/>
      </c>
      <c r="B294" s="35" t="s">
        <v>423</v>
      </c>
      <c r="C294" s="34">
        <v>43</v>
      </c>
      <c r="D294" s="36"/>
      <c r="E294" s="20">
        <v>44179</v>
      </c>
      <c r="F294" s="19">
        <v>0.47916666666666669</v>
      </c>
      <c r="H294" s="34">
        <v>43</v>
      </c>
      <c r="I294" s="19"/>
      <c r="L294" s="20">
        <v>44179</v>
      </c>
      <c r="M294" s="19">
        <v>0.47916666666666669</v>
      </c>
      <c r="N294" s="19"/>
      <c r="S294" s="36"/>
      <c r="T294" s="36"/>
    </row>
    <row r="295" spans="1:20" s="38" customFormat="1" ht="15.75" hidden="1" x14ac:dyDescent="0.3">
      <c r="A295" s="36" t="str">
        <f xml:space="preserve"> IF( 'From SvanPC++'!A285= "", "", ('From SvanPC++'!A285))</f>
        <v/>
      </c>
      <c r="B295" s="35" t="s">
        <v>424</v>
      </c>
      <c r="C295" s="34">
        <v>43.2</v>
      </c>
      <c r="D295" s="36"/>
      <c r="E295" s="20">
        <v>44179</v>
      </c>
      <c r="F295" s="19">
        <v>0.48958333333333331</v>
      </c>
      <c r="H295" s="34">
        <v>43.2</v>
      </c>
      <c r="I295" s="19"/>
      <c r="L295" s="20">
        <v>44179</v>
      </c>
      <c r="M295" s="19">
        <v>0.48958333333333331</v>
      </c>
      <c r="N295" s="19"/>
      <c r="S295" s="36"/>
      <c r="T295" s="36"/>
    </row>
    <row r="296" spans="1:20" s="38" customFormat="1" ht="15.75" x14ac:dyDescent="0.3">
      <c r="A296" s="36" t="str">
        <f xml:space="preserve"> IF( 'From SvanPC++'!A286= "", "", ('From SvanPC++'!A286))</f>
        <v/>
      </c>
      <c r="B296" s="35" t="s">
        <v>425</v>
      </c>
      <c r="C296" s="34">
        <v>43.2</v>
      </c>
      <c r="D296" s="36"/>
      <c r="E296" s="20">
        <v>44179</v>
      </c>
      <c r="F296" s="19">
        <v>0.5</v>
      </c>
      <c r="H296" s="34">
        <v>43.2</v>
      </c>
      <c r="I296" s="106">
        <f>AVERAGE(H293:H296)</f>
        <v>43.2</v>
      </c>
      <c r="L296" s="20">
        <v>44179</v>
      </c>
      <c r="M296" s="19">
        <v>0.5</v>
      </c>
      <c r="N296" s="106">
        <v>43.2</v>
      </c>
      <c r="S296" s="36"/>
      <c r="T296" s="36"/>
    </row>
    <row r="297" spans="1:20" s="38" customFormat="1" ht="15.75" hidden="1" x14ac:dyDescent="0.3">
      <c r="A297" s="36" t="str">
        <f xml:space="preserve"> IF( 'From SvanPC++'!A287= "", "", ('From SvanPC++'!A287))</f>
        <v/>
      </c>
      <c r="B297" s="35" t="s">
        <v>426</v>
      </c>
      <c r="C297" s="34">
        <v>42.1</v>
      </c>
      <c r="D297" s="36"/>
      <c r="E297" s="20">
        <v>44179</v>
      </c>
      <c r="F297" s="19">
        <v>0.51041666666666663</v>
      </c>
      <c r="H297" s="34">
        <v>42.1</v>
      </c>
      <c r="I297" s="19"/>
      <c r="L297" s="20">
        <v>44179</v>
      </c>
      <c r="M297" s="19">
        <v>0.51041666666666663</v>
      </c>
      <c r="N297" s="19"/>
      <c r="S297" s="36"/>
      <c r="T297" s="36"/>
    </row>
    <row r="298" spans="1:20" s="38" customFormat="1" ht="15.75" hidden="1" x14ac:dyDescent="0.3">
      <c r="A298" s="36" t="str">
        <f xml:space="preserve"> IF( 'From SvanPC++'!A288= "", "", ('From SvanPC++'!A288))</f>
        <v/>
      </c>
      <c r="B298" s="35" t="s">
        <v>427</v>
      </c>
      <c r="C298" s="34">
        <v>43</v>
      </c>
      <c r="D298" s="36"/>
      <c r="E298" s="20">
        <v>44179</v>
      </c>
      <c r="F298" s="19">
        <v>0.52083333333333337</v>
      </c>
      <c r="H298" s="34">
        <v>43</v>
      </c>
      <c r="I298" s="19"/>
      <c r="L298" s="20">
        <v>44179</v>
      </c>
      <c r="M298" s="19">
        <v>0.52083333333333337</v>
      </c>
      <c r="N298" s="19"/>
      <c r="S298" s="36"/>
      <c r="T298" s="36"/>
    </row>
    <row r="299" spans="1:20" s="38" customFormat="1" ht="15.75" hidden="1" x14ac:dyDescent="0.3">
      <c r="A299" s="36" t="str">
        <f xml:space="preserve"> IF( 'From SvanPC++'!A289= "", "", ('From SvanPC++'!A289))</f>
        <v/>
      </c>
      <c r="B299" s="35" t="s">
        <v>428</v>
      </c>
      <c r="C299" s="34">
        <v>42.2</v>
      </c>
      <c r="D299" s="36"/>
      <c r="E299" s="20">
        <v>44179</v>
      </c>
      <c r="F299" s="19">
        <v>0.53125</v>
      </c>
      <c r="H299" s="34">
        <v>42.2</v>
      </c>
      <c r="I299" s="19"/>
      <c r="L299" s="20">
        <v>44179</v>
      </c>
      <c r="M299" s="19">
        <v>0.53125</v>
      </c>
      <c r="N299" s="19"/>
      <c r="S299" s="36"/>
      <c r="T299" s="36"/>
    </row>
    <row r="300" spans="1:20" s="38" customFormat="1" ht="15.75" x14ac:dyDescent="0.3">
      <c r="A300" s="36" t="str">
        <f xml:space="preserve"> IF( 'From SvanPC++'!A290= "", "", ('From SvanPC++'!A290))</f>
        <v/>
      </c>
      <c r="B300" s="35" t="s">
        <v>429</v>
      </c>
      <c r="C300" s="34">
        <v>42.1</v>
      </c>
      <c r="D300" s="36"/>
      <c r="E300" s="20">
        <v>44179</v>
      </c>
      <c r="F300" s="19">
        <v>0.54166666666666663</v>
      </c>
      <c r="H300" s="34">
        <v>42.1</v>
      </c>
      <c r="I300" s="106">
        <f>AVERAGE(H297:H300)</f>
        <v>42.35</v>
      </c>
      <c r="L300" s="20">
        <v>44179</v>
      </c>
      <c r="M300" s="19">
        <v>0.54166666666666663</v>
      </c>
      <c r="N300" s="106">
        <v>42.35</v>
      </c>
      <c r="S300" s="36"/>
      <c r="T300" s="36"/>
    </row>
    <row r="301" spans="1:20" s="38" customFormat="1" ht="15.75" hidden="1" x14ac:dyDescent="0.3">
      <c r="A301" s="36" t="str">
        <f xml:space="preserve"> IF( 'From SvanPC++'!A291= "", "", ('From SvanPC++'!A291))</f>
        <v/>
      </c>
      <c r="B301" s="35" t="s">
        <v>430</v>
      </c>
      <c r="C301" s="34">
        <v>41.6</v>
      </c>
      <c r="D301" s="36"/>
      <c r="E301" s="20">
        <v>44179</v>
      </c>
      <c r="F301" s="19">
        <v>0.55208333333333337</v>
      </c>
      <c r="H301" s="34">
        <v>41.6</v>
      </c>
      <c r="I301" s="19"/>
      <c r="L301" s="20">
        <v>44179</v>
      </c>
      <c r="M301" s="19">
        <v>0.55208333333333337</v>
      </c>
      <c r="N301" s="19"/>
      <c r="S301" s="36"/>
      <c r="T301" s="36"/>
    </row>
    <row r="302" spans="1:20" s="38" customFormat="1" ht="15.75" hidden="1" x14ac:dyDescent="0.3">
      <c r="A302" s="36" t="str">
        <f xml:space="preserve"> IF( 'From SvanPC++'!A292= "", "", ('From SvanPC++'!A292))</f>
        <v/>
      </c>
      <c r="B302" s="35" t="s">
        <v>431</v>
      </c>
      <c r="C302" s="34">
        <v>41.4</v>
      </c>
      <c r="D302" s="36"/>
      <c r="E302" s="20">
        <v>44179</v>
      </c>
      <c r="F302" s="19">
        <v>0.5625</v>
      </c>
      <c r="H302" s="34">
        <v>41.4</v>
      </c>
      <c r="I302" s="19"/>
      <c r="L302" s="20">
        <v>44179</v>
      </c>
      <c r="M302" s="19">
        <v>0.5625</v>
      </c>
      <c r="N302" s="19"/>
      <c r="S302" s="36"/>
      <c r="T302" s="36"/>
    </row>
    <row r="303" spans="1:20" s="38" customFormat="1" ht="15.75" hidden="1" x14ac:dyDescent="0.3">
      <c r="A303" s="36" t="str">
        <f xml:space="preserve"> IF( 'From SvanPC++'!A293= "", "", ('From SvanPC++'!A293))</f>
        <v/>
      </c>
      <c r="B303" s="35" t="s">
        <v>432</v>
      </c>
      <c r="C303" s="34">
        <v>40.299999999999997</v>
      </c>
      <c r="D303" s="36"/>
      <c r="E303" s="20">
        <v>44179</v>
      </c>
      <c r="F303" s="19">
        <v>0.57291666666666663</v>
      </c>
      <c r="H303" s="34">
        <v>40.299999999999997</v>
      </c>
      <c r="I303" s="19"/>
      <c r="L303" s="20">
        <v>44179</v>
      </c>
      <c r="M303" s="19">
        <v>0.57291666666666663</v>
      </c>
      <c r="N303" s="19"/>
      <c r="S303" s="36"/>
      <c r="T303" s="36"/>
    </row>
    <row r="304" spans="1:20" s="38" customFormat="1" ht="15.75" x14ac:dyDescent="0.3">
      <c r="A304" s="36" t="str">
        <f xml:space="preserve"> IF( 'From SvanPC++'!A294= "", "", ('From SvanPC++'!A294))</f>
        <v/>
      </c>
      <c r="B304" s="35" t="s">
        <v>433</v>
      </c>
      <c r="C304" s="34">
        <v>40.5</v>
      </c>
      <c r="D304" s="36"/>
      <c r="E304" s="20">
        <v>44179</v>
      </c>
      <c r="F304" s="19">
        <v>0.58333333333333337</v>
      </c>
      <c r="H304" s="34">
        <v>40.5</v>
      </c>
      <c r="I304" s="106">
        <f>AVERAGE(H301:H304)</f>
        <v>40.950000000000003</v>
      </c>
      <c r="L304" s="20">
        <v>44179</v>
      </c>
      <c r="M304" s="19">
        <v>0.58333333333333337</v>
      </c>
      <c r="N304" s="106">
        <v>40.950000000000003</v>
      </c>
      <c r="S304" s="36"/>
      <c r="T304" s="36"/>
    </row>
    <row r="305" spans="1:20" s="38" customFormat="1" ht="15.75" hidden="1" x14ac:dyDescent="0.3">
      <c r="A305" s="36" t="str">
        <f xml:space="preserve"> IF( 'From SvanPC++'!A295= "", "", ('From SvanPC++'!A295))</f>
        <v/>
      </c>
      <c r="B305" s="35" t="s">
        <v>434</v>
      </c>
      <c r="C305" s="34">
        <v>40.700000000000003</v>
      </c>
      <c r="D305" s="36"/>
      <c r="E305" s="20">
        <v>44179</v>
      </c>
      <c r="F305" s="19">
        <v>0.59375</v>
      </c>
      <c r="H305" s="34">
        <v>40.700000000000003</v>
      </c>
      <c r="I305" s="19"/>
      <c r="L305" s="20">
        <v>44179</v>
      </c>
      <c r="M305" s="19">
        <v>0.59375</v>
      </c>
      <c r="N305" s="19"/>
      <c r="S305" s="36"/>
      <c r="T305" s="36"/>
    </row>
    <row r="306" spans="1:20" s="38" customFormat="1" ht="15.75" hidden="1" x14ac:dyDescent="0.3">
      <c r="A306" s="36" t="str">
        <f xml:space="preserve"> IF( 'From SvanPC++'!A296= "", "", ('From SvanPC++'!A296))</f>
        <v/>
      </c>
      <c r="B306" s="35" t="s">
        <v>435</v>
      </c>
      <c r="C306" s="34">
        <v>39.9</v>
      </c>
      <c r="D306" s="36"/>
      <c r="E306" s="20">
        <v>44179</v>
      </c>
      <c r="F306" s="19">
        <v>0.60416666666666663</v>
      </c>
      <c r="H306" s="34">
        <v>39.9</v>
      </c>
      <c r="I306" s="19"/>
      <c r="L306" s="20">
        <v>44179</v>
      </c>
      <c r="M306" s="19">
        <v>0.60416666666666663</v>
      </c>
      <c r="N306" s="19"/>
      <c r="S306" s="36"/>
      <c r="T306" s="36"/>
    </row>
    <row r="307" spans="1:20" s="38" customFormat="1" ht="15.75" hidden="1" x14ac:dyDescent="0.3">
      <c r="A307" s="36" t="str">
        <f xml:space="preserve"> IF( 'From SvanPC++'!A297= "", "", ('From SvanPC++'!A297))</f>
        <v/>
      </c>
      <c r="B307" s="35" t="s">
        <v>436</v>
      </c>
      <c r="C307" s="34">
        <v>40.299999999999997</v>
      </c>
      <c r="D307" s="36"/>
      <c r="E307" s="20">
        <v>44179</v>
      </c>
      <c r="F307" s="19">
        <v>0.61458333333333337</v>
      </c>
      <c r="H307" s="34">
        <v>40.299999999999997</v>
      </c>
      <c r="I307" s="19"/>
      <c r="L307" s="20">
        <v>44179</v>
      </c>
      <c r="M307" s="19">
        <v>0.61458333333333337</v>
      </c>
      <c r="N307" s="19"/>
      <c r="S307" s="36"/>
      <c r="T307" s="36"/>
    </row>
    <row r="308" spans="1:20" s="38" customFormat="1" ht="15.75" x14ac:dyDescent="0.3">
      <c r="A308" s="36" t="str">
        <f xml:space="preserve"> IF( 'From SvanPC++'!A298= "", "", ('From SvanPC++'!A298))</f>
        <v/>
      </c>
      <c r="B308" s="35" t="s">
        <v>437</v>
      </c>
      <c r="C308" s="34">
        <v>40.5</v>
      </c>
      <c r="D308" s="36"/>
      <c r="E308" s="20">
        <v>44179</v>
      </c>
      <c r="F308" s="19">
        <v>0.625</v>
      </c>
      <c r="H308" s="34">
        <v>40.5</v>
      </c>
      <c r="I308" s="106">
        <f>AVERAGE(H305:H308)</f>
        <v>40.349999999999994</v>
      </c>
      <c r="L308" s="20">
        <v>44179</v>
      </c>
      <c r="M308" s="19">
        <v>0.625</v>
      </c>
      <c r="N308" s="106">
        <v>40.349999999999994</v>
      </c>
      <c r="S308" s="36"/>
      <c r="T308" s="36"/>
    </row>
    <row r="309" spans="1:20" s="38" customFormat="1" ht="15.75" hidden="1" x14ac:dyDescent="0.3">
      <c r="A309" s="36" t="str">
        <f xml:space="preserve"> IF( 'From SvanPC++'!A299= "", "", ('From SvanPC++'!A299))</f>
        <v/>
      </c>
      <c r="B309" s="35" t="s">
        <v>438</v>
      </c>
      <c r="C309" s="34">
        <v>40.4</v>
      </c>
      <c r="D309" s="36"/>
      <c r="E309" s="20">
        <v>44179</v>
      </c>
      <c r="F309" s="19">
        <v>0.63541666666666663</v>
      </c>
      <c r="H309" s="34">
        <v>40.4</v>
      </c>
      <c r="I309" s="19"/>
      <c r="L309" s="20">
        <v>44179</v>
      </c>
      <c r="M309" s="19">
        <v>0.63541666666666663</v>
      </c>
      <c r="N309" s="19"/>
      <c r="S309" s="36"/>
      <c r="T309" s="36"/>
    </row>
    <row r="310" spans="1:20" s="38" customFormat="1" ht="15.75" hidden="1" x14ac:dyDescent="0.3">
      <c r="A310" s="36" t="str">
        <f xml:space="preserve"> IF( 'From SvanPC++'!A300= "", "", ('From SvanPC++'!A300))</f>
        <v/>
      </c>
      <c r="B310" s="35" t="s">
        <v>439</v>
      </c>
      <c r="C310" s="34">
        <v>39.6</v>
      </c>
      <c r="D310" s="36"/>
      <c r="E310" s="20">
        <v>44179</v>
      </c>
      <c r="F310" s="19">
        <v>0.64583333333333337</v>
      </c>
      <c r="H310" s="34">
        <v>39.6</v>
      </c>
      <c r="I310" s="19"/>
      <c r="L310" s="20">
        <v>44179</v>
      </c>
      <c r="M310" s="19">
        <v>0.64583333333333337</v>
      </c>
      <c r="N310" s="19"/>
      <c r="S310" s="36"/>
      <c r="T310" s="36"/>
    </row>
    <row r="311" spans="1:20" s="38" customFormat="1" ht="15.75" hidden="1" x14ac:dyDescent="0.3">
      <c r="A311" s="36" t="str">
        <f xml:space="preserve"> IF( 'From SvanPC++'!A301= "", "", ('From SvanPC++'!A301))</f>
        <v/>
      </c>
      <c r="B311" s="35" t="s">
        <v>440</v>
      </c>
      <c r="C311" s="34">
        <v>40.200000000000003</v>
      </c>
      <c r="D311" s="36"/>
      <c r="E311" s="20">
        <v>44179</v>
      </c>
      <c r="F311" s="19">
        <v>0.65625</v>
      </c>
      <c r="H311" s="34">
        <v>40.200000000000003</v>
      </c>
      <c r="I311" s="19"/>
      <c r="L311" s="20">
        <v>44179</v>
      </c>
      <c r="M311" s="19">
        <v>0.65625</v>
      </c>
      <c r="N311" s="19"/>
      <c r="S311" s="36"/>
      <c r="T311" s="36"/>
    </row>
    <row r="312" spans="1:20" s="38" customFormat="1" ht="15.75" x14ac:dyDescent="0.3">
      <c r="A312" s="36" t="str">
        <f xml:space="preserve"> IF( 'From SvanPC++'!A302= "", "", ('From SvanPC++'!A302))</f>
        <v/>
      </c>
      <c r="B312" s="35" t="s">
        <v>441</v>
      </c>
      <c r="C312" s="34">
        <v>41.8</v>
      </c>
      <c r="D312" s="36"/>
      <c r="E312" s="20">
        <v>44179</v>
      </c>
      <c r="F312" s="19">
        <v>0.66666666666666663</v>
      </c>
      <c r="H312" s="34">
        <v>41.8</v>
      </c>
      <c r="I312" s="106">
        <f>AVERAGE(H309:H312)</f>
        <v>40.5</v>
      </c>
      <c r="L312" s="20">
        <v>44179</v>
      </c>
      <c r="M312" s="19">
        <v>0.66666666666666663</v>
      </c>
      <c r="N312" s="106">
        <v>40.5</v>
      </c>
      <c r="S312" s="36"/>
      <c r="T312" s="36"/>
    </row>
    <row r="313" spans="1:20" s="38" customFormat="1" ht="15.75" hidden="1" x14ac:dyDescent="0.3">
      <c r="A313" s="36" t="str">
        <f xml:space="preserve"> IF( 'From SvanPC++'!A303= "", "", ('From SvanPC++'!A303))</f>
        <v/>
      </c>
      <c r="B313" s="35" t="s">
        <v>442</v>
      </c>
      <c r="C313" s="34">
        <v>41.4</v>
      </c>
      <c r="D313" s="36"/>
      <c r="E313" s="20">
        <v>44179</v>
      </c>
      <c r="F313" s="19">
        <v>0.67708333333333337</v>
      </c>
      <c r="H313" s="34">
        <v>41.4</v>
      </c>
      <c r="I313" s="19"/>
      <c r="L313" s="20">
        <v>44179</v>
      </c>
      <c r="M313" s="19">
        <v>0.67708333333333337</v>
      </c>
      <c r="N313" s="19"/>
      <c r="S313" s="36"/>
      <c r="T313" s="36"/>
    </row>
    <row r="314" spans="1:20" s="38" customFormat="1" ht="15.75" hidden="1" x14ac:dyDescent="0.3">
      <c r="A314" s="36" t="str">
        <f xml:space="preserve"> IF( 'From SvanPC++'!A304= "", "", ('From SvanPC++'!A304))</f>
        <v/>
      </c>
      <c r="B314" s="35" t="s">
        <v>443</v>
      </c>
      <c r="C314" s="34">
        <v>41.2</v>
      </c>
      <c r="D314" s="36"/>
      <c r="E314" s="20">
        <v>44179</v>
      </c>
      <c r="F314" s="19">
        <v>0.6875</v>
      </c>
      <c r="H314" s="34">
        <v>41.2</v>
      </c>
      <c r="I314" s="19"/>
      <c r="L314" s="20">
        <v>44179</v>
      </c>
      <c r="M314" s="19">
        <v>0.6875</v>
      </c>
      <c r="N314" s="19"/>
      <c r="S314" s="36"/>
      <c r="T314" s="36"/>
    </row>
    <row r="315" spans="1:20" s="38" customFormat="1" ht="15.75" hidden="1" x14ac:dyDescent="0.3">
      <c r="A315" s="36" t="str">
        <f xml:space="preserve"> IF( 'From SvanPC++'!A305= "", "", ('From SvanPC++'!A305))</f>
        <v/>
      </c>
      <c r="B315" s="35" t="s">
        <v>444</v>
      </c>
      <c r="C315" s="34">
        <v>41.9</v>
      </c>
      <c r="D315" s="36"/>
      <c r="E315" s="20">
        <v>44179</v>
      </c>
      <c r="F315" s="19">
        <v>0.69791666666666663</v>
      </c>
      <c r="H315" s="34">
        <v>41.9</v>
      </c>
      <c r="I315" s="19"/>
      <c r="L315" s="20">
        <v>44179</v>
      </c>
      <c r="M315" s="19">
        <v>0.69791666666666663</v>
      </c>
      <c r="N315" s="19"/>
      <c r="S315" s="36"/>
      <c r="T315" s="36"/>
    </row>
    <row r="316" spans="1:20" s="38" customFormat="1" ht="15.75" x14ac:dyDescent="0.3">
      <c r="A316" s="36" t="str">
        <f xml:space="preserve"> IF( 'From SvanPC++'!A306= "", "", ('From SvanPC++'!A306))</f>
        <v/>
      </c>
      <c r="B316" s="35" t="s">
        <v>445</v>
      </c>
      <c r="C316" s="34">
        <v>41.9</v>
      </c>
      <c r="D316" s="36"/>
      <c r="E316" s="20">
        <v>44179</v>
      </c>
      <c r="F316" s="19">
        <v>0.70833333333333337</v>
      </c>
      <c r="H316" s="34">
        <v>41.9</v>
      </c>
      <c r="I316" s="106">
        <f>AVERAGE(H313:H316)</f>
        <v>41.6</v>
      </c>
      <c r="L316" s="20">
        <v>44179</v>
      </c>
      <c r="M316" s="19">
        <v>0.70833333333333337</v>
      </c>
      <c r="N316" s="106">
        <v>41.6</v>
      </c>
      <c r="S316" s="36"/>
      <c r="T316" s="36"/>
    </row>
    <row r="317" spans="1:20" s="38" customFormat="1" ht="15.75" hidden="1" x14ac:dyDescent="0.3">
      <c r="A317" s="36" t="str">
        <f xml:space="preserve"> IF( 'From SvanPC++'!A307= "", "", ('From SvanPC++'!A307))</f>
        <v/>
      </c>
      <c r="B317" s="35" t="s">
        <v>446</v>
      </c>
      <c r="C317" s="34">
        <v>42</v>
      </c>
      <c r="D317" s="36"/>
      <c r="E317" s="20">
        <v>44179</v>
      </c>
      <c r="F317" s="19">
        <v>0.71875</v>
      </c>
      <c r="H317" s="34">
        <v>42</v>
      </c>
      <c r="I317" s="19"/>
      <c r="L317" s="20">
        <v>44179</v>
      </c>
      <c r="M317" s="19">
        <v>0.71875</v>
      </c>
      <c r="N317" s="19"/>
      <c r="S317" s="36"/>
      <c r="T317" s="36"/>
    </row>
    <row r="318" spans="1:20" s="38" customFormat="1" ht="15.75" hidden="1" x14ac:dyDescent="0.3">
      <c r="A318" s="36" t="str">
        <f xml:space="preserve"> IF( 'From SvanPC++'!A308= "", "", ('From SvanPC++'!A308))</f>
        <v/>
      </c>
      <c r="B318" s="35" t="s">
        <v>447</v>
      </c>
      <c r="C318" s="34">
        <v>42.2</v>
      </c>
      <c r="D318" s="36"/>
      <c r="E318" s="20">
        <v>44179</v>
      </c>
      <c r="F318" s="19">
        <v>0.72916666666666663</v>
      </c>
      <c r="H318" s="34">
        <v>42.2</v>
      </c>
      <c r="I318" s="19"/>
      <c r="L318" s="20">
        <v>44179</v>
      </c>
      <c r="M318" s="19">
        <v>0.72916666666666663</v>
      </c>
      <c r="N318" s="19"/>
      <c r="S318" s="36"/>
      <c r="T318" s="36"/>
    </row>
    <row r="319" spans="1:20" s="38" customFormat="1" ht="15.75" hidden="1" x14ac:dyDescent="0.3">
      <c r="A319" s="36" t="str">
        <f xml:space="preserve"> IF( 'From SvanPC++'!A309= "", "", ('From SvanPC++'!A309))</f>
        <v/>
      </c>
      <c r="B319" s="35" t="s">
        <v>448</v>
      </c>
      <c r="C319" s="34">
        <v>42.1</v>
      </c>
      <c r="D319" s="36"/>
      <c r="E319" s="20">
        <v>44179</v>
      </c>
      <c r="F319" s="19">
        <v>0.73958333333333337</v>
      </c>
      <c r="H319" s="34">
        <v>42.1</v>
      </c>
      <c r="I319" s="19"/>
      <c r="L319" s="20">
        <v>44179</v>
      </c>
      <c r="M319" s="19">
        <v>0.73958333333333337</v>
      </c>
      <c r="N319" s="19"/>
      <c r="S319" s="36"/>
      <c r="T319" s="36"/>
    </row>
    <row r="320" spans="1:20" s="38" customFormat="1" ht="15.75" x14ac:dyDescent="0.3">
      <c r="A320" s="36" t="str">
        <f xml:space="preserve"> IF( 'From SvanPC++'!A310= "", "", ('From SvanPC++'!A310))</f>
        <v/>
      </c>
      <c r="B320" s="35" t="s">
        <v>449</v>
      </c>
      <c r="C320" s="34">
        <v>40.299999999999997</v>
      </c>
      <c r="D320" s="36"/>
      <c r="E320" s="20">
        <v>44179</v>
      </c>
      <c r="F320" s="19">
        <v>0.75</v>
      </c>
      <c r="H320" s="34">
        <v>40.299999999999997</v>
      </c>
      <c r="I320" s="106">
        <f>AVERAGE(H317:H320)</f>
        <v>41.650000000000006</v>
      </c>
      <c r="L320" s="20">
        <v>44179</v>
      </c>
      <c r="M320" s="19">
        <v>0.75</v>
      </c>
      <c r="N320" s="106">
        <v>41.650000000000006</v>
      </c>
      <c r="S320" s="36"/>
      <c r="T320" s="36"/>
    </row>
    <row r="321" spans="1:20" s="38" customFormat="1" ht="15.75" hidden="1" x14ac:dyDescent="0.3">
      <c r="A321" s="36" t="str">
        <f xml:space="preserve"> IF( 'From SvanPC++'!A311= "", "", ('From SvanPC++'!A311))</f>
        <v/>
      </c>
      <c r="B321" s="35" t="s">
        <v>450</v>
      </c>
      <c r="C321" s="34">
        <v>41.5</v>
      </c>
      <c r="D321" s="36"/>
      <c r="E321" s="20">
        <v>44179</v>
      </c>
      <c r="F321" s="19">
        <v>0.76041666666666663</v>
      </c>
      <c r="H321" s="34">
        <v>41.5</v>
      </c>
      <c r="I321" s="19"/>
      <c r="L321" s="20">
        <v>44179</v>
      </c>
      <c r="M321" s="19">
        <v>0.76041666666666663</v>
      </c>
      <c r="N321" s="19"/>
      <c r="S321" s="36"/>
      <c r="T321" s="36"/>
    </row>
    <row r="322" spans="1:20" s="38" customFormat="1" ht="15.75" hidden="1" x14ac:dyDescent="0.3">
      <c r="A322" s="36" t="str">
        <f xml:space="preserve"> IF( 'From SvanPC++'!A312= "", "", ('From SvanPC++'!A312))</f>
        <v/>
      </c>
      <c r="B322" s="35" t="s">
        <v>451</v>
      </c>
      <c r="C322" s="34">
        <v>41.4</v>
      </c>
      <c r="D322" s="36"/>
      <c r="E322" s="20">
        <v>44179</v>
      </c>
      <c r="F322" s="19">
        <v>0.77083333333333337</v>
      </c>
      <c r="H322" s="34">
        <v>41.4</v>
      </c>
      <c r="I322" s="19"/>
      <c r="L322" s="20">
        <v>44179</v>
      </c>
      <c r="M322" s="19">
        <v>0.77083333333333337</v>
      </c>
      <c r="N322" s="19"/>
      <c r="S322" s="36"/>
      <c r="T322" s="36"/>
    </row>
    <row r="323" spans="1:20" s="38" customFormat="1" ht="15.75" hidden="1" x14ac:dyDescent="0.3">
      <c r="A323" s="36" t="str">
        <f xml:space="preserve"> IF( 'From SvanPC++'!A313= "", "", ('From SvanPC++'!A313))</f>
        <v/>
      </c>
      <c r="B323" s="35" t="s">
        <v>452</v>
      </c>
      <c r="C323" s="34">
        <v>41.8</v>
      </c>
      <c r="D323" s="36"/>
      <c r="E323" s="20">
        <v>44179</v>
      </c>
      <c r="F323" s="19">
        <v>0.78125</v>
      </c>
      <c r="H323" s="34">
        <v>41.8</v>
      </c>
      <c r="I323" s="19"/>
      <c r="L323" s="20">
        <v>44179</v>
      </c>
      <c r="M323" s="19">
        <v>0.78125</v>
      </c>
      <c r="N323" s="19"/>
      <c r="S323" s="36"/>
      <c r="T323" s="36"/>
    </row>
    <row r="324" spans="1:20" s="38" customFormat="1" ht="15.75" x14ac:dyDescent="0.3">
      <c r="A324" s="36" t="str">
        <f xml:space="preserve"> IF( 'From SvanPC++'!A314= "", "", ('From SvanPC++'!A314))</f>
        <v/>
      </c>
      <c r="B324" s="35" t="s">
        <v>453</v>
      </c>
      <c r="C324" s="34">
        <v>41.7</v>
      </c>
      <c r="D324" s="36"/>
      <c r="E324" s="20">
        <v>44179</v>
      </c>
      <c r="F324" s="19">
        <v>0.79166666666666663</v>
      </c>
      <c r="H324" s="34">
        <v>41.7</v>
      </c>
      <c r="I324" s="106">
        <f>AVERAGE(H321:H324)</f>
        <v>41.6</v>
      </c>
      <c r="L324" s="20">
        <v>44179</v>
      </c>
      <c r="M324" s="19">
        <v>0.79166666666666663</v>
      </c>
      <c r="N324" s="106">
        <v>41.6</v>
      </c>
      <c r="S324" s="36"/>
      <c r="T324" s="36"/>
    </row>
    <row r="325" spans="1:20" s="38" customFormat="1" ht="15.75" hidden="1" x14ac:dyDescent="0.3">
      <c r="A325" s="36" t="str">
        <f xml:space="preserve"> IF( 'From SvanPC++'!A315= "", "", ('From SvanPC++'!A315))</f>
        <v/>
      </c>
      <c r="B325" s="35" t="s">
        <v>454</v>
      </c>
      <c r="C325" s="34">
        <v>40.1</v>
      </c>
      <c r="D325" s="36"/>
      <c r="E325" s="20">
        <v>44179</v>
      </c>
      <c r="F325" s="19">
        <v>0.80208333333333337</v>
      </c>
      <c r="H325" s="34">
        <v>40.1</v>
      </c>
      <c r="I325" s="19"/>
      <c r="L325" s="20">
        <v>44179</v>
      </c>
      <c r="M325" s="19">
        <v>0.80208333333333337</v>
      </c>
      <c r="N325" s="19"/>
      <c r="S325" s="36"/>
      <c r="T325" s="36"/>
    </row>
    <row r="326" spans="1:20" s="38" customFormat="1" ht="15.75" hidden="1" x14ac:dyDescent="0.3">
      <c r="A326" s="36" t="str">
        <f xml:space="preserve"> IF( 'From SvanPC++'!A316= "", "", ('From SvanPC++'!A316))</f>
        <v/>
      </c>
      <c r="B326" s="35" t="s">
        <v>455</v>
      </c>
      <c r="C326" s="34">
        <v>41</v>
      </c>
      <c r="D326" s="36"/>
      <c r="E326" s="20">
        <v>44179</v>
      </c>
      <c r="F326" s="19">
        <v>0.8125</v>
      </c>
      <c r="H326" s="34">
        <v>41</v>
      </c>
      <c r="I326" s="19"/>
      <c r="L326" s="20">
        <v>44179</v>
      </c>
      <c r="M326" s="19">
        <v>0.8125</v>
      </c>
      <c r="N326" s="19"/>
      <c r="S326" s="36"/>
      <c r="T326" s="36"/>
    </row>
    <row r="327" spans="1:20" s="38" customFormat="1" ht="15.75" hidden="1" x14ac:dyDescent="0.3">
      <c r="A327" s="36" t="str">
        <f xml:space="preserve"> IF( 'From SvanPC++'!A317= "", "", ('From SvanPC++'!A317))</f>
        <v/>
      </c>
      <c r="B327" s="35" t="s">
        <v>456</v>
      </c>
      <c r="C327" s="34">
        <v>40.9</v>
      </c>
      <c r="D327" s="36"/>
      <c r="E327" s="20">
        <v>44179</v>
      </c>
      <c r="F327" s="19">
        <v>0.82291666666666663</v>
      </c>
      <c r="H327" s="34">
        <v>40.9</v>
      </c>
      <c r="I327" s="19"/>
      <c r="L327" s="20">
        <v>44179</v>
      </c>
      <c r="M327" s="19">
        <v>0.82291666666666663</v>
      </c>
      <c r="N327" s="19"/>
      <c r="S327" s="36"/>
      <c r="T327" s="36"/>
    </row>
    <row r="328" spans="1:20" s="38" customFormat="1" ht="15.75" x14ac:dyDescent="0.3">
      <c r="A328" s="36" t="str">
        <f xml:space="preserve"> IF( 'From SvanPC++'!A318= "", "", ('From SvanPC++'!A318))</f>
        <v/>
      </c>
      <c r="B328" s="35" t="s">
        <v>457</v>
      </c>
      <c r="C328" s="34">
        <v>40.9</v>
      </c>
      <c r="D328" s="36"/>
      <c r="E328" s="20">
        <v>44179</v>
      </c>
      <c r="F328" s="19">
        <v>0.83333333333333337</v>
      </c>
      <c r="H328" s="34">
        <v>40.9</v>
      </c>
      <c r="I328" s="106">
        <f>AVERAGE(H325:H328)</f>
        <v>40.725000000000001</v>
      </c>
      <c r="L328" s="20">
        <v>44179</v>
      </c>
      <c r="M328" s="19">
        <v>0.83333333333333337</v>
      </c>
      <c r="N328" s="106">
        <v>40.725000000000001</v>
      </c>
      <c r="S328" s="36"/>
      <c r="T328" s="36"/>
    </row>
    <row r="329" spans="1:20" s="38" customFormat="1" ht="15.75" hidden="1" x14ac:dyDescent="0.3">
      <c r="A329" s="36" t="str">
        <f xml:space="preserve"> IF( 'From SvanPC++'!A319= "", "", ('From SvanPC++'!A319))</f>
        <v/>
      </c>
      <c r="B329" s="35" t="s">
        <v>458</v>
      </c>
      <c r="C329" s="34">
        <v>39.5</v>
      </c>
      <c r="D329" s="36"/>
      <c r="E329" s="20">
        <v>44179</v>
      </c>
      <c r="F329" s="19">
        <v>0.84375</v>
      </c>
      <c r="H329" s="34">
        <v>39.5</v>
      </c>
      <c r="I329" s="19"/>
      <c r="L329" s="20">
        <v>44179</v>
      </c>
      <c r="M329" s="19">
        <v>0.84375</v>
      </c>
      <c r="N329" s="19"/>
      <c r="S329" s="36"/>
      <c r="T329" s="36"/>
    </row>
    <row r="330" spans="1:20" s="38" customFormat="1" ht="15.75" hidden="1" x14ac:dyDescent="0.3">
      <c r="A330" s="36" t="str">
        <f xml:space="preserve"> IF( 'From SvanPC++'!A320= "", "", ('From SvanPC++'!A320))</f>
        <v/>
      </c>
      <c r="B330" s="35" t="s">
        <v>459</v>
      </c>
      <c r="C330" s="34">
        <v>40.299999999999997</v>
      </c>
      <c r="D330" s="36"/>
      <c r="E330" s="20">
        <v>44179</v>
      </c>
      <c r="F330" s="19">
        <v>0.85416666666666663</v>
      </c>
      <c r="H330" s="34">
        <v>40.299999999999997</v>
      </c>
      <c r="I330" s="19"/>
      <c r="L330" s="20">
        <v>44179</v>
      </c>
      <c r="M330" s="19">
        <v>0.85416666666666663</v>
      </c>
      <c r="N330" s="19"/>
      <c r="S330" s="36"/>
      <c r="T330" s="36"/>
    </row>
    <row r="331" spans="1:20" s="38" customFormat="1" ht="15.75" hidden="1" x14ac:dyDescent="0.3">
      <c r="A331" s="36" t="str">
        <f xml:space="preserve"> IF( 'From SvanPC++'!A321= "", "", ('From SvanPC++'!A321))</f>
        <v/>
      </c>
      <c r="B331" s="35" t="s">
        <v>460</v>
      </c>
      <c r="C331" s="34">
        <v>39.4</v>
      </c>
      <c r="D331" s="36"/>
      <c r="E331" s="20">
        <v>44179</v>
      </c>
      <c r="F331" s="19">
        <v>0.86458333333333337</v>
      </c>
      <c r="H331" s="34">
        <v>39.4</v>
      </c>
      <c r="I331" s="19"/>
      <c r="L331" s="20">
        <v>44179</v>
      </c>
      <c r="M331" s="19">
        <v>0.86458333333333337</v>
      </c>
      <c r="N331" s="19"/>
      <c r="S331" s="36"/>
      <c r="T331" s="36"/>
    </row>
    <row r="332" spans="1:20" s="38" customFormat="1" ht="15.75" x14ac:dyDescent="0.3">
      <c r="A332" s="36" t="str">
        <f xml:space="preserve"> IF( 'From SvanPC++'!A322= "", "", ('From SvanPC++'!A322))</f>
        <v/>
      </c>
      <c r="B332" s="35" t="s">
        <v>461</v>
      </c>
      <c r="C332" s="34">
        <v>41.4</v>
      </c>
      <c r="D332" s="36"/>
      <c r="E332" s="20">
        <v>44179</v>
      </c>
      <c r="F332" s="19">
        <v>0.875</v>
      </c>
      <c r="H332" s="34">
        <v>41.4</v>
      </c>
      <c r="I332" s="106">
        <f>AVERAGE(H329:H332)</f>
        <v>40.15</v>
      </c>
      <c r="L332" s="20">
        <v>44179</v>
      </c>
      <c r="M332" s="19">
        <v>0.875</v>
      </c>
      <c r="N332" s="106">
        <v>40.15</v>
      </c>
      <c r="S332" s="36"/>
      <c r="T332" s="36"/>
    </row>
    <row r="333" spans="1:20" s="38" customFormat="1" ht="15.75" hidden="1" x14ac:dyDescent="0.3">
      <c r="A333" s="36" t="str">
        <f xml:space="preserve"> IF( 'From SvanPC++'!A323= "", "", ('From SvanPC++'!A323))</f>
        <v/>
      </c>
      <c r="B333" s="35" t="s">
        <v>462</v>
      </c>
      <c r="C333" s="34">
        <v>49.8</v>
      </c>
      <c r="D333" s="36"/>
      <c r="E333" s="20">
        <v>44179</v>
      </c>
      <c r="F333" s="19">
        <v>0.88541666666666663</v>
      </c>
      <c r="H333" s="34">
        <v>49.8</v>
      </c>
      <c r="I333" s="19"/>
      <c r="L333" s="20">
        <v>44179</v>
      </c>
      <c r="M333" s="19">
        <v>0.88541666666666663</v>
      </c>
      <c r="N333" s="19"/>
      <c r="S333" s="36"/>
      <c r="T333" s="36"/>
    </row>
    <row r="334" spans="1:20" s="38" customFormat="1" ht="15.75" hidden="1" x14ac:dyDescent="0.3">
      <c r="A334" s="36" t="str">
        <f xml:space="preserve"> IF( 'From SvanPC++'!A324= "", "", ('From SvanPC++'!A324))</f>
        <v/>
      </c>
      <c r="B334" s="35" t="s">
        <v>463</v>
      </c>
      <c r="C334" s="34">
        <v>42.3</v>
      </c>
      <c r="D334" s="36"/>
      <c r="E334" s="20">
        <v>44179</v>
      </c>
      <c r="F334" s="19">
        <v>0.89583333333333337</v>
      </c>
      <c r="H334" s="34">
        <v>42.3</v>
      </c>
      <c r="I334" s="19"/>
      <c r="L334" s="20">
        <v>44179</v>
      </c>
      <c r="M334" s="19">
        <v>0.89583333333333337</v>
      </c>
      <c r="N334" s="19"/>
      <c r="S334" s="36"/>
      <c r="T334" s="36"/>
    </row>
    <row r="335" spans="1:20" s="38" customFormat="1" ht="15.75" hidden="1" x14ac:dyDescent="0.3">
      <c r="A335" s="36" t="str">
        <f xml:space="preserve"> IF( 'From SvanPC++'!A325= "", "", ('From SvanPC++'!A325))</f>
        <v/>
      </c>
      <c r="B335" s="35" t="s">
        <v>464</v>
      </c>
      <c r="C335" s="34">
        <v>39</v>
      </c>
      <c r="D335" s="36"/>
      <c r="E335" s="20">
        <v>44179</v>
      </c>
      <c r="F335" s="19">
        <v>0.90625</v>
      </c>
      <c r="H335" s="34">
        <v>39</v>
      </c>
      <c r="I335" s="19"/>
      <c r="L335" s="20">
        <v>44179</v>
      </c>
      <c r="M335" s="19">
        <v>0.90625</v>
      </c>
      <c r="N335" s="19"/>
      <c r="S335" s="36"/>
      <c r="T335" s="36"/>
    </row>
    <row r="336" spans="1:20" s="38" customFormat="1" ht="15.75" x14ac:dyDescent="0.3">
      <c r="A336" s="36" t="str">
        <f xml:space="preserve"> IF( 'From SvanPC++'!A326= "", "", ('From SvanPC++'!A326))</f>
        <v/>
      </c>
      <c r="B336" s="35" t="s">
        <v>465</v>
      </c>
      <c r="C336" s="34">
        <v>37.700000000000003</v>
      </c>
      <c r="D336" s="36"/>
      <c r="E336" s="20">
        <v>44179</v>
      </c>
      <c r="F336" s="19">
        <v>0.91666666666666663</v>
      </c>
      <c r="H336" s="34">
        <v>37.700000000000003</v>
      </c>
      <c r="I336" s="106">
        <f>AVERAGE(H333:H336)</f>
        <v>42.2</v>
      </c>
      <c r="L336" s="20">
        <v>44179</v>
      </c>
      <c r="M336" s="19">
        <v>0.91666666666666663</v>
      </c>
      <c r="N336" s="106">
        <v>42.2</v>
      </c>
      <c r="S336" s="36"/>
      <c r="T336" s="36"/>
    </row>
    <row r="337" spans="1:20" s="38" customFormat="1" ht="15.75" hidden="1" x14ac:dyDescent="0.3">
      <c r="A337" s="36" t="str">
        <f xml:space="preserve"> IF( 'From SvanPC++'!A327= "", "", ('From SvanPC++'!A327))</f>
        <v/>
      </c>
      <c r="B337" s="35" t="s">
        <v>466</v>
      </c>
      <c r="C337" s="34">
        <v>36.700000000000003</v>
      </c>
      <c r="D337" s="36"/>
      <c r="E337" s="20">
        <v>44179</v>
      </c>
      <c r="F337" s="19">
        <v>0.92708333333333337</v>
      </c>
      <c r="H337" s="34">
        <v>36.700000000000003</v>
      </c>
      <c r="I337" s="19"/>
      <c r="L337" s="20">
        <v>44179</v>
      </c>
      <c r="M337" s="19">
        <v>0.92708333333333337</v>
      </c>
      <c r="N337" s="19"/>
      <c r="S337" s="36"/>
      <c r="T337" s="36"/>
    </row>
    <row r="338" spans="1:20" s="38" customFormat="1" ht="15.75" hidden="1" x14ac:dyDescent="0.3">
      <c r="A338" s="36" t="str">
        <f xml:space="preserve"> IF( 'From SvanPC++'!A328= "", "", ('From SvanPC++'!A328))</f>
        <v/>
      </c>
      <c r="B338" s="35" t="s">
        <v>467</v>
      </c>
      <c r="C338" s="34">
        <v>35.299999999999997</v>
      </c>
      <c r="D338" s="36"/>
      <c r="E338" s="20">
        <v>44179</v>
      </c>
      <c r="F338" s="19">
        <v>0.9375</v>
      </c>
      <c r="H338" s="34">
        <v>35.299999999999997</v>
      </c>
      <c r="I338" s="19"/>
      <c r="L338" s="20">
        <v>44179</v>
      </c>
      <c r="M338" s="19">
        <v>0.9375</v>
      </c>
      <c r="N338" s="19"/>
      <c r="S338" s="36"/>
      <c r="T338" s="36"/>
    </row>
    <row r="339" spans="1:20" s="38" customFormat="1" ht="15.75" hidden="1" x14ac:dyDescent="0.3">
      <c r="A339" s="36" t="str">
        <f xml:space="preserve"> IF( 'From SvanPC++'!A329= "", "", ('From SvanPC++'!A329))</f>
        <v/>
      </c>
      <c r="B339" s="35" t="s">
        <v>468</v>
      </c>
      <c r="C339" s="34">
        <v>35.4</v>
      </c>
      <c r="D339" s="36"/>
      <c r="E339" s="20">
        <v>44179</v>
      </c>
      <c r="F339" s="19">
        <v>0.94791666666666663</v>
      </c>
      <c r="H339" s="34">
        <v>35.4</v>
      </c>
      <c r="I339" s="19"/>
      <c r="L339" s="20">
        <v>44179</v>
      </c>
      <c r="M339" s="19">
        <v>0.94791666666666663</v>
      </c>
      <c r="N339" s="19"/>
      <c r="S339" s="36"/>
      <c r="T339" s="36"/>
    </row>
    <row r="340" spans="1:20" s="38" customFormat="1" ht="15.75" x14ac:dyDescent="0.3">
      <c r="A340" s="36" t="str">
        <f xml:space="preserve"> IF( 'From SvanPC++'!A330= "", "", ('From SvanPC++'!A330))</f>
        <v/>
      </c>
      <c r="B340" s="35" t="s">
        <v>469</v>
      </c>
      <c r="C340" s="34">
        <v>32.1</v>
      </c>
      <c r="D340" s="36"/>
      <c r="E340" s="20">
        <v>44179</v>
      </c>
      <c r="F340" s="19">
        <v>0.95833333333333337</v>
      </c>
      <c r="H340" s="34">
        <v>32.1</v>
      </c>
      <c r="I340" s="106">
        <f>AVERAGE(H337:H340)</f>
        <v>34.875</v>
      </c>
      <c r="L340" s="20">
        <v>44179</v>
      </c>
      <c r="M340" s="19">
        <v>0.95833333333333337</v>
      </c>
      <c r="N340" s="106">
        <v>34.875</v>
      </c>
      <c r="S340" s="36"/>
      <c r="T340" s="36"/>
    </row>
    <row r="341" spans="1:20" s="38" customFormat="1" ht="15.75" hidden="1" x14ac:dyDescent="0.3">
      <c r="A341" s="36" t="str">
        <f xml:space="preserve"> IF( 'From SvanPC++'!A331= "", "", ('From SvanPC++'!A331))</f>
        <v/>
      </c>
      <c r="B341" s="35" t="s">
        <v>470</v>
      </c>
      <c r="C341" s="34">
        <v>31.2</v>
      </c>
      <c r="D341" s="36"/>
      <c r="E341" s="20">
        <v>44179</v>
      </c>
      <c r="F341" s="19">
        <v>0.96875</v>
      </c>
      <c r="H341" s="34">
        <v>31.2</v>
      </c>
      <c r="I341" s="19"/>
      <c r="L341" s="20">
        <v>44179</v>
      </c>
      <c r="M341" s="19">
        <v>0.96875</v>
      </c>
      <c r="N341" s="19"/>
      <c r="S341" s="36"/>
      <c r="T341" s="36"/>
    </row>
    <row r="342" spans="1:20" s="38" customFormat="1" ht="15.75" hidden="1" x14ac:dyDescent="0.3">
      <c r="A342" s="36" t="str">
        <f xml:space="preserve"> IF( 'From SvanPC++'!A332= "", "", ('From SvanPC++'!A332))</f>
        <v/>
      </c>
      <c r="B342" s="35" t="s">
        <v>471</v>
      </c>
      <c r="C342" s="34">
        <v>32.1</v>
      </c>
      <c r="D342" s="36"/>
      <c r="E342" s="20">
        <v>44179</v>
      </c>
      <c r="F342" s="19">
        <v>0.97916666666666663</v>
      </c>
      <c r="H342" s="34">
        <v>32.1</v>
      </c>
      <c r="I342" s="19"/>
      <c r="L342" s="20">
        <v>44179</v>
      </c>
      <c r="M342" s="19">
        <v>0.97916666666666663</v>
      </c>
      <c r="N342" s="19"/>
      <c r="S342" s="36"/>
      <c r="T342" s="36"/>
    </row>
    <row r="343" spans="1:20" s="38" customFormat="1" ht="15.75" hidden="1" x14ac:dyDescent="0.3">
      <c r="A343" s="36" t="str">
        <f xml:space="preserve"> IF( 'From SvanPC++'!A333= "", "", ('From SvanPC++'!A333))</f>
        <v/>
      </c>
      <c r="B343" s="35" t="s">
        <v>472</v>
      </c>
      <c r="C343" s="34">
        <v>33.1</v>
      </c>
      <c r="D343" s="36"/>
      <c r="E343" s="20">
        <v>44179</v>
      </c>
      <c r="F343" s="19">
        <v>0.98958333333333337</v>
      </c>
      <c r="H343" s="34">
        <v>33.1</v>
      </c>
      <c r="I343" s="19"/>
      <c r="L343" s="20">
        <v>44179</v>
      </c>
      <c r="M343" s="19">
        <v>0.98958333333333337</v>
      </c>
      <c r="N343" s="19"/>
      <c r="S343" s="36"/>
      <c r="T343" s="36"/>
    </row>
    <row r="344" spans="1:20" s="38" customFormat="1" ht="15.75" x14ac:dyDescent="0.3">
      <c r="A344" s="36" t="str">
        <f xml:space="preserve"> IF( 'From SvanPC++'!A334= "", "", ('From SvanPC++'!A334))</f>
        <v/>
      </c>
      <c r="B344" s="35" t="s">
        <v>473</v>
      </c>
      <c r="C344" s="34">
        <v>33.1</v>
      </c>
      <c r="D344" s="36"/>
      <c r="E344" s="20">
        <v>44180</v>
      </c>
      <c r="F344" s="19">
        <v>0</v>
      </c>
      <c r="H344" s="34">
        <v>33.1</v>
      </c>
      <c r="I344" s="106">
        <f>AVERAGE(H341:H344)</f>
        <v>32.375</v>
      </c>
      <c r="L344" s="20">
        <v>44180</v>
      </c>
      <c r="M344" s="19">
        <v>0</v>
      </c>
      <c r="N344" s="106">
        <v>32.375</v>
      </c>
      <c r="S344" s="36"/>
      <c r="T344" s="36"/>
    </row>
    <row r="345" spans="1:20" s="38" customFormat="1" ht="15.75" hidden="1" x14ac:dyDescent="0.3">
      <c r="A345" s="36" t="str">
        <f xml:space="preserve"> IF( 'From SvanPC++'!A335= "", "", ('From SvanPC++'!A335))</f>
        <v/>
      </c>
      <c r="B345" s="35" t="s">
        <v>474</v>
      </c>
      <c r="C345" s="34">
        <v>31.9</v>
      </c>
      <c r="D345" s="36"/>
      <c r="E345" s="20">
        <v>44180</v>
      </c>
      <c r="F345" s="19">
        <v>1.0416666666666666E-2</v>
      </c>
      <c r="H345" s="34">
        <v>31.9</v>
      </c>
      <c r="I345" s="19"/>
      <c r="L345" s="20">
        <v>44180</v>
      </c>
      <c r="M345" s="19">
        <v>1.0416666666666666E-2</v>
      </c>
      <c r="N345" s="19"/>
      <c r="S345" s="36"/>
      <c r="T345" s="36"/>
    </row>
    <row r="346" spans="1:20" s="38" customFormat="1" ht="15.75" hidden="1" x14ac:dyDescent="0.3">
      <c r="A346" s="36" t="str">
        <f xml:space="preserve"> IF( 'From SvanPC++'!A336= "", "", ('From SvanPC++'!A336))</f>
        <v/>
      </c>
      <c r="B346" s="35" t="s">
        <v>475</v>
      </c>
      <c r="C346" s="34">
        <v>30.9</v>
      </c>
      <c r="D346" s="36"/>
      <c r="E346" s="20">
        <v>44180</v>
      </c>
      <c r="F346" s="19">
        <v>2.0833333333333332E-2</v>
      </c>
      <c r="H346" s="34">
        <v>30.9</v>
      </c>
      <c r="I346" s="19"/>
      <c r="L346" s="20">
        <v>44180</v>
      </c>
      <c r="M346" s="19">
        <v>2.0833333333333332E-2</v>
      </c>
      <c r="N346" s="19"/>
      <c r="S346" s="36"/>
      <c r="T346" s="36"/>
    </row>
    <row r="347" spans="1:20" s="38" customFormat="1" ht="15.75" hidden="1" x14ac:dyDescent="0.3">
      <c r="A347" s="36" t="str">
        <f xml:space="preserve"> IF( 'From SvanPC++'!A337= "", "", ('From SvanPC++'!A337))</f>
        <v/>
      </c>
      <c r="B347" s="35" t="s">
        <v>476</v>
      </c>
      <c r="C347" s="34">
        <v>26.8</v>
      </c>
      <c r="D347" s="36"/>
      <c r="E347" s="20">
        <v>44180</v>
      </c>
      <c r="F347" s="19">
        <v>3.125E-2</v>
      </c>
      <c r="H347" s="34">
        <v>26.8</v>
      </c>
      <c r="I347" s="19"/>
      <c r="L347" s="20">
        <v>44180</v>
      </c>
      <c r="M347" s="19">
        <v>3.125E-2</v>
      </c>
      <c r="N347" s="19"/>
      <c r="S347" s="36"/>
      <c r="T347" s="36"/>
    </row>
    <row r="348" spans="1:20" s="38" customFormat="1" ht="15.75" x14ac:dyDescent="0.3">
      <c r="A348" s="36" t="str">
        <f xml:space="preserve"> IF( 'From SvanPC++'!A338= "", "", ('From SvanPC++'!A338))</f>
        <v/>
      </c>
      <c r="B348" s="35" t="s">
        <v>477</v>
      </c>
      <c r="C348" s="34">
        <v>25.9</v>
      </c>
      <c r="D348" s="36"/>
      <c r="E348" s="20">
        <v>44180</v>
      </c>
      <c r="F348" s="19">
        <v>4.1666666666666664E-2</v>
      </c>
      <c r="H348" s="34">
        <v>25.9</v>
      </c>
      <c r="I348" s="106">
        <f>AVERAGE(H345:H348)</f>
        <v>28.875</v>
      </c>
      <c r="L348" s="20">
        <v>44180</v>
      </c>
      <c r="M348" s="19">
        <v>4.1666666666666664E-2</v>
      </c>
      <c r="N348" s="106">
        <v>28.875</v>
      </c>
      <c r="S348" s="36"/>
      <c r="T348" s="36"/>
    </row>
    <row r="349" spans="1:20" s="38" customFormat="1" ht="15.75" hidden="1" x14ac:dyDescent="0.3">
      <c r="A349" s="36" t="str">
        <f xml:space="preserve"> IF( 'From SvanPC++'!A339= "", "", ('From SvanPC++'!A339))</f>
        <v/>
      </c>
      <c r="B349" s="35" t="s">
        <v>478</v>
      </c>
      <c r="C349" s="34">
        <v>32.1</v>
      </c>
      <c r="D349" s="36"/>
      <c r="E349" s="20">
        <v>44180</v>
      </c>
      <c r="F349" s="19">
        <v>5.2083333333333336E-2</v>
      </c>
      <c r="H349" s="34">
        <v>32.1</v>
      </c>
      <c r="I349" s="19"/>
      <c r="L349" s="20">
        <v>44180</v>
      </c>
      <c r="M349" s="19">
        <v>5.2083333333333336E-2</v>
      </c>
      <c r="N349" s="19"/>
      <c r="S349" s="36"/>
      <c r="T349" s="36"/>
    </row>
    <row r="350" spans="1:20" s="38" customFormat="1" ht="15.75" hidden="1" x14ac:dyDescent="0.3">
      <c r="A350" s="36" t="str">
        <f xml:space="preserve"> IF( 'From SvanPC++'!A340= "", "", ('From SvanPC++'!A340))</f>
        <v/>
      </c>
      <c r="B350" s="35" t="s">
        <v>479</v>
      </c>
      <c r="C350" s="34">
        <v>27</v>
      </c>
      <c r="D350" s="36"/>
      <c r="E350" s="20">
        <v>44180</v>
      </c>
      <c r="F350" s="19">
        <v>6.25E-2</v>
      </c>
      <c r="H350" s="34">
        <v>27</v>
      </c>
      <c r="I350" s="19"/>
      <c r="L350" s="20">
        <v>44180</v>
      </c>
      <c r="M350" s="19">
        <v>6.25E-2</v>
      </c>
      <c r="N350" s="19"/>
      <c r="S350" s="36"/>
      <c r="T350" s="36"/>
    </row>
    <row r="351" spans="1:20" s="38" customFormat="1" ht="15.75" hidden="1" x14ac:dyDescent="0.3">
      <c r="A351" s="36" t="str">
        <f xml:space="preserve"> IF( 'From SvanPC++'!A341= "", "", ('From SvanPC++'!A341))</f>
        <v/>
      </c>
      <c r="B351" s="35" t="s">
        <v>480</v>
      </c>
      <c r="C351" s="34">
        <v>25.4</v>
      </c>
      <c r="D351" s="36"/>
      <c r="E351" s="20">
        <v>44180</v>
      </c>
      <c r="F351" s="19">
        <v>7.2916666666666671E-2</v>
      </c>
      <c r="H351" s="34">
        <v>25.4</v>
      </c>
      <c r="I351" s="19"/>
      <c r="L351" s="20">
        <v>44180</v>
      </c>
      <c r="M351" s="19">
        <v>7.2916666666666671E-2</v>
      </c>
      <c r="N351" s="19"/>
      <c r="S351" s="36"/>
      <c r="T351" s="36"/>
    </row>
    <row r="352" spans="1:20" s="38" customFormat="1" ht="15.75" x14ac:dyDescent="0.3">
      <c r="A352" s="36" t="str">
        <f xml:space="preserve"> IF( 'From SvanPC++'!A342= "", "", ('From SvanPC++'!A342))</f>
        <v/>
      </c>
      <c r="B352" s="35" t="s">
        <v>481</v>
      </c>
      <c r="C352" s="34">
        <v>26.8</v>
      </c>
      <c r="D352" s="36"/>
      <c r="E352" s="20">
        <v>44180</v>
      </c>
      <c r="F352" s="19">
        <v>8.3333333333333329E-2</v>
      </c>
      <c r="H352" s="34">
        <v>26.8</v>
      </c>
      <c r="I352" s="106">
        <f>AVERAGE(H349:H352)</f>
        <v>27.824999999999999</v>
      </c>
      <c r="L352" s="20">
        <v>44180</v>
      </c>
      <c r="M352" s="19">
        <v>8.3333333333333329E-2</v>
      </c>
      <c r="N352" s="106">
        <v>27.824999999999999</v>
      </c>
      <c r="S352" s="36"/>
      <c r="T352" s="36"/>
    </row>
    <row r="353" spans="1:20" s="38" customFormat="1" ht="15.75" hidden="1" x14ac:dyDescent="0.3">
      <c r="A353" s="36" t="str">
        <f xml:space="preserve"> IF( 'From SvanPC++'!A343= "", "", ('From SvanPC++'!A343))</f>
        <v/>
      </c>
      <c r="B353" s="35" t="s">
        <v>482</v>
      </c>
      <c r="C353" s="34">
        <v>28</v>
      </c>
      <c r="D353" s="36"/>
      <c r="E353" s="20">
        <v>44180</v>
      </c>
      <c r="F353" s="19">
        <v>9.375E-2</v>
      </c>
      <c r="H353" s="34">
        <v>28</v>
      </c>
      <c r="I353" s="19"/>
      <c r="L353" s="20">
        <v>44180</v>
      </c>
      <c r="M353" s="19">
        <v>9.375E-2</v>
      </c>
      <c r="N353" s="19"/>
      <c r="S353" s="36"/>
      <c r="T353" s="36"/>
    </row>
    <row r="354" spans="1:20" s="38" customFormat="1" ht="15.75" hidden="1" x14ac:dyDescent="0.3">
      <c r="A354" s="36" t="str">
        <f xml:space="preserve"> IF( 'From SvanPC++'!A344= "", "", ('From SvanPC++'!A344))</f>
        <v/>
      </c>
      <c r="B354" s="35" t="s">
        <v>483</v>
      </c>
      <c r="C354" s="34">
        <v>27.1</v>
      </c>
      <c r="D354" s="36"/>
      <c r="E354" s="20">
        <v>44180</v>
      </c>
      <c r="F354" s="19">
        <v>0.10416666666666667</v>
      </c>
      <c r="H354" s="34">
        <v>27.1</v>
      </c>
      <c r="I354" s="19"/>
      <c r="L354" s="20">
        <v>44180</v>
      </c>
      <c r="M354" s="19">
        <v>0.10416666666666667</v>
      </c>
      <c r="N354" s="19"/>
      <c r="S354" s="36"/>
      <c r="T354" s="36"/>
    </row>
    <row r="355" spans="1:20" s="38" customFormat="1" ht="15.75" hidden="1" x14ac:dyDescent="0.3">
      <c r="A355" s="36" t="str">
        <f xml:space="preserve"> IF( 'From SvanPC++'!A345= "", "", ('From SvanPC++'!A345))</f>
        <v/>
      </c>
      <c r="B355" s="35" t="s">
        <v>484</v>
      </c>
      <c r="C355" s="34">
        <v>26.5</v>
      </c>
      <c r="D355" s="36"/>
      <c r="E355" s="20">
        <v>44180</v>
      </c>
      <c r="F355" s="19">
        <v>0.11458333333333333</v>
      </c>
      <c r="H355" s="34">
        <v>26.5</v>
      </c>
      <c r="I355" s="19"/>
      <c r="L355" s="20">
        <v>44180</v>
      </c>
      <c r="M355" s="19">
        <v>0.11458333333333333</v>
      </c>
      <c r="N355" s="19"/>
      <c r="S355" s="36"/>
      <c r="T355" s="36"/>
    </row>
    <row r="356" spans="1:20" s="38" customFormat="1" ht="15.75" x14ac:dyDescent="0.3">
      <c r="A356" s="36" t="str">
        <f xml:space="preserve"> IF( 'From SvanPC++'!A346= "", "", ('From SvanPC++'!A346))</f>
        <v/>
      </c>
      <c r="B356" s="35" t="s">
        <v>485</v>
      </c>
      <c r="C356" s="34">
        <v>30</v>
      </c>
      <c r="D356" s="36"/>
      <c r="E356" s="20">
        <v>44180</v>
      </c>
      <c r="F356" s="19">
        <v>0.125</v>
      </c>
      <c r="H356" s="34">
        <v>30</v>
      </c>
      <c r="I356" s="106">
        <f>AVERAGE(H353:H356)</f>
        <v>27.9</v>
      </c>
      <c r="L356" s="20">
        <v>44180</v>
      </c>
      <c r="M356" s="19">
        <v>0.125</v>
      </c>
      <c r="N356" s="106">
        <v>27.9</v>
      </c>
      <c r="S356" s="36"/>
      <c r="T356" s="36"/>
    </row>
    <row r="357" spans="1:20" s="38" customFormat="1" ht="15.75" hidden="1" x14ac:dyDescent="0.3">
      <c r="A357" s="36" t="str">
        <f xml:space="preserve"> IF( 'From SvanPC++'!A347= "", "", ('From SvanPC++'!A347))</f>
        <v/>
      </c>
      <c r="B357" s="35" t="s">
        <v>486</v>
      </c>
      <c r="C357" s="34">
        <v>25</v>
      </c>
      <c r="D357" s="36"/>
      <c r="E357" s="20">
        <v>44180</v>
      </c>
      <c r="F357" s="19">
        <v>0.13541666666666666</v>
      </c>
      <c r="H357" s="34">
        <v>25</v>
      </c>
      <c r="I357" s="19"/>
      <c r="L357" s="20">
        <v>44180</v>
      </c>
      <c r="M357" s="19">
        <v>0.13541666666666666</v>
      </c>
      <c r="N357" s="19"/>
      <c r="S357" s="36"/>
      <c r="T357" s="36"/>
    </row>
    <row r="358" spans="1:20" s="38" customFormat="1" ht="15.75" hidden="1" x14ac:dyDescent="0.3">
      <c r="A358" s="36" t="str">
        <f xml:space="preserve"> IF( 'From SvanPC++'!A348= "", "", ('From SvanPC++'!A348))</f>
        <v/>
      </c>
      <c r="B358" s="35" t="s">
        <v>487</v>
      </c>
      <c r="C358" s="34">
        <v>25.5</v>
      </c>
      <c r="D358" s="36"/>
      <c r="E358" s="20">
        <v>44180</v>
      </c>
      <c r="F358" s="19">
        <v>0.14583333333333334</v>
      </c>
      <c r="H358" s="34">
        <v>25.5</v>
      </c>
      <c r="I358" s="19"/>
      <c r="L358" s="20">
        <v>44180</v>
      </c>
      <c r="M358" s="19">
        <v>0.14583333333333334</v>
      </c>
      <c r="N358" s="19"/>
      <c r="S358" s="36"/>
      <c r="T358" s="36"/>
    </row>
    <row r="359" spans="1:20" s="38" customFormat="1" ht="15.75" hidden="1" x14ac:dyDescent="0.3">
      <c r="A359" s="36" t="str">
        <f xml:space="preserve"> IF( 'From SvanPC++'!A349= "", "", ('From SvanPC++'!A349))</f>
        <v/>
      </c>
      <c r="B359" s="35" t="s">
        <v>488</v>
      </c>
      <c r="C359" s="34">
        <v>31.6</v>
      </c>
      <c r="D359" s="36"/>
      <c r="E359" s="20">
        <v>44180</v>
      </c>
      <c r="F359" s="19">
        <v>0.15625</v>
      </c>
      <c r="H359" s="34">
        <v>31.6</v>
      </c>
      <c r="I359" s="19"/>
      <c r="L359" s="20">
        <v>44180</v>
      </c>
      <c r="M359" s="19">
        <v>0.15625</v>
      </c>
      <c r="N359" s="19"/>
      <c r="S359" s="36"/>
      <c r="T359" s="36"/>
    </row>
    <row r="360" spans="1:20" s="38" customFormat="1" ht="15.75" x14ac:dyDescent="0.3">
      <c r="A360" s="36" t="str">
        <f xml:space="preserve"> IF( 'From SvanPC++'!A350= "", "", ('From SvanPC++'!A350))</f>
        <v/>
      </c>
      <c r="B360" s="35" t="s">
        <v>489</v>
      </c>
      <c r="C360" s="34">
        <v>26</v>
      </c>
      <c r="D360" s="36"/>
      <c r="E360" s="20">
        <v>44180</v>
      </c>
      <c r="F360" s="19">
        <v>0.16666666666666666</v>
      </c>
      <c r="H360" s="34">
        <v>26</v>
      </c>
      <c r="I360" s="106">
        <f>AVERAGE(H357:H360)</f>
        <v>27.024999999999999</v>
      </c>
      <c r="L360" s="20">
        <v>44180</v>
      </c>
      <c r="M360" s="19">
        <v>0.16666666666666666</v>
      </c>
      <c r="N360" s="106">
        <v>27.024999999999999</v>
      </c>
      <c r="S360" s="36"/>
      <c r="T360" s="36"/>
    </row>
    <row r="361" spans="1:20" s="38" customFormat="1" ht="15.75" hidden="1" x14ac:dyDescent="0.3">
      <c r="A361" s="36" t="str">
        <f xml:space="preserve"> IF( 'From SvanPC++'!A351= "", "", ('From SvanPC++'!A351))</f>
        <v/>
      </c>
      <c r="B361" s="35" t="s">
        <v>490</v>
      </c>
      <c r="C361" s="34">
        <v>26</v>
      </c>
      <c r="D361" s="36"/>
      <c r="E361" s="20">
        <v>44180</v>
      </c>
      <c r="F361" s="19">
        <v>0.17708333333333334</v>
      </c>
      <c r="H361" s="34">
        <v>26</v>
      </c>
      <c r="I361" s="19"/>
      <c r="L361" s="20">
        <v>44180</v>
      </c>
      <c r="M361" s="19">
        <v>0.17708333333333334</v>
      </c>
      <c r="N361" s="19"/>
      <c r="S361" s="36"/>
      <c r="T361" s="36"/>
    </row>
    <row r="362" spans="1:20" s="38" customFormat="1" ht="15.75" hidden="1" x14ac:dyDescent="0.3">
      <c r="A362" s="36" t="str">
        <f xml:space="preserve"> IF( 'From SvanPC++'!A352= "", "", ('From SvanPC++'!A352))</f>
        <v/>
      </c>
      <c r="B362" s="35" t="s">
        <v>491</v>
      </c>
      <c r="C362" s="34">
        <v>32</v>
      </c>
      <c r="D362" s="36"/>
      <c r="E362" s="20">
        <v>44180</v>
      </c>
      <c r="F362" s="19">
        <v>0.1875</v>
      </c>
      <c r="H362" s="34">
        <v>32</v>
      </c>
      <c r="I362" s="19"/>
      <c r="L362" s="20">
        <v>44180</v>
      </c>
      <c r="M362" s="19">
        <v>0.1875</v>
      </c>
      <c r="N362" s="19"/>
      <c r="S362" s="36"/>
      <c r="T362" s="36"/>
    </row>
    <row r="363" spans="1:20" s="38" customFormat="1" ht="15.75" hidden="1" x14ac:dyDescent="0.3">
      <c r="A363" s="36" t="str">
        <f xml:space="preserve"> IF( 'From SvanPC++'!A353= "", "", ('From SvanPC++'!A353))</f>
        <v/>
      </c>
      <c r="B363" s="35" t="s">
        <v>492</v>
      </c>
      <c r="C363" s="34">
        <v>27</v>
      </c>
      <c r="D363" s="36"/>
      <c r="E363" s="20">
        <v>44180</v>
      </c>
      <c r="F363" s="19">
        <v>0.19791666666666666</v>
      </c>
      <c r="H363" s="34">
        <v>27</v>
      </c>
      <c r="I363" s="19"/>
      <c r="L363" s="20">
        <v>44180</v>
      </c>
      <c r="M363" s="19">
        <v>0.19791666666666666</v>
      </c>
      <c r="N363" s="19"/>
      <c r="S363" s="36"/>
      <c r="T363" s="36"/>
    </row>
    <row r="364" spans="1:20" s="38" customFormat="1" ht="15.75" x14ac:dyDescent="0.3">
      <c r="A364" s="36" t="str">
        <f xml:space="preserve"> IF( 'From SvanPC++'!A354= "", "", ('From SvanPC++'!A354))</f>
        <v/>
      </c>
      <c r="B364" s="35" t="s">
        <v>493</v>
      </c>
      <c r="C364" s="34">
        <v>29.1</v>
      </c>
      <c r="D364" s="36"/>
      <c r="E364" s="20">
        <v>44180</v>
      </c>
      <c r="F364" s="19">
        <v>0.20833333333333334</v>
      </c>
      <c r="H364" s="34">
        <v>29.1</v>
      </c>
      <c r="I364" s="106">
        <f>AVERAGE(H361:H364)</f>
        <v>28.524999999999999</v>
      </c>
      <c r="L364" s="20">
        <v>44180</v>
      </c>
      <c r="M364" s="19">
        <v>0.20833333333333334</v>
      </c>
      <c r="N364" s="106">
        <v>28.524999999999999</v>
      </c>
      <c r="S364" s="36"/>
      <c r="T364" s="36"/>
    </row>
    <row r="365" spans="1:20" s="38" customFormat="1" ht="15.75" hidden="1" x14ac:dyDescent="0.3">
      <c r="A365" s="36" t="str">
        <f xml:space="preserve"> IF( 'From SvanPC++'!A355= "", "", ('From SvanPC++'!A355))</f>
        <v/>
      </c>
      <c r="B365" s="35" t="s">
        <v>494</v>
      </c>
      <c r="C365" s="34">
        <v>37.5</v>
      </c>
      <c r="D365" s="36"/>
      <c r="E365" s="20">
        <v>44180</v>
      </c>
      <c r="F365" s="19">
        <v>0.21875</v>
      </c>
      <c r="H365" s="34">
        <v>37.5</v>
      </c>
      <c r="I365" s="19"/>
      <c r="L365" s="20">
        <v>44180</v>
      </c>
      <c r="M365" s="19">
        <v>0.21875</v>
      </c>
      <c r="N365" s="19"/>
      <c r="S365" s="36"/>
      <c r="T365" s="36"/>
    </row>
    <row r="366" spans="1:20" s="38" customFormat="1" ht="15.75" hidden="1" x14ac:dyDescent="0.3">
      <c r="A366" s="36" t="str">
        <f xml:space="preserve"> IF( 'From SvanPC++'!A356= "", "", ('From SvanPC++'!A356))</f>
        <v/>
      </c>
      <c r="B366" s="35" t="s">
        <v>495</v>
      </c>
      <c r="C366" s="34">
        <v>40.9</v>
      </c>
      <c r="D366" s="36"/>
      <c r="E366" s="20">
        <v>44180</v>
      </c>
      <c r="F366" s="19">
        <v>0.22916666666666666</v>
      </c>
      <c r="H366" s="34">
        <v>40.9</v>
      </c>
      <c r="I366" s="19"/>
      <c r="L366" s="20">
        <v>44180</v>
      </c>
      <c r="M366" s="19">
        <v>0.22916666666666666</v>
      </c>
      <c r="N366" s="19"/>
      <c r="S366" s="36"/>
      <c r="T366" s="36"/>
    </row>
    <row r="367" spans="1:20" s="38" customFormat="1" ht="15.75" hidden="1" x14ac:dyDescent="0.3">
      <c r="A367" s="36" t="str">
        <f xml:space="preserve"> IF( 'From SvanPC++'!A357= "", "", ('From SvanPC++'!A357))</f>
        <v/>
      </c>
      <c r="B367" s="35" t="s">
        <v>496</v>
      </c>
      <c r="C367" s="34">
        <v>40.299999999999997</v>
      </c>
      <c r="D367" s="36"/>
      <c r="E367" s="20">
        <v>44180</v>
      </c>
      <c r="F367" s="19">
        <v>0.23958333333333334</v>
      </c>
      <c r="H367" s="34">
        <v>40.299999999999997</v>
      </c>
      <c r="I367" s="19"/>
      <c r="L367" s="20">
        <v>44180</v>
      </c>
      <c r="M367" s="19">
        <v>0.23958333333333334</v>
      </c>
      <c r="N367" s="19"/>
      <c r="S367" s="36"/>
      <c r="T367" s="36"/>
    </row>
    <row r="368" spans="1:20" s="38" customFormat="1" ht="15.75" x14ac:dyDescent="0.3">
      <c r="A368" s="36" t="str">
        <f xml:space="preserve"> IF( 'From SvanPC++'!A358= "", "", ('From SvanPC++'!A358))</f>
        <v/>
      </c>
      <c r="B368" s="35" t="s">
        <v>497</v>
      </c>
      <c r="C368" s="34">
        <v>41.8</v>
      </c>
      <c r="D368" s="36"/>
      <c r="E368" s="20">
        <v>44180</v>
      </c>
      <c r="F368" s="19">
        <v>0.25</v>
      </c>
      <c r="H368" s="34">
        <v>41.8</v>
      </c>
      <c r="I368" s="106">
        <f>AVERAGE(H365:H368)</f>
        <v>40.125</v>
      </c>
      <c r="L368" s="20">
        <v>44180</v>
      </c>
      <c r="M368" s="19">
        <v>0.25</v>
      </c>
      <c r="N368" s="106">
        <v>40.125</v>
      </c>
      <c r="S368" s="36"/>
      <c r="T368" s="36"/>
    </row>
    <row r="369" spans="1:20" s="38" customFormat="1" ht="15.75" hidden="1" x14ac:dyDescent="0.3">
      <c r="A369" s="36" t="str">
        <f xml:space="preserve"> IF( 'From SvanPC++'!A359= "", "", ('From SvanPC++'!A359))</f>
        <v/>
      </c>
      <c r="B369" s="35" t="s">
        <v>498</v>
      </c>
      <c r="C369" s="34">
        <v>42.8</v>
      </c>
      <c r="D369" s="36"/>
      <c r="E369" s="20">
        <v>44180</v>
      </c>
      <c r="F369" s="19">
        <v>0.26041666666666669</v>
      </c>
      <c r="H369" s="34">
        <v>42.8</v>
      </c>
      <c r="I369" s="19"/>
      <c r="L369" s="20">
        <v>44180</v>
      </c>
      <c r="M369" s="19">
        <v>0.26041666666666669</v>
      </c>
      <c r="N369" s="19"/>
      <c r="S369" s="36"/>
      <c r="T369" s="36"/>
    </row>
    <row r="370" spans="1:20" s="38" customFormat="1" ht="15.75" hidden="1" x14ac:dyDescent="0.3">
      <c r="A370" s="36" t="str">
        <f xml:space="preserve"> IF( 'From SvanPC++'!A360= "", "", ('From SvanPC++'!A360))</f>
        <v/>
      </c>
      <c r="B370" s="35" t="s">
        <v>499</v>
      </c>
      <c r="C370" s="34">
        <v>44</v>
      </c>
      <c r="D370" s="36"/>
      <c r="E370" s="20">
        <v>44180</v>
      </c>
      <c r="F370" s="19">
        <v>0.27083333333333331</v>
      </c>
      <c r="H370" s="34">
        <v>44</v>
      </c>
      <c r="I370" s="19"/>
      <c r="L370" s="20">
        <v>44180</v>
      </c>
      <c r="M370" s="19">
        <v>0.27083333333333331</v>
      </c>
      <c r="N370" s="19"/>
      <c r="S370" s="36"/>
      <c r="T370" s="36"/>
    </row>
    <row r="371" spans="1:20" s="38" customFormat="1" ht="15.75" hidden="1" x14ac:dyDescent="0.3">
      <c r="A371" s="36" t="str">
        <f xml:space="preserve"> IF( 'From SvanPC++'!A361= "", "", ('From SvanPC++'!A361))</f>
        <v/>
      </c>
      <c r="B371" s="35" t="s">
        <v>500</v>
      </c>
      <c r="C371" s="34">
        <v>45.1</v>
      </c>
      <c r="D371" s="36"/>
      <c r="E371" s="20">
        <v>44180</v>
      </c>
      <c r="F371" s="19">
        <v>0.28125</v>
      </c>
      <c r="H371" s="34">
        <v>45.1</v>
      </c>
      <c r="I371" s="19"/>
      <c r="L371" s="20">
        <v>44180</v>
      </c>
      <c r="M371" s="19">
        <v>0.28125</v>
      </c>
      <c r="N371" s="19"/>
      <c r="S371" s="36"/>
      <c r="T371" s="36"/>
    </row>
    <row r="372" spans="1:20" s="38" customFormat="1" ht="15.75" x14ac:dyDescent="0.3">
      <c r="A372" s="36" t="str">
        <f xml:space="preserve"> IF( 'From SvanPC++'!A362= "", "", ('From SvanPC++'!A362))</f>
        <v/>
      </c>
      <c r="B372" s="35" t="s">
        <v>501</v>
      </c>
      <c r="C372" s="34">
        <v>45.1</v>
      </c>
      <c r="D372" s="36"/>
      <c r="E372" s="20">
        <v>44180</v>
      </c>
      <c r="F372" s="19">
        <v>0.29166666666666669</v>
      </c>
      <c r="H372" s="34">
        <v>45.1</v>
      </c>
      <c r="I372" s="106">
        <f>AVERAGE(H369:H372)</f>
        <v>44.25</v>
      </c>
      <c r="L372" s="20">
        <v>44180</v>
      </c>
      <c r="M372" s="19">
        <v>0.29166666666666669</v>
      </c>
      <c r="N372" s="106">
        <v>44.25</v>
      </c>
      <c r="S372" s="36"/>
      <c r="T372" s="36"/>
    </row>
    <row r="373" spans="1:20" s="38" customFormat="1" ht="15.75" hidden="1" x14ac:dyDescent="0.3">
      <c r="A373" s="36" t="str">
        <f xml:space="preserve"> IF( 'From SvanPC++'!A363= "", "", ('From SvanPC++'!A363))</f>
        <v/>
      </c>
      <c r="B373" s="35" t="s">
        <v>502</v>
      </c>
      <c r="C373" s="34">
        <v>45.7</v>
      </c>
      <c r="D373" s="36"/>
      <c r="E373" s="20">
        <v>44180</v>
      </c>
      <c r="F373" s="19">
        <v>0.30208333333333331</v>
      </c>
      <c r="H373" s="34">
        <v>45.7</v>
      </c>
      <c r="I373" s="19"/>
      <c r="L373" s="20">
        <v>44180</v>
      </c>
      <c r="M373" s="19">
        <v>0.30208333333333331</v>
      </c>
      <c r="N373" s="19"/>
      <c r="S373" s="36"/>
      <c r="T373" s="36"/>
    </row>
    <row r="374" spans="1:20" s="38" customFormat="1" ht="15.75" hidden="1" x14ac:dyDescent="0.3">
      <c r="A374" s="36" t="str">
        <f xml:space="preserve"> IF( 'From SvanPC++'!A364= "", "", ('From SvanPC++'!A364))</f>
        <v/>
      </c>
      <c r="B374" s="35" t="s">
        <v>503</v>
      </c>
      <c r="C374" s="34">
        <v>45.3</v>
      </c>
      <c r="D374" s="36"/>
      <c r="E374" s="20">
        <v>44180</v>
      </c>
      <c r="F374" s="19">
        <v>0.3125</v>
      </c>
      <c r="H374" s="34">
        <v>45.3</v>
      </c>
      <c r="I374" s="19"/>
      <c r="L374" s="20">
        <v>44180</v>
      </c>
      <c r="M374" s="19">
        <v>0.3125</v>
      </c>
      <c r="N374" s="19"/>
      <c r="S374" s="36"/>
      <c r="T374" s="36"/>
    </row>
    <row r="375" spans="1:20" s="38" customFormat="1" ht="15.75" hidden="1" x14ac:dyDescent="0.3">
      <c r="A375" s="36" t="str">
        <f xml:space="preserve"> IF( 'From SvanPC++'!A365= "", "", ('From SvanPC++'!A365))</f>
        <v/>
      </c>
      <c r="B375" s="35" t="s">
        <v>504</v>
      </c>
      <c r="C375" s="34">
        <v>44.4</v>
      </c>
      <c r="D375" s="36"/>
      <c r="E375" s="20">
        <v>44180</v>
      </c>
      <c r="F375" s="19">
        <v>0.32291666666666669</v>
      </c>
      <c r="H375" s="34">
        <v>44.4</v>
      </c>
      <c r="I375" s="19"/>
      <c r="L375" s="20">
        <v>44180</v>
      </c>
      <c r="M375" s="19">
        <v>0.32291666666666669</v>
      </c>
      <c r="N375" s="19"/>
      <c r="S375" s="36"/>
      <c r="T375" s="36"/>
    </row>
    <row r="376" spans="1:20" s="38" customFormat="1" ht="15.75" x14ac:dyDescent="0.3">
      <c r="A376" s="36" t="str">
        <f xml:space="preserve"> IF( 'From SvanPC++'!A366= "", "", ('From SvanPC++'!A366))</f>
        <v/>
      </c>
      <c r="B376" s="35" t="s">
        <v>505</v>
      </c>
      <c r="C376" s="34">
        <v>44.2</v>
      </c>
      <c r="D376" s="36"/>
      <c r="E376" s="20">
        <v>44180</v>
      </c>
      <c r="F376" s="19">
        <v>0.33333333333333331</v>
      </c>
      <c r="H376" s="34">
        <v>44.2</v>
      </c>
      <c r="I376" s="106">
        <f>AVERAGE(H373:H376)</f>
        <v>44.900000000000006</v>
      </c>
      <c r="L376" s="20">
        <v>44180</v>
      </c>
      <c r="M376" s="19">
        <v>0.33333333333333331</v>
      </c>
      <c r="N376" s="106">
        <v>44.900000000000006</v>
      </c>
      <c r="S376" s="36"/>
      <c r="T376" s="36"/>
    </row>
    <row r="377" spans="1:20" s="38" customFormat="1" ht="15.75" hidden="1" x14ac:dyDescent="0.3">
      <c r="A377" s="36" t="str">
        <f xml:space="preserve"> IF( 'From SvanPC++'!A367= "", "", ('From SvanPC++'!A367))</f>
        <v/>
      </c>
      <c r="B377" s="35" t="s">
        <v>506</v>
      </c>
      <c r="C377" s="34">
        <v>43.2</v>
      </c>
      <c r="D377" s="36"/>
      <c r="E377" s="20">
        <v>44180</v>
      </c>
      <c r="F377" s="19">
        <v>0.34375</v>
      </c>
      <c r="H377" s="34">
        <v>43.2</v>
      </c>
      <c r="I377" s="19"/>
      <c r="L377" s="20">
        <v>44180</v>
      </c>
      <c r="M377" s="19">
        <v>0.34375</v>
      </c>
      <c r="N377" s="19"/>
      <c r="S377" s="36"/>
      <c r="T377" s="36"/>
    </row>
    <row r="378" spans="1:20" s="38" customFormat="1" ht="15.75" hidden="1" x14ac:dyDescent="0.3">
      <c r="A378" s="36" t="str">
        <f xml:space="preserve"> IF( 'From SvanPC++'!A368= "", "", ('From SvanPC++'!A368))</f>
        <v/>
      </c>
      <c r="B378" s="35" t="s">
        <v>507</v>
      </c>
      <c r="C378" s="34">
        <v>43.3</v>
      </c>
      <c r="D378" s="36"/>
      <c r="E378" s="20">
        <v>44180</v>
      </c>
      <c r="F378" s="19">
        <v>0.35416666666666669</v>
      </c>
      <c r="H378" s="34">
        <v>43.3</v>
      </c>
      <c r="I378" s="19"/>
      <c r="L378" s="20">
        <v>44180</v>
      </c>
      <c r="M378" s="19">
        <v>0.35416666666666669</v>
      </c>
      <c r="N378" s="19"/>
      <c r="S378" s="36"/>
      <c r="T378" s="36"/>
    </row>
    <row r="379" spans="1:20" s="38" customFormat="1" ht="15.75" hidden="1" x14ac:dyDescent="0.3">
      <c r="A379" s="36" t="str">
        <f xml:space="preserve"> IF( 'From SvanPC++'!A369= "", "", ('From SvanPC++'!A369))</f>
        <v/>
      </c>
      <c r="B379" s="35" t="s">
        <v>508</v>
      </c>
      <c r="C379" s="34">
        <v>44.1</v>
      </c>
      <c r="D379" s="36"/>
      <c r="E379" s="20">
        <v>44180</v>
      </c>
      <c r="F379" s="19">
        <v>0.36458333333333331</v>
      </c>
      <c r="H379" s="34">
        <v>44.1</v>
      </c>
      <c r="I379" s="19"/>
      <c r="L379" s="20">
        <v>44180</v>
      </c>
      <c r="M379" s="19">
        <v>0.36458333333333331</v>
      </c>
      <c r="N379" s="19"/>
      <c r="S379" s="36"/>
      <c r="T379" s="36"/>
    </row>
    <row r="380" spans="1:20" s="38" customFormat="1" ht="15.75" x14ac:dyDescent="0.3">
      <c r="A380" s="36" t="str">
        <f xml:space="preserve"> IF( 'From SvanPC++'!A370= "", "", ('From SvanPC++'!A370))</f>
        <v/>
      </c>
      <c r="B380" s="35" t="s">
        <v>509</v>
      </c>
      <c r="C380" s="34">
        <v>44.1</v>
      </c>
      <c r="D380" s="36"/>
      <c r="E380" s="20">
        <v>44180</v>
      </c>
      <c r="F380" s="19">
        <v>0.375</v>
      </c>
      <c r="H380" s="34">
        <v>44.1</v>
      </c>
      <c r="I380" s="106">
        <f>AVERAGE(H377:H380)</f>
        <v>43.674999999999997</v>
      </c>
      <c r="L380" s="20">
        <v>44180</v>
      </c>
      <c r="M380" s="19">
        <v>0.375</v>
      </c>
      <c r="N380" s="106">
        <v>43.674999999999997</v>
      </c>
      <c r="S380" s="36"/>
      <c r="T380" s="36"/>
    </row>
    <row r="381" spans="1:20" s="38" customFormat="1" ht="15.75" hidden="1" x14ac:dyDescent="0.3">
      <c r="A381" s="36" t="str">
        <f xml:space="preserve"> IF( 'From SvanPC++'!A371= "", "", ('From SvanPC++'!A371))</f>
        <v/>
      </c>
      <c r="B381" s="35" t="s">
        <v>510</v>
      </c>
      <c r="C381" s="34">
        <v>43.3</v>
      </c>
      <c r="D381" s="36"/>
      <c r="E381" s="20">
        <v>44180</v>
      </c>
      <c r="F381" s="19">
        <v>0.38541666666666669</v>
      </c>
      <c r="H381" s="34">
        <v>43.3</v>
      </c>
      <c r="I381" s="19"/>
      <c r="L381" s="20">
        <v>44180</v>
      </c>
      <c r="M381" s="19">
        <v>0.38541666666666669</v>
      </c>
      <c r="N381" s="19"/>
      <c r="S381" s="36"/>
      <c r="T381" s="36"/>
    </row>
    <row r="382" spans="1:20" s="38" customFormat="1" ht="15.75" hidden="1" x14ac:dyDescent="0.3">
      <c r="A382" s="36" t="str">
        <f xml:space="preserve"> IF( 'From SvanPC++'!A372= "", "", ('From SvanPC++'!A372))</f>
        <v/>
      </c>
      <c r="B382" s="35" t="s">
        <v>511</v>
      </c>
      <c r="C382" s="34">
        <v>43.1</v>
      </c>
      <c r="D382" s="36"/>
      <c r="E382" s="20">
        <v>44180</v>
      </c>
      <c r="F382" s="19">
        <v>0.39583333333333331</v>
      </c>
      <c r="H382" s="34">
        <v>43.1</v>
      </c>
      <c r="I382" s="19"/>
      <c r="L382" s="20">
        <v>44180</v>
      </c>
      <c r="M382" s="19">
        <v>0.39583333333333331</v>
      </c>
      <c r="N382" s="19"/>
      <c r="S382" s="36"/>
      <c r="T382" s="36"/>
    </row>
    <row r="383" spans="1:20" s="38" customFormat="1" ht="15.75" hidden="1" x14ac:dyDescent="0.3">
      <c r="A383" s="36" t="str">
        <f xml:space="preserve"> IF( 'From SvanPC++'!A373= "", "", ('From SvanPC++'!A373))</f>
        <v/>
      </c>
      <c r="B383" s="35" t="s">
        <v>512</v>
      </c>
      <c r="C383" s="34">
        <v>42.4</v>
      </c>
      <c r="D383" s="36"/>
      <c r="E383" s="20">
        <v>44180</v>
      </c>
      <c r="F383" s="19">
        <v>0.40625</v>
      </c>
      <c r="H383" s="34">
        <v>42.4</v>
      </c>
      <c r="I383" s="19"/>
      <c r="L383" s="20">
        <v>44180</v>
      </c>
      <c r="M383" s="19">
        <v>0.40625</v>
      </c>
      <c r="N383" s="19"/>
      <c r="S383" s="36"/>
      <c r="T383" s="36"/>
    </row>
    <row r="384" spans="1:20" s="38" customFormat="1" ht="15.75" x14ac:dyDescent="0.3">
      <c r="A384" s="36" t="str">
        <f xml:space="preserve"> IF( 'From SvanPC++'!A374= "", "", ('From SvanPC++'!A374))</f>
        <v/>
      </c>
      <c r="B384" s="35" t="s">
        <v>513</v>
      </c>
      <c r="C384" s="34">
        <v>43.5</v>
      </c>
      <c r="D384" s="36"/>
      <c r="E384" s="20">
        <v>44180</v>
      </c>
      <c r="F384" s="19">
        <v>0.41666666666666669</v>
      </c>
      <c r="H384" s="34">
        <v>43.5</v>
      </c>
      <c r="I384" s="106">
        <f>AVERAGE(H381:H384)</f>
        <v>43.075000000000003</v>
      </c>
      <c r="L384" s="20">
        <v>44180</v>
      </c>
      <c r="M384" s="19">
        <v>0.41666666666666669</v>
      </c>
      <c r="N384" s="106">
        <v>43.075000000000003</v>
      </c>
      <c r="S384" s="36"/>
      <c r="T384" s="36"/>
    </row>
    <row r="385" spans="1:20" s="38" customFormat="1" ht="15.75" hidden="1" x14ac:dyDescent="0.3">
      <c r="A385" s="36" t="str">
        <f xml:space="preserve"> IF( 'From SvanPC++'!A375= "", "", ('From SvanPC++'!A375))</f>
        <v/>
      </c>
      <c r="B385" s="35" t="s">
        <v>514</v>
      </c>
      <c r="C385" s="34">
        <v>43.2</v>
      </c>
      <c r="D385" s="36"/>
      <c r="E385" s="20">
        <v>44180</v>
      </c>
      <c r="F385" s="19">
        <v>0.42708333333333331</v>
      </c>
      <c r="H385" s="34">
        <v>43.2</v>
      </c>
      <c r="I385" s="19"/>
      <c r="L385" s="20">
        <v>44180</v>
      </c>
      <c r="M385" s="19">
        <v>0.42708333333333331</v>
      </c>
      <c r="N385" s="19"/>
      <c r="S385" s="36"/>
      <c r="T385" s="36"/>
    </row>
    <row r="386" spans="1:20" s="38" customFormat="1" ht="15.75" hidden="1" x14ac:dyDescent="0.3">
      <c r="A386" s="36" t="str">
        <f xml:space="preserve"> IF( 'From SvanPC++'!A376= "", "", ('From SvanPC++'!A376))</f>
        <v/>
      </c>
      <c r="B386" s="35" t="s">
        <v>515</v>
      </c>
      <c r="C386" s="34">
        <v>42.8</v>
      </c>
      <c r="D386" s="36"/>
      <c r="E386" s="20">
        <v>44180</v>
      </c>
      <c r="F386" s="19">
        <v>0.4375</v>
      </c>
      <c r="H386" s="34">
        <v>42.8</v>
      </c>
      <c r="I386" s="19"/>
      <c r="L386" s="20">
        <v>44180</v>
      </c>
      <c r="M386" s="19">
        <v>0.4375</v>
      </c>
      <c r="N386" s="19"/>
      <c r="S386" s="36"/>
      <c r="T386" s="36"/>
    </row>
    <row r="387" spans="1:20" s="38" customFormat="1" ht="15.75" hidden="1" x14ac:dyDescent="0.3">
      <c r="A387" s="36" t="str">
        <f xml:space="preserve"> IF( 'From SvanPC++'!A377= "", "", ('From SvanPC++'!A377))</f>
        <v/>
      </c>
      <c r="B387" s="35" t="s">
        <v>516</v>
      </c>
      <c r="C387" s="34">
        <v>41.4</v>
      </c>
      <c r="D387" s="36"/>
      <c r="E387" s="20">
        <v>44180</v>
      </c>
      <c r="F387" s="19">
        <v>0.44791666666666669</v>
      </c>
      <c r="H387" s="34">
        <v>41.4</v>
      </c>
      <c r="I387" s="19"/>
      <c r="L387" s="20">
        <v>44180</v>
      </c>
      <c r="M387" s="19">
        <v>0.44791666666666669</v>
      </c>
      <c r="N387" s="19"/>
      <c r="S387" s="36"/>
      <c r="T387" s="36"/>
    </row>
    <row r="388" spans="1:20" s="38" customFormat="1" ht="15.75" x14ac:dyDescent="0.3">
      <c r="A388" s="36" t="str">
        <f xml:space="preserve"> IF( 'From SvanPC++'!A378= "", "", ('From SvanPC++'!A378))</f>
        <v/>
      </c>
      <c r="B388" s="35" t="s">
        <v>517</v>
      </c>
      <c r="C388" s="34">
        <v>41.1</v>
      </c>
      <c r="D388" s="36"/>
      <c r="E388" s="20">
        <v>44180</v>
      </c>
      <c r="F388" s="19">
        <v>0.45833333333333331</v>
      </c>
      <c r="H388" s="34">
        <v>41.1</v>
      </c>
      <c r="I388" s="106">
        <f>AVERAGE(H385:H388)</f>
        <v>42.125</v>
      </c>
      <c r="L388" s="20">
        <v>44180</v>
      </c>
      <c r="M388" s="19">
        <v>0.45833333333333331</v>
      </c>
      <c r="N388" s="106">
        <v>42.125</v>
      </c>
      <c r="S388" s="36"/>
      <c r="T388" s="36"/>
    </row>
    <row r="389" spans="1:20" s="38" customFormat="1" ht="15.75" hidden="1" x14ac:dyDescent="0.3">
      <c r="A389" s="36" t="str">
        <f xml:space="preserve"> IF( 'From SvanPC++'!A379= "", "", ('From SvanPC++'!A379))</f>
        <v/>
      </c>
      <c r="B389" s="35" t="s">
        <v>518</v>
      </c>
      <c r="C389" s="34">
        <v>42.8</v>
      </c>
      <c r="D389" s="36"/>
      <c r="E389" s="20">
        <v>44180</v>
      </c>
      <c r="F389" s="19">
        <v>0.46875</v>
      </c>
      <c r="H389" s="34">
        <v>42.8</v>
      </c>
      <c r="I389" s="19"/>
      <c r="L389" s="20">
        <v>44180</v>
      </c>
      <c r="M389" s="19">
        <v>0.46875</v>
      </c>
      <c r="N389" s="19"/>
      <c r="S389" s="36"/>
      <c r="T389" s="36"/>
    </row>
    <row r="390" spans="1:20" s="38" customFormat="1" ht="15.75" hidden="1" x14ac:dyDescent="0.3">
      <c r="A390" s="36" t="str">
        <f xml:space="preserve"> IF( 'From SvanPC++'!A380= "", "", ('From SvanPC++'!A380))</f>
        <v/>
      </c>
      <c r="B390" s="35" t="s">
        <v>519</v>
      </c>
      <c r="C390" s="34">
        <v>42.5</v>
      </c>
      <c r="D390" s="36"/>
      <c r="E390" s="20">
        <v>44180</v>
      </c>
      <c r="F390" s="19">
        <v>0.47916666666666669</v>
      </c>
      <c r="H390" s="34">
        <v>42.5</v>
      </c>
      <c r="I390" s="19"/>
      <c r="L390" s="20">
        <v>44180</v>
      </c>
      <c r="M390" s="19">
        <v>0.47916666666666669</v>
      </c>
      <c r="N390" s="19"/>
      <c r="S390" s="36"/>
      <c r="T390" s="36"/>
    </row>
    <row r="391" spans="1:20" s="38" customFormat="1" ht="15.75" hidden="1" x14ac:dyDescent="0.3">
      <c r="A391" s="36" t="str">
        <f xml:space="preserve"> IF( 'From SvanPC++'!A381= "", "", ('From SvanPC++'!A381))</f>
        <v/>
      </c>
      <c r="B391" s="35" t="s">
        <v>520</v>
      </c>
      <c r="C391" s="34">
        <v>41.6</v>
      </c>
      <c r="D391" s="36"/>
      <c r="E391" s="20">
        <v>44180</v>
      </c>
      <c r="F391" s="19">
        <v>0.48958333333333331</v>
      </c>
      <c r="H391" s="34">
        <v>41.6</v>
      </c>
      <c r="I391" s="19"/>
      <c r="L391" s="20">
        <v>44180</v>
      </c>
      <c r="M391" s="19">
        <v>0.48958333333333331</v>
      </c>
      <c r="N391" s="19"/>
      <c r="S391" s="36"/>
      <c r="T391" s="36"/>
    </row>
    <row r="392" spans="1:20" s="38" customFormat="1" ht="15.75" x14ac:dyDescent="0.3">
      <c r="A392" s="36" t="str">
        <f xml:space="preserve"> IF( 'From SvanPC++'!A382= "", "", ('From SvanPC++'!A382))</f>
        <v/>
      </c>
      <c r="B392" s="35" t="s">
        <v>521</v>
      </c>
      <c r="C392" s="34">
        <v>41.7</v>
      </c>
      <c r="D392" s="36"/>
      <c r="E392" s="20">
        <v>44180</v>
      </c>
      <c r="F392" s="19">
        <v>0.5</v>
      </c>
      <c r="H392" s="34">
        <v>41.7</v>
      </c>
      <c r="I392" s="106">
        <f>AVERAGE(H389:H392)</f>
        <v>42.150000000000006</v>
      </c>
      <c r="L392" s="20">
        <v>44180</v>
      </c>
      <c r="M392" s="19">
        <v>0.5</v>
      </c>
      <c r="N392" s="106">
        <v>42.150000000000006</v>
      </c>
      <c r="S392" s="36"/>
      <c r="T392" s="36"/>
    </row>
    <row r="393" spans="1:20" s="38" customFormat="1" ht="15.75" hidden="1" x14ac:dyDescent="0.3">
      <c r="A393" s="36" t="str">
        <f xml:space="preserve"> IF( 'From SvanPC++'!A383= "", "", ('From SvanPC++'!A383))</f>
        <v/>
      </c>
      <c r="B393" s="35" t="s">
        <v>522</v>
      </c>
      <c r="C393" s="34">
        <v>40.799999999999997</v>
      </c>
      <c r="D393" s="36"/>
      <c r="E393" s="20">
        <v>44180</v>
      </c>
      <c r="F393" s="19">
        <v>0.51041666666666663</v>
      </c>
      <c r="H393" s="34">
        <v>40.799999999999997</v>
      </c>
      <c r="I393" s="19"/>
      <c r="L393" s="20">
        <v>44180</v>
      </c>
      <c r="M393" s="19">
        <v>0.51041666666666663</v>
      </c>
      <c r="N393" s="19"/>
      <c r="S393" s="36"/>
      <c r="T393" s="36"/>
    </row>
    <row r="394" spans="1:20" s="38" customFormat="1" ht="15.75" hidden="1" x14ac:dyDescent="0.3">
      <c r="A394" s="36" t="str">
        <f xml:space="preserve"> IF( 'From SvanPC++'!A384= "", "", ('From SvanPC++'!A384))</f>
        <v/>
      </c>
      <c r="B394" s="35" t="s">
        <v>523</v>
      </c>
      <c r="C394" s="34">
        <v>39.5</v>
      </c>
      <c r="D394" s="36"/>
      <c r="E394" s="20">
        <v>44180</v>
      </c>
      <c r="F394" s="19">
        <v>0.52083333333333337</v>
      </c>
      <c r="H394" s="34">
        <v>39.5</v>
      </c>
      <c r="I394" s="19"/>
      <c r="L394" s="20">
        <v>44180</v>
      </c>
      <c r="M394" s="19">
        <v>0.52083333333333337</v>
      </c>
      <c r="N394" s="19"/>
      <c r="S394" s="36"/>
      <c r="T394" s="36"/>
    </row>
    <row r="395" spans="1:20" s="38" customFormat="1" ht="15.75" hidden="1" x14ac:dyDescent="0.3">
      <c r="A395" s="36" t="str">
        <f xml:space="preserve"> IF( 'From SvanPC++'!A385= "", "", ('From SvanPC++'!A385))</f>
        <v/>
      </c>
      <c r="B395" s="35" t="s">
        <v>524</v>
      </c>
      <c r="C395" s="34">
        <v>41.1</v>
      </c>
      <c r="D395" s="36"/>
      <c r="E395" s="20">
        <v>44180</v>
      </c>
      <c r="F395" s="19">
        <v>0.53125</v>
      </c>
      <c r="H395" s="34">
        <v>41.1</v>
      </c>
      <c r="I395" s="19"/>
      <c r="L395" s="20">
        <v>44180</v>
      </c>
      <c r="M395" s="19">
        <v>0.53125</v>
      </c>
      <c r="N395" s="19"/>
      <c r="S395" s="36"/>
      <c r="T395" s="36"/>
    </row>
    <row r="396" spans="1:20" s="38" customFormat="1" ht="15.75" x14ac:dyDescent="0.3">
      <c r="A396" s="36" t="str">
        <f xml:space="preserve"> IF( 'From SvanPC++'!A386= "", "", ('From SvanPC++'!A386))</f>
        <v/>
      </c>
      <c r="B396" s="35" t="s">
        <v>525</v>
      </c>
      <c r="C396" s="34">
        <v>39.4</v>
      </c>
      <c r="D396" s="36"/>
      <c r="E396" s="20">
        <v>44180</v>
      </c>
      <c r="F396" s="19">
        <v>0.54166666666666663</v>
      </c>
      <c r="H396" s="34">
        <v>39.4</v>
      </c>
      <c r="I396" s="106">
        <f>AVERAGE(H393:H396)</f>
        <v>40.200000000000003</v>
      </c>
      <c r="L396" s="20">
        <v>44180</v>
      </c>
      <c r="M396" s="19">
        <v>0.54166666666666663</v>
      </c>
      <c r="N396" s="106">
        <v>40.200000000000003</v>
      </c>
      <c r="S396" s="36"/>
      <c r="T396" s="36"/>
    </row>
    <row r="397" spans="1:20" s="38" customFormat="1" ht="15.75" hidden="1" x14ac:dyDescent="0.3">
      <c r="A397" s="36" t="str">
        <f xml:space="preserve"> IF( 'From SvanPC++'!A387= "", "", ('From SvanPC++'!A387))</f>
        <v/>
      </c>
      <c r="B397" s="35" t="s">
        <v>526</v>
      </c>
      <c r="C397" s="34">
        <v>40</v>
      </c>
      <c r="D397" s="36"/>
      <c r="E397" s="20">
        <v>44180</v>
      </c>
      <c r="F397" s="19">
        <v>0.55208333333333337</v>
      </c>
      <c r="H397" s="34">
        <v>40</v>
      </c>
      <c r="I397" s="19"/>
      <c r="L397" s="20">
        <v>44180</v>
      </c>
      <c r="M397" s="19">
        <v>0.55208333333333337</v>
      </c>
      <c r="N397" s="19"/>
      <c r="S397" s="36"/>
      <c r="T397" s="36"/>
    </row>
    <row r="398" spans="1:20" s="38" customFormat="1" ht="15.75" hidden="1" x14ac:dyDescent="0.3">
      <c r="A398" s="36" t="str">
        <f xml:space="preserve"> IF( 'From SvanPC++'!A388= "", "", ('From SvanPC++'!A388))</f>
        <v/>
      </c>
      <c r="B398" s="35" t="s">
        <v>527</v>
      </c>
      <c r="C398" s="34">
        <v>39</v>
      </c>
      <c r="D398" s="36"/>
      <c r="E398" s="20">
        <v>44180</v>
      </c>
      <c r="F398" s="19">
        <v>0.5625</v>
      </c>
      <c r="H398" s="34">
        <v>39</v>
      </c>
      <c r="I398" s="19"/>
      <c r="L398" s="20">
        <v>44180</v>
      </c>
      <c r="M398" s="19">
        <v>0.5625</v>
      </c>
      <c r="N398" s="19"/>
      <c r="S398" s="36"/>
      <c r="T398" s="36"/>
    </row>
    <row r="399" spans="1:20" s="38" customFormat="1" ht="15.75" hidden="1" x14ac:dyDescent="0.3">
      <c r="A399" s="36" t="str">
        <f xml:space="preserve"> IF( 'From SvanPC++'!A389= "", "", ('From SvanPC++'!A389))</f>
        <v/>
      </c>
      <c r="B399" s="35" t="s">
        <v>528</v>
      </c>
      <c r="C399" s="34">
        <v>39.6</v>
      </c>
      <c r="D399" s="36"/>
      <c r="E399" s="20">
        <v>44180</v>
      </c>
      <c r="F399" s="19">
        <v>0.57291666666666663</v>
      </c>
      <c r="H399" s="34">
        <v>39.6</v>
      </c>
      <c r="I399" s="19"/>
      <c r="L399" s="20">
        <v>44180</v>
      </c>
      <c r="M399" s="19">
        <v>0.57291666666666663</v>
      </c>
      <c r="N399" s="19"/>
      <c r="S399" s="36"/>
      <c r="T399" s="36"/>
    </row>
    <row r="400" spans="1:20" s="38" customFormat="1" ht="15.75" x14ac:dyDescent="0.3">
      <c r="A400" s="36" t="str">
        <f xml:space="preserve"> IF( 'From SvanPC++'!A390= "", "", ('From SvanPC++'!A390))</f>
        <v/>
      </c>
      <c r="B400" s="35" t="s">
        <v>529</v>
      </c>
      <c r="C400" s="34">
        <v>38.6</v>
      </c>
      <c r="D400" s="36"/>
      <c r="E400" s="20">
        <v>44180</v>
      </c>
      <c r="F400" s="19">
        <v>0.58333333333333337</v>
      </c>
      <c r="H400" s="34">
        <v>38.6</v>
      </c>
      <c r="I400" s="106">
        <f>AVERAGE(H397:H400)</f>
        <v>39.299999999999997</v>
      </c>
      <c r="L400" s="20">
        <v>44180</v>
      </c>
      <c r="M400" s="19">
        <v>0.58333333333333337</v>
      </c>
      <c r="N400" s="106">
        <v>39.299999999999997</v>
      </c>
      <c r="S400" s="36"/>
      <c r="T400" s="36"/>
    </row>
    <row r="401" spans="1:20" s="38" customFormat="1" ht="15.75" hidden="1" x14ac:dyDescent="0.3">
      <c r="A401" s="36" t="str">
        <f xml:space="preserve"> IF( 'From SvanPC++'!A391= "", "", ('From SvanPC++'!A391))</f>
        <v/>
      </c>
      <c r="B401" s="35" t="s">
        <v>530</v>
      </c>
      <c r="C401" s="34">
        <v>39.799999999999997</v>
      </c>
      <c r="D401" s="36"/>
      <c r="E401" s="20">
        <v>44180</v>
      </c>
      <c r="F401" s="19">
        <v>0.59375</v>
      </c>
      <c r="H401" s="34">
        <v>39.799999999999997</v>
      </c>
      <c r="I401" s="19"/>
      <c r="L401" s="20">
        <v>44180</v>
      </c>
      <c r="M401" s="19">
        <v>0.59375</v>
      </c>
      <c r="N401" s="19"/>
      <c r="S401" s="36"/>
      <c r="T401" s="36"/>
    </row>
    <row r="402" spans="1:20" s="38" customFormat="1" ht="15.75" hidden="1" x14ac:dyDescent="0.3">
      <c r="A402" s="36" t="str">
        <f xml:space="preserve"> IF( 'From SvanPC++'!A392= "", "", ('From SvanPC++'!A392))</f>
        <v/>
      </c>
      <c r="B402" s="35" t="s">
        <v>531</v>
      </c>
      <c r="C402" s="34">
        <v>39.200000000000003</v>
      </c>
      <c r="D402" s="36"/>
      <c r="E402" s="20">
        <v>44180</v>
      </c>
      <c r="F402" s="19">
        <v>0.60416666666666663</v>
      </c>
      <c r="H402" s="34">
        <v>39.200000000000003</v>
      </c>
      <c r="I402" s="19"/>
      <c r="L402" s="20">
        <v>44180</v>
      </c>
      <c r="M402" s="19">
        <v>0.60416666666666663</v>
      </c>
      <c r="N402" s="19"/>
      <c r="S402" s="36"/>
      <c r="T402" s="36"/>
    </row>
    <row r="403" spans="1:20" s="38" customFormat="1" ht="15.75" hidden="1" x14ac:dyDescent="0.3">
      <c r="A403" s="36" t="str">
        <f xml:space="preserve"> IF( 'From SvanPC++'!A393= "", "", ('From SvanPC++'!A393))</f>
        <v/>
      </c>
      <c r="B403" s="35" t="s">
        <v>532</v>
      </c>
      <c r="C403" s="34">
        <v>40.299999999999997</v>
      </c>
      <c r="D403" s="36"/>
      <c r="E403" s="20">
        <v>44180</v>
      </c>
      <c r="F403" s="19">
        <v>0.61458333333333337</v>
      </c>
      <c r="H403" s="34">
        <v>40.299999999999997</v>
      </c>
      <c r="I403" s="19"/>
      <c r="L403" s="20">
        <v>44180</v>
      </c>
      <c r="M403" s="19">
        <v>0.61458333333333337</v>
      </c>
      <c r="N403" s="19"/>
      <c r="S403" s="36"/>
      <c r="T403" s="36"/>
    </row>
    <row r="404" spans="1:20" s="38" customFormat="1" ht="15.75" x14ac:dyDescent="0.3">
      <c r="A404" s="36" t="str">
        <f xml:space="preserve"> IF( 'From SvanPC++'!A394= "", "", ('From SvanPC++'!A394))</f>
        <v/>
      </c>
      <c r="B404" s="35" t="s">
        <v>533</v>
      </c>
      <c r="C404" s="34">
        <v>44.3</v>
      </c>
      <c r="D404" s="36"/>
      <c r="E404" s="20">
        <v>44180</v>
      </c>
      <c r="F404" s="19">
        <v>0.625</v>
      </c>
      <c r="H404" s="34">
        <v>44.3</v>
      </c>
      <c r="I404" s="106">
        <f>AVERAGE(H401:H404)</f>
        <v>40.9</v>
      </c>
      <c r="L404" s="20">
        <v>44180</v>
      </c>
      <c r="M404" s="19">
        <v>0.625</v>
      </c>
      <c r="N404" s="106">
        <v>40.9</v>
      </c>
      <c r="S404" s="36"/>
      <c r="T404" s="36"/>
    </row>
    <row r="405" spans="1:20" s="38" customFormat="1" ht="15.75" hidden="1" x14ac:dyDescent="0.3">
      <c r="A405" s="36" t="str">
        <f xml:space="preserve"> IF( 'From SvanPC++'!A395= "", "", ('From SvanPC++'!A395))</f>
        <v/>
      </c>
      <c r="B405" s="35" t="s">
        <v>534</v>
      </c>
      <c r="C405" s="34">
        <v>45</v>
      </c>
      <c r="D405" s="36"/>
      <c r="E405" s="20">
        <v>44180</v>
      </c>
      <c r="F405" s="19">
        <v>0.63541666666666663</v>
      </c>
      <c r="H405" s="34">
        <v>45</v>
      </c>
      <c r="I405" s="19"/>
      <c r="L405" s="20">
        <v>44180</v>
      </c>
      <c r="M405" s="19">
        <v>0.63541666666666663</v>
      </c>
      <c r="N405" s="19"/>
      <c r="S405" s="36"/>
      <c r="T405" s="36"/>
    </row>
    <row r="406" spans="1:20" s="38" customFormat="1" ht="15.75" hidden="1" x14ac:dyDescent="0.3">
      <c r="A406" s="36" t="str">
        <f xml:space="preserve"> IF( 'From SvanPC++'!A396= "", "", ('From SvanPC++'!A396))</f>
        <v/>
      </c>
      <c r="B406" s="35" t="s">
        <v>535</v>
      </c>
      <c r="C406" s="34">
        <v>42.8</v>
      </c>
      <c r="D406" s="36"/>
      <c r="E406" s="20">
        <v>44180</v>
      </c>
      <c r="F406" s="19">
        <v>0.64583333333333337</v>
      </c>
      <c r="H406" s="34">
        <v>42.8</v>
      </c>
      <c r="I406" s="19"/>
      <c r="L406" s="20">
        <v>44180</v>
      </c>
      <c r="M406" s="19">
        <v>0.64583333333333337</v>
      </c>
      <c r="N406" s="19"/>
      <c r="S406" s="36"/>
      <c r="T406" s="36"/>
    </row>
    <row r="407" spans="1:20" s="38" customFormat="1" ht="15.75" hidden="1" x14ac:dyDescent="0.3">
      <c r="A407" s="36" t="str">
        <f xml:space="preserve"> IF( 'From SvanPC++'!A397= "", "", ('From SvanPC++'!A397))</f>
        <v/>
      </c>
      <c r="B407" s="35" t="s">
        <v>536</v>
      </c>
      <c r="C407" s="34">
        <v>43.9</v>
      </c>
      <c r="D407" s="36"/>
      <c r="E407" s="20">
        <v>44180</v>
      </c>
      <c r="F407" s="19">
        <v>0.65625</v>
      </c>
      <c r="H407" s="34">
        <v>43.9</v>
      </c>
      <c r="I407" s="19"/>
      <c r="L407" s="20">
        <v>44180</v>
      </c>
      <c r="M407" s="19">
        <v>0.65625</v>
      </c>
      <c r="N407" s="19"/>
      <c r="S407" s="36"/>
      <c r="T407" s="36"/>
    </row>
    <row r="408" spans="1:20" s="38" customFormat="1" ht="15.75" x14ac:dyDescent="0.3">
      <c r="A408" s="36" t="str">
        <f xml:space="preserve"> IF( 'From SvanPC++'!A398= "", "", ('From SvanPC++'!A398))</f>
        <v/>
      </c>
      <c r="B408" s="35" t="s">
        <v>537</v>
      </c>
      <c r="C408" s="34">
        <v>44.1</v>
      </c>
      <c r="D408" s="36"/>
      <c r="E408" s="20">
        <v>44180</v>
      </c>
      <c r="F408" s="19">
        <v>0.66666666666666663</v>
      </c>
      <c r="H408" s="34">
        <v>44.1</v>
      </c>
      <c r="I408" s="106">
        <f>AVERAGE(H405:H408)</f>
        <v>43.949999999999996</v>
      </c>
      <c r="L408" s="20">
        <v>44180</v>
      </c>
      <c r="M408" s="19">
        <v>0.66666666666666663</v>
      </c>
      <c r="N408" s="106">
        <v>43.949999999999996</v>
      </c>
      <c r="S408" s="36"/>
      <c r="T408" s="36"/>
    </row>
    <row r="409" spans="1:20" s="38" customFormat="1" ht="15.75" hidden="1" x14ac:dyDescent="0.3">
      <c r="A409" s="36" t="str">
        <f xml:space="preserve"> IF( 'From SvanPC++'!A399= "", "", ('From SvanPC++'!A399))</f>
        <v/>
      </c>
      <c r="B409" s="35" t="s">
        <v>538</v>
      </c>
      <c r="C409" s="34">
        <v>44.7</v>
      </c>
      <c r="D409" s="36"/>
      <c r="E409" s="20">
        <v>44180</v>
      </c>
      <c r="F409" s="19">
        <v>0.67708333333333337</v>
      </c>
      <c r="H409" s="34">
        <v>44.7</v>
      </c>
      <c r="I409" s="19"/>
      <c r="L409" s="20">
        <v>44180</v>
      </c>
      <c r="M409" s="19">
        <v>0.67708333333333337</v>
      </c>
      <c r="N409" s="19"/>
      <c r="S409" s="36"/>
      <c r="T409" s="36"/>
    </row>
    <row r="410" spans="1:20" s="38" customFormat="1" ht="15.75" hidden="1" x14ac:dyDescent="0.3">
      <c r="A410" s="36" t="str">
        <f xml:space="preserve"> IF( 'From SvanPC++'!A400= "", "", ('From SvanPC++'!A400))</f>
        <v/>
      </c>
      <c r="B410" s="35" t="s">
        <v>539</v>
      </c>
      <c r="C410" s="34">
        <v>43.6</v>
      </c>
      <c r="D410" s="36"/>
      <c r="E410" s="20">
        <v>44180</v>
      </c>
      <c r="F410" s="19">
        <v>0.6875</v>
      </c>
      <c r="H410" s="34">
        <v>43.6</v>
      </c>
      <c r="I410" s="19"/>
      <c r="L410" s="20">
        <v>44180</v>
      </c>
      <c r="M410" s="19">
        <v>0.6875</v>
      </c>
      <c r="N410" s="19"/>
      <c r="S410" s="36"/>
      <c r="T410" s="36"/>
    </row>
    <row r="411" spans="1:20" s="38" customFormat="1" ht="15.75" hidden="1" x14ac:dyDescent="0.3">
      <c r="A411" s="36" t="str">
        <f xml:space="preserve"> IF( 'From SvanPC++'!A401= "", "", ('From SvanPC++'!A401))</f>
        <v/>
      </c>
      <c r="B411" s="35" t="s">
        <v>540</v>
      </c>
      <c r="C411" s="34">
        <v>42.9</v>
      </c>
      <c r="D411" s="36"/>
      <c r="E411" s="20">
        <v>44180</v>
      </c>
      <c r="F411" s="19">
        <v>0.69791666666666663</v>
      </c>
      <c r="H411" s="34">
        <v>42.9</v>
      </c>
      <c r="I411" s="19"/>
      <c r="L411" s="20">
        <v>44180</v>
      </c>
      <c r="M411" s="19">
        <v>0.69791666666666663</v>
      </c>
      <c r="N411" s="19"/>
      <c r="S411" s="36"/>
      <c r="T411" s="36"/>
    </row>
    <row r="412" spans="1:20" s="38" customFormat="1" ht="15.75" x14ac:dyDescent="0.3">
      <c r="A412" s="36" t="str">
        <f xml:space="preserve"> IF( 'From SvanPC++'!A402= "", "", ('From SvanPC++'!A402))</f>
        <v/>
      </c>
      <c r="B412" s="35" t="s">
        <v>541</v>
      </c>
      <c r="C412" s="34">
        <v>43.3</v>
      </c>
      <c r="D412" s="36"/>
      <c r="E412" s="20">
        <v>44180</v>
      </c>
      <c r="F412" s="19">
        <v>0.70833333333333337</v>
      </c>
      <c r="H412" s="34">
        <v>43.3</v>
      </c>
      <c r="I412" s="106">
        <f>AVERAGE(H409:H412)</f>
        <v>43.625</v>
      </c>
      <c r="L412" s="20">
        <v>44180</v>
      </c>
      <c r="M412" s="19">
        <v>0.70833333333333337</v>
      </c>
      <c r="N412" s="106">
        <v>43.625</v>
      </c>
      <c r="S412" s="36"/>
      <c r="T412" s="36"/>
    </row>
    <row r="413" spans="1:20" s="38" customFormat="1" ht="15.75" hidden="1" x14ac:dyDescent="0.3">
      <c r="A413" s="36" t="str">
        <f xml:space="preserve"> IF( 'From SvanPC++'!A403= "", "", ('From SvanPC++'!A403))</f>
        <v/>
      </c>
      <c r="B413" s="35" t="s">
        <v>542</v>
      </c>
      <c r="C413" s="34">
        <v>43.2</v>
      </c>
      <c r="D413" s="36"/>
      <c r="E413" s="20">
        <v>44180</v>
      </c>
      <c r="F413" s="19">
        <v>0.71875</v>
      </c>
      <c r="H413" s="34">
        <v>43.2</v>
      </c>
      <c r="I413" s="19"/>
      <c r="L413" s="20">
        <v>44180</v>
      </c>
      <c r="M413" s="19">
        <v>0.71875</v>
      </c>
      <c r="N413" s="19"/>
      <c r="S413" s="36"/>
      <c r="T413" s="36"/>
    </row>
    <row r="414" spans="1:20" s="38" customFormat="1" ht="15.75" hidden="1" x14ac:dyDescent="0.3">
      <c r="A414" s="36" t="str">
        <f xml:space="preserve"> IF( 'From SvanPC++'!A404= "", "", ('From SvanPC++'!A404))</f>
        <v/>
      </c>
      <c r="B414" s="35" t="s">
        <v>543</v>
      </c>
      <c r="C414" s="34">
        <v>41.9</v>
      </c>
      <c r="D414" s="36"/>
      <c r="E414" s="20">
        <v>44180</v>
      </c>
      <c r="F414" s="19">
        <v>0.72916666666666663</v>
      </c>
      <c r="H414" s="34">
        <v>41.9</v>
      </c>
      <c r="I414" s="19"/>
      <c r="L414" s="20">
        <v>44180</v>
      </c>
      <c r="M414" s="19">
        <v>0.72916666666666663</v>
      </c>
      <c r="N414" s="19"/>
      <c r="S414" s="36"/>
      <c r="T414" s="36"/>
    </row>
    <row r="415" spans="1:20" s="38" customFormat="1" ht="15.75" hidden="1" x14ac:dyDescent="0.3">
      <c r="A415" s="36" t="str">
        <f xml:space="preserve"> IF( 'From SvanPC++'!A405= "", "", ('From SvanPC++'!A405))</f>
        <v/>
      </c>
      <c r="B415" s="35" t="s">
        <v>544</v>
      </c>
      <c r="C415" s="34">
        <v>41.5</v>
      </c>
      <c r="D415" s="36"/>
      <c r="E415" s="20">
        <v>44180</v>
      </c>
      <c r="F415" s="19">
        <v>0.73958333333333337</v>
      </c>
      <c r="H415" s="34">
        <v>41.5</v>
      </c>
      <c r="I415" s="19"/>
      <c r="L415" s="20">
        <v>44180</v>
      </c>
      <c r="M415" s="19">
        <v>0.73958333333333337</v>
      </c>
      <c r="N415" s="19"/>
      <c r="S415" s="36"/>
      <c r="T415" s="36"/>
    </row>
    <row r="416" spans="1:20" s="38" customFormat="1" ht="15.75" x14ac:dyDescent="0.3">
      <c r="A416" s="36" t="str">
        <f xml:space="preserve"> IF( 'From SvanPC++'!A406= "", "", ('From SvanPC++'!A406))</f>
        <v/>
      </c>
      <c r="B416" s="35" t="s">
        <v>545</v>
      </c>
      <c r="C416" s="34">
        <v>41.2</v>
      </c>
      <c r="D416" s="36"/>
      <c r="E416" s="20">
        <v>44180</v>
      </c>
      <c r="F416" s="19">
        <v>0.75</v>
      </c>
      <c r="H416" s="34">
        <v>41.2</v>
      </c>
      <c r="I416" s="106">
        <f>AVERAGE(H413:H416)</f>
        <v>41.95</v>
      </c>
      <c r="L416" s="20">
        <v>44180</v>
      </c>
      <c r="M416" s="19">
        <v>0.75</v>
      </c>
      <c r="N416" s="106">
        <v>41.95</v>
      </c>
      <c r="S416" s="36"/>
      <c r="T416" s="36"/>
    </row>
    <row r="417" spans="1:20" s="38" customFormat="1" ht="15.75" hidden="1" x14ac:dyDescent="0.3">
      <c r="A417" s="36" t="str">
        <f xml:space="preserve"> IF( 'From SvanPC++'!A407= "", "", ('From SvanPC++'!A407))</f>
        <v/>
      </c>
      <c r="B417" s="35" t="s">
        <v>546</v>
      </c>
      <c r="C417" s="34">
        <v>41.5</v>
      </c>
      <c r="D417" s="36"/>
      <c r="E417" s="20">
        <v>44180</v>
      </c>
      <c r="F417" s="19">
        <v>0.76041666666666663</v>
      </c>
      <c r="H417" s="34">
        <v>41.5</v>
      </c>
      <c r="I417" s="19"/>
      <c r="L417" s="20">
        <v>44180</v>
      </c>
      <c r="M417" s="19">
        <v>0.76041666666666663</v>
      </c>
      <c r="N417" s="19"/>
      <c r="S417" s="36"/>
      <c r="T417" s="36"/>
    </row>
    <row r="418" spans="1:20" s="38" customFormat="1" ht="15.75" hidden="1" x14ac:dyDescent="0.3">
      <c r="A418" s="36" t="str">
        <f xml:space="preserve"> IF( 'From SvanPC++'!A408= "", "", ('From SvanPC++'!A408))</f>
        <v/>
      </c>
      <c r="B418" s="35" t="s">
        <v>547</v>
      </c>
      <c r="C418" s="34">
        <v>42</v>
      </c>
      <c r="D418" s="36"/>
      <c r="E418" s="20">
        <v>44180</v>
      </c>
      <c r="F418" s="19">
        <v>0.77083333333333337</v>
      </c>
      <c r="H418" s="34">
        <v>42</v>
      </c>
      <c r="I418" s="19"/>
      <c r="L418" s="20">
        <v>44180</v>
      </c>
      <c r="M418" s="19">
        <v>0.77083333333333337</v>
      </c>
      <c r="N418" s="19"/>
      <c r="S418" s="36"/>
      <c r="T418" s="36"/>
    </row>
    <row r="419" spans="1:20" s="38" customFormat="1" ht="15.75" hidden="1" x14ac:dyDescent="0.3">
      <c r="A419" s="36" t="str">
        <f xml:space="preserve"> IF( 'From SvanPC++'!A409= "", "", ('From SvanPC++'!A409))</f>
        <v/>
      </c>
      <c r="B419" s="35" t="s">
        <v>548</v>
      </c>
      <c r="C419" s="34">
        <v>42.1</v>
      </c>
      <c r="D419" s="36"/>
      <c r="E419" s="20">
        <v>44180</v>
      </c>
      <c r="F419" s="19">
        <v>0.78125</v>
      </c>
      <c r="H419" s="34">
        <v>42.1</v>
      </c>
      <c r="I419" s="19"/>
      <c r="L419" s="20">
        <v>44180</v>
      </c>
      <c r="M419" s="19">
        <v>0.78125</v>
      </c>
      <c r="N419" s="19"/>
      <c r="S419" s="36"/>
      <c r="T419" s="36"/>
    </row>
    <row r="420" spans="1:20" s="38" customFormat="1" ht="15.75" x14ac:dyDescent="0.3">
      <c r="A420" s="36" t="str">
        <f xml:space="preserve"> IF( 'From SvanPC++'!A410= "", "", ('From SvanPC++'!A410))</f>
        <v/>
      </c>
      <c r="B420" s="35" t="s">
        <v>549</v>
      </c>
      <c r="C420" s="34">
        <v>41</v>
      </c>
      <c r="D420" s="36"/>
      <c r="E420" s="20">
        <v>44180</v>
      </c>
      <c r="F420" s="19">
        <v>0.79166666666666663</v>
      </c>
      <c r="H420" s="34">
        <v>41</v>
      </c>
      <c r="I420" s="106">
        <f>AVERAGE(H417:H420)</f>
        <v>41.65</v>
      </c>
      <c r="L420" s="20">
        <v>44180</v>
      </c>
      <c r="M420" s="19">
        <v>0.79166666666666663</v>
      </c>
      <c r="N420" s="106">
        <v>41.65</v>
      </c>
      <c r="S420" s="36"/>
      <c r="T420" s="36"/>
    </row>
    <row r="421" spans="1:20" s="38" customFormat="1" ht="15.75" hidden="1" x14ac:dyDescent="0.3">
      <c r="A421" s="36" t="str">
        <f xml:space="preserve"> IF( 'From SvanPC++'!A411= "", "", ('From SvanPC++'!A411))</f>
        <v/>
      </c>
      <c r="B421" s="35" t="s">
        <v>550</v>
      </c>
      <c r="C421" s="34">
        <v>40.4</v>
      </c>
      <c r="D421" s="36"/>
      <c r="E421" s="20">
        <v>44180</v>
      </c>
      <c r="F421" s="19">
        <v>0.80208333333333337</v>
      </c>
      <c r="H421" s="34">
        <v>40.4</v>
      </c>
      <c r="I421" s="19"/>
      <c r="L421" s="20">
        <v>44180</v>
      </c>
      <c r="M421" s="19">
        <v>0.80208333333333337</v>
      </c>
      <c r="N421" s="19"/>
      <c r="S421" s="36"/>
      <c r="T421" s="36"/>
    </row>
    <row r="422" spans="1:20" s="38" customFormat="1" ht="15.75" hidden="1" x14ac:dyDescent="0.3">
      <c r="A422" s="36" t="str">
        <f xml:space="preserve"> IF( 'From SvanPC++'!A412= "", "", ('From SvanPC++'!A412))</f>
        <v/>
      </c>
      <c r="B422" s="35" t="s">
        <v>551</v>
      </c>
      <c r="C422" s="34">
        <v>41</v>
      </c>
      <c r="D422" s="36"/>
      <c r="E422" s="20">
        <v>44180</v>
      </c>
      <c r="F422" s="19">
        <v>0.8125</v>
      </c>
      <c r="H422" s="34">
        <v>41</v>
      </c>
      <c r="I422" s="19"/>
      <c r="L422" s="20">
        <v>44180</v>
      </c>
      <c r="M422" s="19">
        <v>0.8125</v>
      </c>
      <c r="N422" s="19"/>
      <c r="S422" s="36"/>
      <c r="T422" s="36"/>
    </row>
    <row r="423" spans="1:20" s="38" customFormat="1" ht="15.75" hidden="1" x14ac:dyDescent="0.3">
      <c r="A423" s="36" t="str">
        <f xml:space="preserve"> IF( 'From SvanPC++'!A413= "", "", ('From SvanPC++'!A413))</f>
        <v/>
      </c>
      <c r="B423" s="35" t="s">
        <v>552</v>
      </c>
      <c r="C423" s="34">
        <v>39.5</v>
      </c>
      <c r="D423" s="36"/>
      <c r="E423" s="20">
        <v>44180</v>
      </c>
      <c r="F423" s="19">
        <v>0.82291666666666663</v>
      </c>
      <c r="H423" s="34">
        <v>39.5</v>
      </c>
      <c r="I423" s="19"/>
      <c r="L423" s="20">
        <v>44180</v>
      </c>
      <c r="M423" s="19">
        <v>0.82291666666666663</v>
      </c>
      <c r="N423" s="19"/>
      <c r="S423" s="36"/>
      <c r="T423" s="36"/>
    </row>
    <row r="424" spans="1:20" s="38" customFormat="1" ht="15.75" x14ac:dyDescent="0.3">
      <c r="A424" s="36" t="str">
        <f xml:space="preserve"> IF( 'From SvanPC++'!A414= "", "", ('From SvanPC++'!A414))</f>
        <v/>
      </c>
      <c r="B424" s="35" t="s">
        <v>553</v>
      </c>
      <c r="C424" s="34">
        <v>40.5</v>
      </c>
      <c r="D424" s="36"/>
      <c r="E424" s="20">
        <v>44180</v>
      </c>
      <c r="F424" s="19">
        <v>0.83333333333333337</v>
      </c>
      <c r="H424" s="34">
        <v>40.5</v>
      </c>
      <c r="I424" s="106">
        <f>AVERAGE(H421:H424)</f>
        <v>40.35</v>
      </c>
      <c r="L424" s="20">
        <v>44180</v>
      </c>
      <c r="M424" s="19">
        <v>0.83333333333333337</v>
      </c>
      <c r="N424" s="106">
        <v>40.35</v>
      </c>
      <c r="S424" s="36"/>
      <c r="T424" s="36"/>
    </row>
    <row r="425" spans="1:20" s="38" customFormat="1" ht="15.75" hidden="1" x14ac:dyDescent="0.3">
      <c r="A425" s="36" t="str">
        <f xml:space="preserve"> IF( 'From SvanPC++'!A415= "", "", ('From SvanPC++'!A415))</f>
        <v/>
      </c>
      <c r="B425" s="35" t="s">
        <v>554</v>
      </c>
      <c r="C425" s="34">
        <v>40</v>
      </c>
      <c r="D425" s="36"/>
      <c r="E425" s="20">
        <v>44180</v>
      </c>
      <c r="F425" s="19">
        <v>0.84375</v>
      </c>
      <c r="H425" s="34">
        <v>40</v>
      </c>
      <c r="I425" s="19"/>
      <c r="L425" s="20">
        <v>44180</v>
      </c>
      <c r="M425" s="19">
        <v>0.84375</v>
      </c>
      <c r="N425" s="19"/>
      <c r="S425" s="36"/>
      <c r="T425" s="36"/>
    </row>
    <row r="426" spans="1:20" s="38" customFormat="1" ht="15.75" hidden="1" x14ac:dyDescent="0.3">
      <c r="A426" s="36" t="str">
        <f xml:space="preserve"> IF( 'From SvanPC++'!A416= "", "", ('From SvanPC++'!A416))</f>
        <v/>
      </c>
      <c r="B426" s="35" t="s">
        <v>555</v>
      </c>
      <c r="C426" s="34">
        <v>40.6</v>
      </c>
      <c r="D426" s="36"/>
      <c r="E426" s="20">
        <v>44180</v>
      </c>
      <c r="F426" s="19">
        <v>0.85416666666666663</v>
      </c>
      <c r="H426" s="34">
        <v>40.6</v>
      </c>
      <c r="I426" s="19"/>
      <c r="L426" s="20">
        <v>44180</v>
      </c>
      <c r="M426" s="19">
        <v>0.85416666666666663</v>
      </c>
      <c r="N426" s="19"/>
      <c r="S426" s="36"/>
      <c r="T426" s="36"/>
    </row>
    <row r="427" spans="1:20" s="38" customFormat="1" ht="15.75" hidden="1" x14ac:dyDescent="0.3">
      <c r="A427" s="36" t="str">
        <f xml:space="preserve"> IF( 'From SvanPC++'!A417= "", "", ('From SvanPC++'!A417))</f>
        <v/>
      </c>
      <c r="B427" s="35" t="s">
        <v>556</v>
      </c>
      <c r="C427" s="34">
        <v>39.6</v>
      </c>
      <c r="D427" s="36"/>
      <c r="E427" s="20">
        <v>44180</v>
      </c>
      <c r="F427" s="19">
        <v>0.86458333333333337</v>
      </c>
      <c r="H427" s="34">
        <v>39.6</v>
      </c>
      <c r="I427" s="19"/>
      <c r="L427" s="20">
        <v>44180</v>
      </c>
      <c r="M427" s="19">
        <v>0.86458333333333337</v>
      </c>
      <c r="N427" s="19"/>
      <c r="S427" s="36"/>
      <c r="T427" s="36"/>
    </row>
    <row r="428" spans="1:20" s="38" customFormat="1" ht="15.75" x14ac:dyDescent="0.3">
      <c r="A428" s="36" t="str">
        <f xml:space="preserve"> IF( 'From SvanPC++'!A418= "", "", ('From SvanPC++'!A418))</f>
        <v/>
      </c>
      <c r="B428" s="35" t="s">
        <v>557</v>
      </c>
      <c r="C428" s="34">
        <v>39.799999999999997</v>
      </c>
      <c r="D428" s="36"/>
      <c r="E428" s="20">
        <v>44180</v>
      </c>
      <c r="F428" s="19">
        <v>0.875</v>
      </c>
      <c r="H428" s="34">
        <v>39.799999999999997</v>
      </c>
      <c r="I428" s="106">
        <f>AVERAGE(H425:H428)</f>
        <v>40</v>
      </c>
      <c r="L428" s="20">
        <v>44180</v>
      </c>
      <c r="M428" s="19">
        <v>0.875</v>
      </c>
      <c r="N428" s="106">
        <v>40</v>
      </c>
      <c r="S428" s="36"/>
      <c r="T428" s="36"/>
    </row>
    <row r="429" spans="1:20" s="38" customFormat="1" ht="15.75" hidden="1" x14ac:dyDescent="0.3">
      <c r="A429" s="36" t="str">
        <f xml:space="preserve"> IF( 'From SvanPC++'!A419= "", "", ('From SvanPC++'!A419))</f>
        <v/>
      </c>
      <c r="B429" s="35" t="s">
        <v>558</v>
      </c>
      <c r="C429" s="34">
        <v>44.4</v>
      </c>
      <c r="D429" s="36"/>
      <c r="E429" s="20">
        <v>44180</v>
      </c>
      <c r="F429" s="19">
        <v>0.88541666666666663</v>
      </c>
      <c r="H429" s="34">
        <v>44.4</v>
      </c>
      <c r="I429" s="19"/>
      <c r="L429" s="20">
        <v>44180</v>
      </c>
      <c r="M429" s="19">
        <v>0.88541666666666663</v>
      </c>
      <c r="N429" s="19"/>
      <c r="S429" s="36"/>
      <c r="T429" s="36"/>
    </row>
    <row r="430" spans="1:20" s="38" customFormat="1" ht="15.75" hidden="1" x14ac:dyDescent="0.3">
      <c r="A430" s="36" t="str">
        <f xml:space="preserve"> IF( 'From SvanPC++'!A420= "", "", ('From SvanPC++'!A420))</f>
        <v/>
      </c>
      <c r="B430" s="35" t="s">
        <v>559</v>
      </c>
      <c r="C430" s="34">
        <v>40.4</v>
      </c>
      <c r="D430" s="36"/>
      <c r="E430" s="20">
        <v>44180</v>
      </c>
      <c r="F430" s="19">
        <v>0.89583333333333337</v>
      </c>
      <c r="H430" s="34">
        <v>40.4</v>
      </c>
      <c r="I430" s="19"/>
      <c r="L430" s="20">
        <v>44180</v>
      </c>
      <c r="M430" s="19">
        <v>0.89583333333333337</v>
      </c>
      <c r="N430" s="19"/>
      <c r="S430" s="36"/>
      <c r="T430" s="36"/>
    </row>
    <row r="431" spans="1:20" s="38" customFormat="1" ht="15.75" hidden="1" x14ac:dyDescent="0.3">
      <c r="A431" s="36" t="str">
        <f xml:space="preserve"> IF( 'From SvanPC++'!A421= "", "", ('From SvanPC++'!A421))</f>
        <v/>
      </c>
      <c r="B431" s="35" t="s">
        <v>560</v>
      </c>
      <c r="C431" s="34">
        <v>40.700000000000003</v>
      </c>
      <c r="D431" s="36"/>
      <c r="E431" s="20">
        <v>44180</v>
      </c>
      <c r="F431" s="19">
        <v>0.90625</v>
      </c>
      <c r="H431" s="34">
        <v>40.700000000000003</v>
      </c>
      <c r="I431" s="19"/>
      <c r="L431" s="20">
        <v>44180</v>
      </c>
      <c r="M431" s="19">
        <v>0.90625</v>
      </c>
      <c r="N431" s="19"/>
      <c r="S431" s="36"/>
      <c r="T431" s="36"/>
    </row>
    <row r="432" spans="1:20" s="38" customFormat="1" ht="15.75" x14ac:dyDescent="0.3">
      <c r="A432" s="36" t="str">
        <f xml:space="preserve"> IF( 'From SvanPC++'!A422= "", "", ('From SvanPC++'!A422))</f>
        <v/>
      </c>
      <c r="B432" s="35" t="s">
        <v>561</v>
      </c>
      <c r="C432" s="34">
        <v>40.700000000000003</v>
      </c>
      <c r="D432" s="36"/>
      <c r="E432" s="20">
        <v>44180</v>
      </c>
      <c r="F432" s="19">
        <v>0.91666666666666663</v>
      </c>
      <c r="H432" s="34">
        <v>40.700000000000003</v>
      </c>
      <c r="I432" s="106">
        <f>AVERAGE(H429:H432)</f>
        <v>41.55</v>
      </c>
      <c r="L432" s="20">
        <v>44180</v>
      </c>
      <c r="M432" s="19">
        <v>0.91666666666666663</v>
      </c>
      <c r="N432" s="106">
        <v>41.55</v>
      </c>
      <c r="S432" s="36"/>
      <c r="T432" s="36"/>
    </row>
    <row r="433" spans="1:20" s="38" customFormat="1" ht="15.75" hidden="1" x14ac:dyDescent="0.3">
      <c r="A433" s="36" t="str">
        <f xml:space="preserve"> IF( 'From SvanPC++'!A423= "", "", ('From SvanPC++'!A423))</f>
        <v/>
      </c>
      <c r="B433" s="35" t="s">
        <v>562</v>
      </c>
      <c r="C433" s="34">
        <v>37.4</v>
      </c>
      <c r="D433" s="36"/>
      <c r="E433" s="20">
        <v>44180</v>
      </c>
      <c r="F433" s="19">
        <v>0.92708333333333337</v>
      </c>
      <c r="H433" s="34">
        <v>37.4</v>
      </c>
      <c r="I433" s="19"/>
      <c r="L433" s="20">
        <v>44180</v>
      </c>
      <c r="M433" s="19">
        <v>0.92708333333333337</v>
      </c>
      <c r="N433" s="19"/>
      <c r="S433" s="36"/>
      <c r="T433" s="36"/>
    </row>
    <row r="434" spans="1:20" s="38" customFormat="1" ht="15.75" hidden="1" x14ac:dyDescent="0.3">
      <c r="A434" s="36" t="str">
        <f xml:space="preserve"> IF( 'From SvanPC++'!A424= "", "", ('From SvanPC++'!A424))</f>
        <v/>
      </c>
      <c r="B434" s="35" t="s">
        <v>563</v>
      </c>
      <c r="C434" s="34">
        <v>34.799999999999997</v>
      </c>
      <c r="D434" s="36"/>
      <c r="E434" s="20">
        <v>44180</v>
      </c>
      <c r="F434" s="19">
        <v>0.9375</v>
      </c>
      <c r="H434" s="34">
        <v>34.799999999999997</v>
      </c>
      <c r="I434" s="19"/>
      <c r="L434" s="20">
        <v>44180</v>
      </c>
      <c r="M434" s="19">
        <v>0.9375</v>
      </c>
      <c r="N434" s="19"/>
      <c r="S434" s="36"/>
      <c r="T434" s="36"/>
    </row>
    <row r="435" spans="1:20" s="38" customFormat="1" ht="15.75" hidden="1" x14ac:dyDescent="0.3">
      <c r="A435" s="36" t="str">
        <f xml:space="preserve"> IF( 'From SvanPC++'!A425= "", "", ('From SvanPC++'!A425))</f>
        <v/>
      </c>
      <c r="B435" s="35" t="s">
        <v>564</v>
      </c>
      <c r="C435" s="34">
        <v>33.700000000000003</v>
      </c>
      <c r="D435" s="36"/>
      <c r="E435" s="20">
        <v>44180</v>
      </c>
      <c r="F435" s="19">
        <v>0.94791666666666663</v>
      </c>
      <c r="H435" s="34">
        <v>33.700000000000003</v>
      </c>
      <c r="I435" s="19"/>
      <c r="L435" s="20">
        <v>44180</v>
      </c>
      <c r="M435" s="19">
        <v>0.94791666666666663</v>
      </c>
      <c r="N435" s="19"/>
      <c r="S435" s="36"/>
      <c r="T435" s="36"/>
    </row>
    <row r="436" spans="1:20" s="38" customFormat="1" ht="15.75" x14ac:dyDescent="0.3">
      <c r="A436" s="36" t="str">
        <f xml:space="preserve"> IF( 'From SvanPC++'!A426= "", "", ('From SvanPC++'!A426))</f>
        <v/>
      </c>
      <c r="B436" s="35" t="s">
        <v>565</v>
      </c>
      <c r="C436" s="34">
        <v>34.799999999999997</v>
      </c>
      <c r="D436" s="36"/>
      <c r="E436" s="20">
        <v>44180</v>
      </c>
      <c r="F436" s="19">
        <v>0.95833333333333337</v>
      </c>
      <c r="H436" s="34">
        <v>34.799999999999997</v>
      </c>
      <c r="I436" s="106">
        <f>AVERAGE(H433:H436)</f>
        <v>35.174999999999997</v>
      </c>
      <c r="L436" s="20">
        <v>44180</v>
      </c>
      <c r="M436" s="19">
        <v>0.95833333333333337</v>
      </c>
      <c r="N436" s="106">
        <v>35.174999999999997</v>
      </c>
      <c r="S436" s="36"/>
      <c r="T436" s="36"/>
    </row>
    <row r="437" spans="1:20" s="38" customFormat="1" ht="15.75" hidden="1" x14ac:dyDescent="0.3">
      <c r="A437" s="36" t="str">
        <f xml:space="preserve"> IF( 'From SvanPC++'!A427= "", "", ('From SvanPC++'!A427))</f>
        <v/>
      </c>
      <c r="B437" s="35" t="s">
        <v>566</v>
      </c>
      <c r="C437" s="34">
        <v>32.6</v>
      </c>
      <c r="D437" s="36"/>
      <c r="E437" s="20">
        <v>44180</v>
      </c>
      <c r="F437" s="19">
        <v>0.96875</v>
      </c>
      <c r="H437" s="34">
        <v>32.6</v>
      </c>
      <c r="I437" s="19"/>
      <c r="L437" s="20">
        <v>44180</v>
      </c>
      <c r="M437" s="19">
        <v>0.96875</v>
      </c>
      <c r="N437" s="19"/>
      <c r="S437" s="36"/>
      <c r="T437" s="36"/>
    </row>
    <row r="438" spans="1:20" s="38" customFormat="1" ht="15.75" hidden="1" x14ac:dyDescent="0.3">
      <c r="A438" s="36" t="str">
        <f xml:space="preserve"> IF( 'From SvanPC++'!A428= "", "", ('From SvanPC++'!A428))</f>
        <v/>
      </c>
      <c r="B438" s="35" t="s">
        <v>567</v>
      </c>
      <c r="C438" s="34">
        <v>34.700000000000003</v>
      </c>
      <c r="D438" s="36"/>
      <c r="E438" s="20">
        <v>44180</v>
      </c>
      <c r="F438" s="19">
        <v>0.97916666666666663</v>
      </c>
      <c r="H438" s="34">
        <v>34.700000000000003</v>
      </c>
      <c r="I438" s="19"/>
      <c r="L438" s="20">
        <v>44180</v>
      </c>
      <c r="M438" s="19">
        <v>0.97916666666666663</v>
      </c>
      <c r="N438" s="19"/>
      <c r="S438" s="36"/>
      <c r="T438" s="36"/>
    </row>
    <row r="439" spans="1:20" s="38" customFormat="1" ht="15.75" hidden="1" x14ac:dyDescent="0.3">
      <c r="A439" s="36" t="str">
        <f xml:space="preserve"> IF( 'From SvanPC++'!A429= "", "", ('From SvanPC++'!A429))</f>
        <v/>
      </c>
      <c r="B439" s="35" t="s">
        <v>568</v>
      </c>
      <c r="C439" s="34">
        <v>34.299999999999997</v>
      </c>
      <c r="D439" s="36"/>
      <c r="E439" s="20">
        <v>44180</v>
      </c>
      <c r="F439" s="19">
        <v>0.98958333333333337</v>
      </c>
      <c r="H439" s="34">
        <v>34.299999999999997</v>
      </c>
      <c r="I439" s="19"/>
      <c r="L439" s="20">
        <v>44180</v>
      </c>
      <c r="M439" s="19">
        <v>0.98958333333333337</v>
      </c>
      <c r="N439" s="19"/>
      <c r="S439" s="36"/>
      <c r="T439" s="36"/>
    </row>
    <row r="440" spans="1:20" s="38" customFormat="1" ht="15.75" x14ac:dyDescent="0.3">
      <c r="A440" s="36" t="str">
        <f xml:space="preserve"> IF( 'From SvanPC++'!A430= "", "", ('From SvanPC++'!A430))</f>
        <v/>
      </c>
      <c r="B440" s="35" t="s">
        <v>569</v>
      </c>
      <c r="C440" s="34">
        <v>34.1</v>
      </c>
      <c r="D440" s="36"/>
      <c r="E440" s="20">
        <v>44181</v>
      </c>
      <c r="F440" s="19">
        <v>0</v>
      </c>
      <c r="H440" s="34">
        <v>34.1</v>
      </c>
      <c r="I440" s="106">
        <f>AVERAGE(H437:H440)</f>
        <v>33.925000000000004</v>
      </c>
      <c r="L440" s="20">
        <v>44181</v>
      </c>
      <c r="M440" s="19">
        <v>0</v>
      </c>
      <c r="N440" s="106">
        <v>33.925000000000004</v>
      </c>
      <c r="S440" s="36"/>
      <c r="T440" s="36"/>
    </row>
    <row r="441" spans="1:20" s="38" customFormat="1" ht="15.75" hidden="1" x14ac:dyDescent="0.3">
      <c r="A441" s="36" t="str">
        <f xml:space="preserve"> IF( 'From SvanPC++'!A431= "", "", ('From SvanPC++'!A431))</f>
        <v/>
      </c>
      <c r="B441" s="35" t="s">
        <v>570</v>
      </c>
      <c r="C441" s="34">
        <v>34.200000000000003</v>
      </c>
      <c r="D441" s="36"/>
      <c r="E441" s="20">
        <v>44181</v>
      </c>
      <c r="F441" s="19">
        <v>1.0416666666666666E-2</v>
      </c>
      <c r="H441" s="34">
        <v>34.200000000000003</v>
      </c>
      <c r="I441" s="19"/>
      <c r="L441" s="20">
        <v>44181</v>
      </c>
      <c r="M441" s="19">
        <v>1.0416666666666666E-2</v>
      </c>
      <c r="N441" s="19"/>
      <c r="S441" s="36"/>
      <c r="T441" s="36"/>
    </row>
    <row r="442" spans="1:20" s="38" customFormat="1" ht="15.75" hidden="1" x14ac:dyDescent="0.3">
      <c r="A442" s="36" t="str">
        <f xml:space="preserve"> IF( 'From SvanPC++'!A432= "", "", ('From SvanPC++'!A432))</f>
        <v/>
      </c>
      <c r="B442" s="35" t="s">
        <v>571</v>
      </c>
      <c r="C442" s="34">
        <v>33.9</v>
      </c>
      <c r="D442" s="36"/>
      <c r="E442" s="20">
        <v>44181</v>
      </c>
      <c r="F442" s="19">
        <v>2.0833333333333332E-2</v>
      </c>
      <c r="H442" s="34">
        <v>33.9</v>
      </c>
      <c r="I442" s="19"/>
      <c r="L442" s="20">
        <v>44181</v>
      </c>
      <c r="M442" s="19">
        <v>2.0833333333333332E-2</v>
      </c>
      <c r="N442" s="19"/>
      <c r="S442" s="36"/>
      <c r="T442" s="36"/>
    </row>
    <row r="443" spans="1:20" s="38" customFormat="1" ht="15.75" hidden="1" x14ac:dyDescent="0.3">
      <c r="A443" s="36" t="str">
        <f xml:space="preserve"> IF( 'From SvanPC++'!A433= "", "", ('From SvanPC++'!A433))</f>
        <v/>
      </c>
      <c r="B443" s="35" t="s">
        <v>572</v>
      </c>
      <c r="C443" s="34">
        <v>29</v>
      </c>
      <c r="D443" s="36"/>
      <c r="E443" s="20">
        <v>44181</v>
      </c>
      <c r="F443" s="19">
        <v>3.125E-2</v>
      </c>
      <c r="H443" s="34">
        <v>29</v>
      </c>
      <c r="I443" s="19"/>
      <c r="L443" s="20">
        <v>44181</v>
      </c>
      <c r="M443" s="19">
        <v>3.125E-2</v>
      </c>
      <c r="N443" s="19"/>
      <c r="S443" s="36"/>
      <c r="T443" s="36"/>
    </row>
    <row r="444" spans="1:20" s="38" customFormat="1" ht="15.75" x14ac:dyDescent="0.3">
      <c r="A444" s="36" t="str">
        <f xml:space="preserve"> IF( 'From SvanPC++'!A434= "", "", ('From SvanPC++'!A434))</f>
        <v/>
      </c>
      <c r="B444" s="35" t="s">
        <v>573</v>
      </c>
      <c r="C444" s="34">
        <v>29.7</v>
      </c>
      <c r="D444" s="36"/>
      <c r="E444" s="20">
        <v>44181</v>
      </c>
      <c r="F444" s="19">
        <v>4.1666666666666664E-2</v>
      </c>
      <c r="H444" s="34">
        <v>29.7</v>
      </c>
      <c r="I444" s="106">
        <f>AVERAGE(H441:H444)</f>
        <v>31.7</v>
      </c>
      <c r="L444" s="20">
        <v>44181</v>
      </c>
      <c r="M444" s="19">
        <v>4.1666666666666664E-2</v>
      </c>
      <c r="N444" s="106">
        <v>31.7</v>
      </c>
      <c r="S444" s="36"/>
      <c r="T444" s="36"/>
    </row>
    <row r="445" spans="1:20" s="38" customFormat="1" ht="15.75" hidden="1" x14ac:dyDescent="0.3">
      <c r="A445" s="36" t="str">
        <f xml:space="preserve"> IF( 'From SvanPC++'!A435= "", "", ('From SvanPC++'!A435))</f>
        <v/>
      </c>
      <c r="B445" s="35" t="s">
        <v>574</v>
      </c>
      <c r="C445" s="34">
        <v>31.9</v>
      </c>
      <c r="D445" s="36"/>
      <c r="E445" s="20">
        <v>44181</v>
      </c>
      <c r="F445" s="19">
        <v>5.2083333333333336E-2</v>
      </c>
      <c r="H445" s="34">
        <v>31.9</v>
      </c>
      <c r="I445" s="19"/>
      <c r="L445" s="20">
        <v>44181</v>
      </c>
      <c r="M445" s="19">
        <v>5.2083333333333336E-2</v>
      </c>
      <c r="N445" s="19"/>
      <c r="S445" s="36"/>
      <c r="T445" s="36"/>
    </row>
    <row r="446" spans="1:20" s="38" customFormat="1" ht="15.75" hidden="1" x14ac:dyDescent="0.3">
      <c r="A446" s="36" t="str">
        <f xml:space="preserve"> IF( 'From SvanPC++'!A436= "", "", ('From SvanPC++'!A436))</f>
        <v/>
      </c>
      <c r="B446" s="35" t="s">
        <v>575</v>
      </c>
      <c r="C446" s="34">
        <v>26.6</v>
      </c>
      <c r="D446" s="36"/>
      <c r="E446" s="20">
        <v>44181</v>
      </c>
      <c r="F446" s="19">
        <v>6.25E-2</v>
      </c>
      <c r="H446" s="34">
        <v>26.6</v>
      </c>
      <c r="I446" s="19"/>
      <c r="L446" s="20">
        <v>44181</v>
      </c>
      <c r="M446" s="19">
        <v>6.25E-2</v>
      </c>
      <c r="N446" s="19"/>
      <c r="S446" s="36"/>
      <c r="T446" s="36"/>
    </row>
    <row r="447" spans="1:20" s="38" customFormat="1" ht="15.75" hidden="1" x14ac:dyDescent="0.3">
      <c r="A447" s="36" t="str">
        <f xml:space="preserve"> IF( 'From SvanPC++'!A437= "", "", ('From SvanPC++'!A437))</f>
        <v/>
      </c>
      <c r="B447" s="35" t="s">
        <v>576</v>
      </c>
      <c r="C447" s="34">
        <v>29.2</v>
      </c>
      <c r="D447" s="36"/>
      <c r="E447" s="20">
        <v>44181</v>
      </c>
      <c r="F447" s="19">
        <v>7.2916666666666671E-2</v>
      </c>
      <c r="H447" s="34">
        <v>29.2</v>
      </c>
      <c r="I447" s="19"/>
      <c r="L447" s="20">
        <v>44181</v>
      </c>
      <c r="M447" s="19">
        <v>7.2916666666666671E-2</v>
      </c>
      <c r="N447" s="19"/>
      <c r="S447" s="36"/>
      <c r="T447" s="36"/>
    </row>
    <row r="448" spans="1:20" s="38" customFormat="1" ht="15.75" x14ac:dyDescent="0.3">
      <c r="A448" s="36" t="str">
        <f xml:space="preserve"> IF( 'From SvanPC++'!A438= "", "", ('From SvanPC++'!A438))</f>
        <v/>
      </c>
      <c r="B448" s="35" t="s">
        <v>577</v>
      </c>
      <c r="C448" s="34">
        <v>28.7</v>
      </c>
      <c r="D448" s="36"/>
      <c r="E448" s="20">
        <v>44181</v>
      </c>
      <c r="F448" s="19">
        <v>8.3333333333333329E-2</v>
      </c>
      <c r="H448" s="34">
        <v>28.7</v>
      </c>
      <c r="I448" s="106">
        <f>AVERAGE(H445:H448)</f>
        <v>29.1</v>
      </c>
      <c r="L448" s="20">
        <v>44181</v>
      </c>
      <c r="M448" s="19">
        <v>8.3333333333333329E-2</v>
      </c>
      <c r="N448" s="106">
        <v>29.1</v>
      </c>
      <c r="S448" s="36"/>
      <c r="T448" s="36"/>
    </row>
    <row r="449" spans="1:20" s="38" customFormat="1" ht="15.75" hidden="1" x14ac:dyDescent="0.3">
      <c r="A449" s="36" t="str">
        <f xml:space="preserve"> IF( 'From SvanPC++'!A439= "", "", ('From SvanPC++'!A439))</f>
        <v/>
      </c>
      <c r="B449" s="35" t="s">
        <v>578</v>
      </c>
      <c r="C449" s="34">
        <v>27.4</v>
      </c>
      <c r="D449" s="36"/>
      <c r="E449" s="20">
        <v>44181</v>
      </c>
      <c r="F449" s="19">
        <v>9.375E-2</v>
      </c>
      <c r="H449" s="34">
        <v>27.4</v>
      </c>
      <c r="I449" s="19"/>
      <c r="L449" s="20">
        <v>44181</v>
      </c>
      <c r="M449" s="19">
        <v>9.375E-2</v>
      </c>
      <c r="N449" s="19"/>
      <c r="S449" s="36"/>
      <c r="T449" s="36"/>
    </row>
    <row r="450" spans="1:20" s="38" customFormat="1" ht="15.75" hidden="1" x14ac:dyDescent="0.3">
      <c r="A450" s="36" t="str">
        <f xml:space="preserve"> IF( 'From SvanPC++'!A440= "", "", ('From SvanPC++'!A440))</f>
        <v/>
      </c>
      <c r="B450" s="35" t="s">
        <v>579</v>
      </c>
      <c r="C450" s="34">
        <v>29.2</v>
      </c>
      <c r="D450" s="36"/>
      <c r="E450" s="20">
        <v>44181</v>
      </c>
      <c r="F450" s="19">
        <v>0.10416666666666667</v>
      </c>
      <c r="H450" s="34">
        <v>29.2</v>
      </c>
      <c r="I450" s="19"/>
      <c r="L450" s="20">
        <v>44181</v>
      </c>
      <c r="M450" s="19">
        <v>0.10416666666666667</v>
      </c>
      <c r="N450" s="19"/>
      <c r="S450" s="36"/>
      <c r="T450" s="36"/>
    </row>
    <row r="451" spans="1:20" s="38" customFormat="1" ht="15.75" hidden="1" x14ac:dyDescent="0.3">
      <c r="A451" s="36" t="str">
        <f xml:space="preserve"> IF( 'From SvanPC++'!A441= "", "", ('From SvanPC++'!A441))</f>
        <v/>
      </c>
      <c r="B451" s="35" t="s">
        <v>580</v>
      </c>
      <c r="C451" s="34">
        <v>27.3</v>
      </c>
      <c r="D451" s="36"/>
      <c r="E451" s="20">
        <v>44181</v>
      </c>
      <c r="F451" s="19">
        <v>0.11458333333333333</v>
      </c>
      <c r="H451" s="34">
        <v>27.3</v>
      </c>
      <c r="I451" s="19"/>
      <c r="L451" s="20">
        <v>44181</v>
      </c>
      <c r="M451" s="19">
        <v>0.11458333333333333</v>
      </c>
      <c r="N451" s="19"/>
      <c r="S451" s="36"/>
      <c r="T451" s="36"/>
    </row>
    <row r="452" spans="1:20" s="38" customFormat="1" ht="15.75" x14ac:dyDescent="0.3">
      <c r="A452" s="36" t="str">
        <f xml:space="preserve"> IF( 'From SvanPC++'!A442= "", "", ('From SvanPC++'!A442))</f>
        <v/>
      </c>
      <c r="B452" s="35" t="s">
        <v>581</v>
      </c>
      <c r="C452" s="34">
        <v>25.6</v>
      </c>
      <c r="D452" s="36"/>
      <c r="E452" s="20">
        <v>44181</v>
      </c>
      <c r="F452" s="19">
        <v>0.125</v>
      </c>
      <c r="H452" s="34">
        <v>25.6</v>
      </c>
      <c r="I452" s="106">
        <f>AVERAGE(H449:H452)</f>
        <v>27.375</v>
      </c>
      <c r="L452" s="20">
        <v>44181</v>
      </c>
      <c r="M452" s="19">
        <v>0.125</v>
      </c>
      <c r="N452" s="106">
        <v>27.375</v>
      </c>
      <c r="S452" s="36"/>
      <c r="T452" s="36"/>
    </row>
    <row r="453" spans="1:20" s="38" customFormat="1" ht="15.75" hidden="1" x14ac:dyDescent="0.3">
      <c r="A453" s="36" t="str">
        <f xml:space="preserve"> IF( 'From SvanPC++'!A443= "", "", ('From SvanPC++'!A443))</f>
        <v/>
      </c>
      <c r="B453" s="35" t="s">
        <v>582</v>
      </c>
      <c r="C453" s="34">
        <v>27.2</v>
      </c>
      <c r="D453" s="36"/>
      <c r="E453" s="20">
        <v>44181</v>
      </c>
      <c r="F453" s="19">
        <v>0.13541666666666666</v>
      </c>
      <c r="H453" s="34">
        <v>27.2</v>
      </c>
      <c r="I453" s="19"/>
      <c r="L453" s="20">
        <v>44181</v>
      </c>
      <c r="M453" s="19">
        <v>0.13541666666666666</v>
      </c>
      <c r="N453" s="19"/>
      <c r="S453" s="36"/>
      <c r="T453" s="36"/>
    </row>
    <row r="454" spans="1:20" s="38" customFormat="1" ht="15.75" hidden="1" x14ac:dyDescent="0.3">
      <c r="A454" s="36" t="str">
        <f xml:space="preserve"> IF( 'From SvanPC++'!A444= "", "", ('From SvanPC++'!A444))</f>
        <v/>
      </c>
      <c r="B454" s="35" t="s">
        <v>583</v>
      </c>
      <c r="C454" s="34">
        <v>26.9</v>
      </c>
      <c r="D454" s="36"/>
      <c r="E454" s="20">
        <v>44181</v>
      </c>
      <c r="F454" s="19">
        <v>0.14583333333333334</v>
      </c>
      <c r="H454" s="34">
        <v>26.9</v>
      </c>
      <c r="I454" s="19"/>
      <c r="L454" s="20">
        <v>44181</v>
      </c>
      <c r="M454" s="19">
        <v>0.14583333333333334</v>
      </c>
      <c r="N454" s="19"/>
      <c r="S454" s="36"/>
      <c r="T454" s="36"/>
    </row>
    <row r="455" spans="1:20" s="38" customFormat="1" ht="15.75" hidden="1" x14ac:dyDescent="0.3">
      <c r="A455" s="36" t="str">
        <f xml:space="preserve"> IF( 'From SvanPC++'!A445= "", "", ('From SvanPC++'!A445))</f>
        <v/>
      </c>
      <c r="B455" s="35" t="s">
        <v>584</v>
      </c>
      <c r="C455" s="34">
        <v>27.4</v>
      </c>
      <c r="D455" s="36"/>
      <c r="E455" s="20">
        <v>44181</v>
      </c>
      <c r="F455" s="19">
        <v>0.15625</v>
      </c>
      <c r="H455" s="34">
        <v>27.4</v>
      </c>
      <c r="I455" s="19"/>
      <c r="L455" s="20">
        <v>44181</v>
      </c>
      <c r="M455" s="19">
        <v>0.15625</v>
      </c>
      <c r="N455" s="19"/>
      <c r="S455" s="36"/>
      <c r="T455" s="36"/>
    </row>
    <row r="456" spans="1:20" s="38" customFormat="1" ht="15.75" x14ac:dyDescent="0.3">
      <c r="A456" s="36" t="str">
        <f xml:space="preserve"> IF( 'From SvanPC++'!A446= "", "", ('From SvanPC++'!A446))</f>
        <v/>
      </c>
      <c r="B456" s="35" t="s">
        <v>585</v>
      </c>
      <c r="C456" s="34">
        <v>29.8</v>
      </c>
      <c r="D456" s="36"/>
      <c r="E456" s="20">
        <v>44181</v>
      </c>
      <c r="F456" s="19">
        <v>0.16666666666666666</v>
      </c>
      <c r="H456" s="34">
        <v>29.8</v>
      </c>
      <c r="I456" s="106">
        <f>AVERAGE(H453:H456)</f>
        <v>27.824999999999999</v>
      </c>
      <c r="L456" s="20">
        <v>44181</v>
      </c>
      <c r="M456" s="19">
        <v>0.16666666666666666</v>
      </c>
      <c r="N456" s="106">
        <v>27.824999999999999</v>
      </c>
      <c r="S456" s="36"/>
      <c r="T456" s="36"/>
    </row>
    <row r="457" spans="1:20" s="38" customFormat="1" ht="15.75" hidden="1" x14ac:dyDescent="0.3">
      <c r="A457" s="36" t="str">
        <f xml:space="preserve"> IF( 'From SvanPC++'!A447= "", "", ('From SvanPC++'!A447))</f>
        <v/>
      </c>
      <c r="B457" s="35" t="s">
        <v>586</v>
      </c>
      <c r="C457" s="34">
        <v>27.1</v>
      </c>
      <c r="D457" s="36"/>
      <c r="E457" s="20">
        <v>44181</v>
      </c>
      <c r="F457" s="19">
        <v>0.17708333333333334</v>
      </c>
      <c r="H457" s="34">
        <v>27.1</v>
      </c>
      <c r="I457" s="19"/>
      <c r="L457" s="20">
        <v>44181</v>
      </c>
      <c r="M457" s="19">
        <v>0.17708333333333334</v>
      </c>
      <c r="N457" s="19"/>
      <c r="S457" s="36"/>
      <c r="T457" s="36"/>
    </row>
    <row r="458" spans="1:20" s="38" customFormat="1" ht="15.75" hidden="1" x14ac:dyDescent="0.3">
      <c r="A458" s="36" t="str">
        <f xml:space="preserve"> IF( 'From SvanPC++'!A448= "", "", ('From SvanPC++'!A448))</f>
        <v/>
      </c>
      <c r="B458" s="35" t="s">
        <v>587</v>
      </c>
      <c r="C458" s="34">
        <v>32</v>
      </c>
      <c r="D458" s="36"/>
      <c r="E458" s="20">
        <v>44181</v>
      </c>
      <c r="F458" s="19">
        <v>0.1875</v>
      </c>
      <c r="H458" s="34">
        <v>32</v>
      </c>
      <c r="I458" s="19"/>
      <c r="L458" s="20">
        <v>44181</v>
      </c>
      <c r="M458" s="19">
        <v>0.1875</v>
      </c>
      <c r="N458" s="19"/>
      <c r="S458" s="36"/>
      <c r="T458" s="36"/>
    </row>
    <row r="459" spans="1:20" s="38" customFormat="1" ht="15.75" hidden="1" x14ac:dyDescent="0.3">
      <c r="A459" s="36" t="str">
        <f xml:space="preserve"> IF( 'From SvanPC++'!A449= "", "", ('From SvanPC++'!A449))</f>
        <v/>
      </c>
      <c r="B459" s="35" t="s">
        <v>588</v>
      </c>
      <c r="C459" s="34">
        <v>29.8</v>
      </c>
      <c r="D459" s="36"/>
      <c r="E459" s="20">
        <v>44181</v>
      </c>
      <c r="F459" s="19">
        <v>0.19791666666666666</v>
      </c>
      <c r="H459" s="34">
        <v>29.8</v>
      </c>
      <c r="I459" s="19"/>
      <c r="L459" s="20">
        <v>44181</v>
      </c>
      <c r="M459" s="19">
        <v>0.19791666666666666</v>
      </c>
      <c r="N459" s="19"/>
      <c r="S459" s="36"/>
      <c r="T459" s="36"/>
    </row>
    <row r="460" spans="1:20" s="38" customFormat="1" ht="15.75" x14ac:dyDescent="0.3">
      <c r="A460" s="36" t="str">
        <f xml:space="preserve"> IF( 'From SvanPC++'!A450= "", "", ('From SvanPC++'!A450))</f>
        <v/>
      </c>
      <c r="B460" s="35" t="s">
        <v>589</v>
      </c>
      <c r="C460" s="34">
        <v>28.6</v>
      </c>
      <c r="D460" s="36"/>
      <c r="E460" s="20">
        <v>44181</v>
      </c>
      <c r="F460" s="19">
        <v>0.20833333333333334</v>
      </c>
      <c r="H460" s="34">
        <v>28.6</v>
      </c>
      <c r="I460" s="106">
        <f>AVERAGE(H457:H460)</f>
        <v>29.375</v>
      </c>
      <c r="L460" s="20">
        <v>44181</v>
      </c>
      <c r="M460" s="19">
        <v>0.20833333333333334</v>
      </c>
      <c r="N460" s="106">
        <v>29.375</v>
      </c>
      <c r="S460" s="36"/>
      <c r="T460" s="36"/>
    </row>
    <row r="461" spans="1:20" s="38" customFormat="1" ht="15.75" hidden="1" x14ac:dyDescent="0.3">
      <c r="A461" s="36" t="str">
        <f xml:space="preserve"> IF( 'From SvanPC++'!A451= "", "", ('From SvanPC++'!A451))</f>
        <v/>
      </c>
      <c r="B461" s="35" t="s">
        <v>590</v>
      </c>
      <c r="C461" s="34">
        <v>34</v>
      </c>
      <c r="D461" s="36"/>
      <c r="E461" s="20">
        <v>44181</v>
      </c>
      <c r="F461" s="19">
        <v>0.21875</v>
      </c>
      <c r="H461" s="34">
        <v>34</v>
      </c>
      <c r="I461" s="19"/>
      <c r="L461" s="20">
        <v>44181</v>
      </c>
      <c r="M461" s="19">
        <v>0.21875</v>
      </c>
      <c r="N461" s="19"/>
      <c r="S461" s="36"/>
      <c r="T461" s="36"/>
    </row>
    <row r="462" spans="1:20" s="38" customFormat="1" ht="15.75" hidden="1" x14ac:dyDescent="0.3">
      <c r="A462" s="36" t="str">
        <f xml:space="preserve"> IF( 'From SvanPC++'!A452= "", "", ('From SvanPC++'!A452))</f>
        <v/>
      </c>
      <c r="B462" s="35" t="s">
        <v>591</v>
      </c>
      <c r="C462" s="34">
        <v>37.299999999999997</v>
      </c>
      <c r="D462" s="36"/>
      <c r="E462" s="20">
        <v>44181</v>
      </c>
      <c r="F462" s="19">
        <v>0.22916666666666666</v>
      </c>
      <c r="H462" s="34">
        <v>37.299999999999997</v>
      </c>
      <c r="I462" s="19"/>
      <c r="L462" s="20">
        <v>44181</v>
      </c>
      <c r="M462" s="19">
        <v>0.22916666666666666</v>
      </c>
      <c r="N462" s="19"/>
      <c r="S462" s="36"/>
      <c r="T462" s="36"/>
    </row>
    <row r="463" spans="1:20" s="38" customFormat="1" ht="15.75" hidden="1" x14ac:dyDescent="0.3">
      <c r="A463" s="36" t="str">
        <f xml:space="preserve"> IF( 'From SvanPC++'!A453= "", "", ('From SvanPC++'!A453))</f>
        <v/>
      </c>
      <c r="B463" s="35" t="s">
        <v>592</v>
      </c>
      <c r="C463" s="34">
        <v>40.200000000000003</v>
      </c>
      <c r="D463" s="36"/>
      <c r="E463" s="20">
        <v>44181</v>
      </c>
      <c r="F463" s="19">
        <v>0.23958333333333334</v>
      </c>
      <c r="H463" s="34">
        <v>40.200000000000003</v>
      </c>
      <c r="I463" s="19"/>
      <c r="L463" s="20">
        <v>44181</v>
      </c>
      <c r="M463" s="19">
        <v>0.23958333333333334</v>
      </c>
      <c r="N463" s="19"/>
      <c r="S463" s="36"/>
      <c r="T463" s="36"/>
    </row>
    <row r="464" spans="1:20" s="38" customFormat="1" ht="15.75" x14ac:dyDescent="0.3">
      <c r="A464" s="36" t="str">
        <f xml:space="preserve"> IF( 'From SvanPC++'!A454= "", "", ('From SvanPC++'!A454))</f>
        <v/>
      </c>
      <c r="B464" s="35" t="s">
        <v>593</v>
      </c>
      <c r="C464" s="34">
        <v>39.299999999999997</v>
      </c>
      <c r="D464" s="36"/>
      <c r="E464" s="20">
        <v>44181</v>
      </c>
      <c r="F464" s="19">
        <v>0.25</v>
      </c>
      <c r="H464" s="34">
        <v>39.299999999999997</v>
      </c>
      <c r="I464" s="106">
        <f>AVERAGE(H461:H464)</f>
        <v>37.700000000000003</v>
      </c>
      <c r="L464" s="20">
        <v>44181</v>
      </c>
      <c r="M464" s="19">
        <v>0.25</v>
      </c>
      <c r="N464" s="106">
        <v>37.700000000000003</v>
      </c>
      <c r="S464" s="36"/>
      <c r="T464" s="36"/>
    </row>
    <row r="465" spans="1:20" s="38" customFormat="1" ht="15.75" hidden="1" x14ac:dyDescent="0.3">
      <c r="A465" s="36" t="str">
        <f xml:space="preserve"> IF( 'From SvanPC++'!A455= "", "", ('From SvanPC++'!A455))</f>
        <v/>
      </c>
      <c r="B465" s="35" t="s">
        <v>594</v>
      </c>
      <c r="C465" s="34">
        <v>39.700000000000003</v>
      </c>
      <c r="D465" s="36"/>
      <c r="E465" s="20">
        <v>44181</v>
      </c>
      <c r="F465" s="19">
        <v>0.26041666666666669</v>
      </c>
      <c r="H465" s="34">
        <v>39.700000000000003</v>
      </c>
      <c r="I465" s="19"/>
      <c r="L465" s="20">
        <v>44181</v>
      </c>
      <c r="M465" s="19">
        <v>0.26041666666666669</v>
      </c>
      <c r="N465" s="19"/>
      <c r="S465" s="36"/>
      <c r="T465" s="36"/>
    </row>
    <row r="466" spans="1:20" s="38" customFormat="1" ht="15.75" hidden="1" x14ac:dyDescent="0.3">
      <c r="A466" s="36" t="str">
        <f xml:space="preserve"> IF( 'From SvanPC++'!A456= "", "", ('From SvanPC++'!A456))</f>
        <v/>
      </c>
      <c r="B466" s="35" t="s">
        <v>595</v>
      </c>
      <c r="C466" s="34">
        <v>40.299999999999997</v>
      </c>
      <c r="D466" s="36"/>
      <c r="E466" s="20">
        <v>44181</v>
      </c>
      <c r="F466" s="19">
        <v>0.27083333333333331</v>
      </c>
      <c r="H466" s="34">
        <v>40.299999999999997</v>
      </c>
      <c r="I466" s="19"/>
      <c r="L466" s="20">
        <v>44181</v>
      </c>
      <c r="M466" s="19">
        <v>0.27083333333333331</v>
      </c>
      <c r="N466" s="19"/>
      <c r="S466" s="36"/>
      <c r="T466" s="36"/>
    </row>
    <row r="467" spans="1:20" s="38" customFormat="1" ht="15.75" hidden="1" x14ac:dyDescent="0.3">
      <c r="A467" s="36" t="str">
        <f xml:space="preserve"> IF( 'From SvanPC++'!A457= "", "", ('From SvanPC++'!A457))</f>
        <v/>
      </c>
      <c r="B467" s="35" t="s">
        <v>596</v>
      </c>
      <c r="C467" s="34">
        <v>42.3</v>
      </c>
      <c r="D467" s="36"/>
      <c r="E467" s="20">
        <v>44181</v>
      </c>
      <c r="F467" s="19">
        <v>0.28125</v>
      </c>
      <c r="H467" s="34">
        <v>42.3</v>
      </c>
      <c r="I467" s="19"/>
      <c r="L467" s="20">
        <v>44181</v>
      </c>
      <c r="M467" s="19">
        <v>0.28125</v>
      </c>
      <c r="N467" s="19"/>
      <c r="S467" s="36"/>
      <c r="T467" s="36"/>
    </row>
    <row r="468" spans="1:20" s="38" customFormat="1" ht="15.75" x14ac:dyDescent="0.3">
      <c r="A468" s="36" t="str">
        <f xml:space="preserve"> IF( 'From SvanPC++'!A458= "", "", ('From SvanPC++'!A458))</f>
        <v/>
      </c>
      <c r="B468" s="35" t="s">
        <v>597</v>
      </c>
      <c r="C468" s="34">
        <v>42.6</v>
      </c>
      <c r="D468" s="36"/>
      <c r="E468" s="20">
        <v>44181</v>
      </c>
      <c r="F468" s="19">
        <v>0.29166666666666669</v>
      </c>
      <c r="H468" s="34">
        <v>42.6</v>
      </c>
      <c r="I468" s="106">
        <f>AVERAGE(H465:H468)</f>
        <v>41.225000000000001</v>
      </c>
      <c r="L468" s="20">
        <v>44181</v>
      </c>
      <c r="M468" s="19">
        <v>0.29166666666666669</v>
      </c>
      <c r="N468" s="106">
        <v>41.225000000000001</v>
      </c>
      <c r="S468" s="36"/>
      <c r="T468" s="36"/>
    </row>
    <row r="469" spans="1:20" s="38" customFormat="1" ht="15.75" hidden="1" x14ac:dyDescent="0.3">
      <c r="A469" s="36" t="str">
        <f xml:space="preserve"> IF( 'From SvanPC++'!A459= "", "", ('From SvanPC++'!A459))</f>
        <v/>
      </c>
      <c r="B469" s="35" t="s">
        <v>598</v>
      </c>
      <c r="C469" s="34">
        <v>41.3</v>
      </c>
      <c r="D469" s="36"/>
      <c r="E469" s="20">
        <v>44181</v>
      </c>
      <c r="F469" s="19">
        <v>0.30208333333333331</v>
      </c>
      <c r="H469" s="34">
        <v>41.3</v>
      </c>
      <c r="I469" s="19"/>
      <c r="L469" s="20">
        <v>44181</v>
      </c>
      <c r="M469" s="19">
        <v>0.30208333333333331</v>
      </c>
      <c r="N469" s="19"/>
      <c r="S469" s="36"/>
      <c r="T469" s="36"/>
    </row>
    <row r="470" spans="1:20" s="38" customFormat="1" ht="15.75" hidden="1" x14ac:dyDescent="0.3">
      <c r="A470" s="36" t="str">
        <f xml:space="preserve"> IF( 'From SvanPC++'!A460= "", "", ('From SvanPC++'!A460))</f>
        <v/>
      </c>
      <c r="B470" s="35" t="s">
        <v>599</v>
      </c>
      <c r="C470" s="34">
        <v>41.9</v>
      </c>
      <c r="D470" s="36"/>
      <c r="E470" s="20">
        <v>44181</v>
      </c>
      <c r="F470" s="19">
        <v>0.3125</v>
      </c>
      <c r="H470" s="34">
        <v>41.9</v>
      </c>
      <c r="I470" s="19"/>
      <c r="L470" s="20">
        <v>44181</v>
      </c>
      <c r="M470" s="19">
        <v>0.3125</v>
      </c>
      <c r="N470" s="19"/>
      <c r="S470" s="36"/>
      <c r="T470" s="36"/>
    </row>
    <row r="471" spans="1:20" s="38" customFormat="1" ht="15.75" hidden="1" x14ac:dyDescent="0.3">
      <c r="A471" s="36" t="str">
        <f xml:space="preserve"> IF( 'From SvanPC++'!A461= "", "", ('From SvanPC++'!A461))</f>
        <v/>
      </c>
      <c r="B471" s="35" t="s">
        <v>600</v>
      </c>
      <c r="C471" s="34">
        <v>42.6</v>
      </c>
      <c r="D471" s="36"/>
      <c r="E471" s="20">
        <v>44181</v>
      </c>
      <c r="F471" s="19">
        <v>0.32291666666666669</v>
      </c>
      <c r="H471" s="34">
        <v>42.6</v>
      </c>
      <c r="I471" s="19"/>
      <c r="L471" s="20">
        <v>44181</v>
      </c>
      <c r="M471" s="19">
        <v>0.32291666666666669</v>
      </c>
      <c r="N471" s="19"/>
      <c r="S471" s="36"/>
      <c r="T471" s="36"/>
    </row>
    <row r="472" spans="1:20" s="38" customFormat="1" ht="15.75" x14ac:dyDescent="0.3">
      <c r="A472" s="36" t="str">
        <f xml:space="preserve"> IF( 'From SvanPC++'!A462= "", "", ('From SvanPC++'!A462))</f>
        <v/>
      </c>
      <c r="B472" s="35" t="s">
        <v>601</v>
      </c>
      <c r="C472" s="34">
        <v>42.4</v>
      </c>
      <c r="D472" s="36"/>
      <c r="E472" s="20">
        <v>44181</v>
      </c>
      <c r="F472" s="19">
        <v>0.33333333333333331</v>
      </c>
      <c r="H472" s="34">
        <v>42.4</v>
      </c>
      <c r="I472" s="106">
        <f>AVERAGE(H469:H472)</f>
        <v>42.05</v>
      </c>
      <c r="L472" s="20">
        <v>44181</v>
      </c>
      <c r="M472" s="19">
        <v>0.33333333333333331</v>
      </c>
      <c r="N472" s="106">
        <v>42.05</v>
      </c>
      <c r="S472" s="36"/>
      <c r="T472" s="36"/>
    </row>
    <row r="473" spans="1:20" s="38" customFormat="1" ht="15.75" hidden="1" x14ac:dyDescent="0.3">
      <c r="A473" s="36" t="str">
        <f xml:space="preserve"> IF( 'From SvanPC++'!A463= "", "", ('From SvanPC++'!A463))</f>
        <v/>
      </c>
      <c r="B473" s="35" t="s">
        <v>602</v>
      </c>
      <c r="C473" s="34">
        <v>42.2</v>
      </c>
      <c r="D473" s="36"/>
      <c r="E473" s="20">
        <v>44181</v>
      </c>
      <c r="F473" s="19">
        <v>0.34375</v>
      </c>
      <c r="H473" s="34">
        <v>42.2</v>
      </c>
      <c r="I473" s="19"/>
      <c r="L473" s="20">
        <v>44181</v>
      </c>
      <c r="M473" s="19">
        <v>0.34375</v>
      </c>
      <c r="N473" s="19"/>
      <c r="S473" s="36"/>
      <c r="T473" s="36"/>
    </row>
    <row r="474" spans="1:20" s="38" customFormat="1" ht="15.75" hidden="1" x14ac:dyDescent="0.3">
      <c r="A474" s="36" t="str">
        <f xml:space="preserve"> IF( 'From SvanPC++'!A464= "", "", ('From SvanPC++'!A464))</f>
        <v/>
      </c>
      <c r="B474" s="35" t="s">
        <v>603</v>
      </c>
      <c r="C474" s="34">
        <v>42.3</v>
      </c>
      <c r="D474" s="36"/>
      <c r="E474" s="20">
        <v>44181</v>
      </c>
      <c r="F474" s="19">
        <v>0.35416666666666669</v>
      </c>
      <c r="H474" s="34">
        <v>42.3</v>
      </c>
      <c r="I474" s="19"/>
      <c r="L474" s="20">
        <v>44181</v>
      </c>
      <c r="M474" s="19">
        <v>0.35416666666666669</v>
      </c>
      <c r="N474" s="19"/>
      <c r="S474" s="36"/>
      <c r="T474" s="36"/>
    </row>
    <row r="475" spans="1:20" s="38" customFormat="1" ht="15.75" hidden="1" x14ac:dyDescent="0.3">
      <c r="A475" s="36" t="str">
        <f xml:space="preserve"> IF( 'From SvanPC++'!A465= "", "", ('From SvanPC++'!A465))</f>
        <v/>
      </c>
      <c r="B475" s="35" t="s">
        <v>604</v>
      </c>
      <c r="C475" s="34">
        <v>42.5</v>
      </c>
      <c r="D475" s="36"/>
      <c r="E475" s="20">
        <v>44181</v>
      </c>
      <c r="F475" s="19">
        <v>0.36458333333333331</v>
      </c>
      <c r="H475" s="34">
        <v>42.5</v>
      </c>
      <c r="I475" s="19"/>
      <c r="L475" s="20">
        <v>44181</v>
      </c>
      <c r="M475" s="19">
        <v>0.36458333333333331</v>
      </c>
      <c r="N475" s="19"/>
      <c r="S475" s="36"/>
      <c r="T475" s="36"/>
    </row>
    <row r="476" spans="1:20" s="38" customFormat="1" ht="15.75" x14ac:dyDescent="0.3">
      <c r="A476" s="36" t="str">
        <f xml:space="preserve"> IF( 'From SvanPC++'!A466= "", "", ('From SvanPC++'!A466))</f>
        <v/>
      </c>
      <c r="B476" s="35" t="s">
        <v>605</v>
      </c>
      <c r="C476" s="34">
        <v>41.1</v>
      </c>
      <c r="D476" s="36"/>
      <c r="E476" s="20">
        <v>44181</v>
      </c>
      <c r="F476" s="19">
        <v>0.375</v>
      </c>
      <c r="H476" s="34">
        <v>41.1</v>
      </c>
      <c r="I476" s="106">
        <f>AVERAGE(H473:H476)</f>
        <v>42.024999999999999</v>
      </c>
      <c r="L476" s="20">
        <v>44181</v>
      </c>
      <c r="M476" s="19">
        <v>0.375</v>
      </c>
      <c r="N476" s="106">
        <v>42.024999999999999</v>
      </c>
      <c r="S476" s="36"/>
      <c r="T476" s="36"/>
    </row>
    <row r="477" spans="1:20" s="38" customFormat="1" ht="15.75" hidden="1" x14ac:dyDescent="0.3">
      <c r="A477" s="36" t="str">
        <f xml:space="preserve"> IF( 'From SvanPC++'!A467= "", "", ('From SvanPC++'!A467))</f>
        <v/>
      </c>
      <c r="B477" s="35" t="s">
        <v>606</v>
      </c>
      <c r="C477" s="34">
        <v>41</v>
      </c>
      <c r="D477" s="36"/>
      <c r="E477" s="20">
        <v>44181</v>
      </c>
      <c r="F477" s="19">
        <v>0.38541666666666669</v>
      </c>
      <c r="H477" s="34">
        <v>41</v>
      </c>
      <c r="I477" s="19"/>
      <c r="L477" s="20">
        <v>44181</v>
      </c>
      <c r="M477" s="19">
        <v>0.38541666666666669</v>
      </c>
      <c r="N477" s="19"/>
      <c r="S477" s="36"/>
      <c r="T477" s="36"/>
    </row>
    <row r="478" spans="1:20" s="38" customFormat="1" ht="15.75" hidden="1" x14ac:dyDescent="0.3">
      <c r="A478" s="36" t="str">
        <f xml:space="preserve"> IF( 'From SvanPC++'!A468= "", "", ('From SvanPC++'!A468))</f>
        <v/>
      </c>
      <c r="B478" s="35" t="s">
        <v>607</v>
      </c>
      <c r="C478" s="34">
        <v>40.200000000000003</v>
      </c>
      <c r="D478" s="36"/>
      <c r="E478" s="20">
        <v>44181</v>
      </c>
      <c r="F478" s="19">
        <v>0.39583333333333331</v>
      </c>
      <c r="H478" s="34">
        <v>40.200000000000003</v>
      </c>
      <c r="I478" s="19"/>
      <c r="L478" s="20">
        <v>44181</v>
      </c>
      <c r="M478" s="19">
        <v>0.39583333333333331</v>
      </c>
      <c r="N478" s="19"/>
      <c r="S478" s="36"/>
      <c r="T478" s="36"/>
    </row>
    <row r="479" spans="1:20" s="38" customFormat="1" ht="15.75" hidden="1" x14ac:dyDescent="0.3">
      <c r="A479" s="36" t="str">
        <f xml:space="preserve"> IF( 'From SvanPC++'!A469= "", "", ('From SvanPC++'!A469))</f>
        <v/>
      </c>
      <c r="B479" s="35" t="s">
        <v>608</v>
      </c>
      <c r="C479" s="34">
        <v>40</v>
      </c>
      <c r="D479" s="36"/>
      <c r="E479" s="20">
        <v>44181</v>
      </c>
      <c r="F479" s="19">
        <v>0.40625</v>
      </c>
      <c r="H479" s="34">
        <v>40</v>
      </c>
      <c r="I479" s="19"/>
      <c r="L479" s="20">
        <v>44181</v>
      </c>
      <c r="M479" s="19">
        <v>0.40625</v>
      </c>
      <c r="N479" s="19"/>
      <c r="S479" s="36"/>
      <c r="T479" s="36"/>
    </row>
    <row r="480" spans="1:20" s="38" customFormat="1" ht="15.75" x14ac:dyDescent="0.3">
      <c r="A480" s="36" t="str">
        <f xml:space="preserve"> IF( 'From SvanPC++'!A470= "", "", ('From SvanPC++'!A470))</f>
        <v/>
      </c>
      <c r="B480" s="35" t="s">
        <v>609</v>
      </c>
      <c r="C480" s="34">
        <v>39.799999999999997</v>
      </c>
      <c r="D480" s="36"/>
      <c r="E480" s="20">
        <v>44181</v>
      </c>
      <c r="F480" s="19">
        <v>0.41666666666666669</v>
      </c>
      <c r="H480" s="34">
        <v>39.799999999999997</v>
      </c>
      <c r="I480" s="106">
        <f>AVERAGE(H477:H480)</f>
        <v>40.25</v>
      </c>
      <c r="L480" s="20">
        <v>44181</v>
      </c>
      <c r="M480" s="19">
        <v>0.41666666666666669</v>
      </c>
      <c r="N480" s="106">
        <v>40.25</v>
      </c>
      <c r="S480" s="36"/>
      <c r="T480" s="36"/>
    </row>
    <row r="481" spans="1:20" s="38" customFormat="1" ht="15.75" hidden="1" x14ac:dyDescent="0.3">
      <c r="A481" s="36" t="str">
        <f xml:space="preserve"> IF( 'From SvanPC++'!A471= "", "", ('From SvanPC++'!A471))</f>
        <v/>
      </c>
      <c r="B481" s="35" t="s">
        <v>610</v>
      </c>
      <c r="C481" s="34">
        <v>40.4</v>
      </c>
      <c r="D481" s="36"/>
      <c r="E481" s="20">
        <v>44181</v>
      </c>
      <c r="F481" s="19">
        <v>0.42708333333333331</v>
      </c>
      <c r="H481" s="34">
        <v>40.4</v>
      </c>
      <c r="I481" s="19"/>
      <c r="L481" s="20">
        <v>44181</v>
      </c>
      <c r="M481" s="19">
        <v>0.42708333333333331</v>
      </c>
      <c r="N481" s="19"/>
      <c r="S481" s="36"/>
      <c r="T481" s="36"/>
    </row>
    <row r="482" spans="1:20" s="38" customFormat="1" ht="15.75" hidden="1" x14ac:dyDescent="0.3">
      <c r="A482" s="36" t="str">
        <f xml:space="preserve"> IF( 'From SvanPC++'!A472= "", "", ('From SvanPC++'!A472))</f>
        <v/>
      </c>
      <c r="B482" s="35" t="s">
        <v>611</v>
      </c>
      <c r="C482" s="34">
        <v>41.3</v>
      </c>
      <c r="D482" s="36"/>
      <c r="E482" s="20">
        <v>44181</v>
      </c>
      <c r="F482" s="19">
        <v>0.4375</v>
      </c>
      <c r="H482" s="34">
        <v>41.3</v>
      </c>
      <c r="I482" s="19"/>
      <c r="L482" s="20">
        <v>44181</v>
      </c>
      <c r="M482" s="19">
        <v>0.4375</v>
      </c>
      <c r="N482" s="19"/>
      <c r="S482" s="36"/>
      <c r="T482" s="36"/>
    </row>
    <row r="483" spans="1:20" s="38" customFormat="1" ht="15.75" hidden="1" x14ac:dyDescent="0.3">
      <c r="A483" s="36" t="str">
        <f xml:space="preserve"> IF( 'From SvanPC++'!A473= "", "", ('From SvanPC++'!A473))</f>
        <v/>
      </c>
      <c r="B483" s="35" t="s">
        <v>612</v>
      </c>
      <c r="C483" s="34">
        <v>41.6</v>
      </c>
      <c r="D483" s="36"/>
      <c r="E483" s="20">
        <v>44181</v>
      </c>
      <c r="F483" s="19">
        <v>0.44791666666666669</v>
      </c>
      <c r="H483" s="34">
        <v>41.6</v>
      </c>
      <c r="I483" s="19"/>
      <c r="L483" s="20">
        <v>44181</v>
      </c>
      <c r="M483" s="19">
        <v>0.44791666666666669</v>
      </c>
      <c r="N483" s="19"/>
      <c r="S483" s="36"/>
      <c r="T483" s="36"/>
    </row>
    <row r="484" spans="1:20" s="38" customFormat="1" ht="15.75" x14ac:dyDescent="0.3">
      <c r="A484" s="36" t="str">
        <f xml:space="preserve"> IF( 'From SvanPC++'!A474= "", "", ('From SvanPC++'!A474))</f>
        <v/>
      </c>
      <c r="B484" s="35" t="s">
        <v>613</v>
      </c>
      <c r="C484" s="34">
        <v>40.799999999999997</v>
      </c>
      <c r="D484" s="36"/>
      <c r="E484" s="20">
        <v>44181</v>
      </c>
      <c r="F484" s="19">
        <v>0.45833333333333331</v>
      </c>
      <c r="H484" s="34">
        <v>40.799999999999997</v>
      </c>
      <c r="I484" s="106">
        <f>AVERAGE(H481:H484)</f>
        <v>41.024999999999991</v>
      </c>
      <c r="L484" s="20">
        <v>44181</v>
      </c>
      <c r="M484" s="19">
        <v>0.45833333333333331</v>
      </c>
      <c r="N484" s="106">
        <v>41.024999999999991</v>
      </c>
      <c r="S484" s="36"/>
      <c r="T484" s="36"/>
    </row>
    <row r="485" spans="1:20" s="38" customFormat="1" ht="15.75" hidden="1" x14ac:dyDescent="0.3">
      <c r="A485" s="36" t="str">
        <f xml:space="preserve"> IF( 'From SvanPC++'!A475= "", "", ('From SvanPC++'!A475))</f>
        <v/>
      </c>
      <c r="B485" s="35" t="s">
        <v>614</v>
      </c>
      <c r="C485" s="34">
        <v>43.1</v>
      </c>
      <c r="D485" s="36"/>
      <c r="E485" s="20">
        <v>44181</v>
      </c>
      <c r="F485" s="19">
        <v>0.46875</v>
      </c>
      <c r="H485" s="34">
        <v>43.1</v>
      </c>
      <c r="I485" s="19"/>
      <c r="L485" s="20">
        <v>44181</v>
      </c>
      <c r="M485" s="19">
        <v>0.46875</v>
      </c>
      <c r="N485" s="19"/>
      <c r="S485" s="36"/>
      <c r="T485" s="36"/>
    </row>
    <row r="486" spans="1:20" s="38" customFormat="1" ht="15.75" hidden="1" x14ac:dyDescent="0.3">
      <c r="A486" s="36" t="str">
        <f xml:space="preserve"> IF( 'From SvanPC++'!A476= "", "", ('From SvanPC++'!A476))</f>
        <v/>
      </c>
      <c r="B486" s="35" t="s">
        <v>615</v>
      </c>
      <c r="C486" s="34">
        <v>45.6</v>
      </c>
      <c r="D486" s="36"/>
      <c r="E486" s="20">
        <v>44181</v>
      </c>
      <c r="F486" s="19">
        <v>0.47916666666666669</v>
      </c>
      <c r="H486" s="34">
        <v>45.6</v>
      </c>
      <c r="I486" s="19"/>
      <c r="L486" s="20">
        <v>44181</v>
      </c>
      <c r="M486" s="19">
        <v>0.47916666666666669</v>
      </c>
      <c r="N486" s="19"/>
      <c r="S486" s="36"/>
      <c r="T486" s="36"/>
    </row>
    <row r="487" spans="1:20" s="38" customFormat="1" ht="15.75" hidden="1" x14ac:dyDescent="0.3">
      <c r="A487" s="36" t="str">
        <f xml:space="preserve"> IF( 'From SvanPC++'!A477= "", "", ('From SvanPC++'!A477))</f>
        <v/>
      </c>
      <c r="B487" s="35" t="s">
        <v>616</v>
      </c>
      <c r="C487" s="34">
        <v>42.9</v>
      </c>
      <c r="D487" s="36"/>
      <c r="E487" s="20">
        <v>44181</v>
      </c>
      <c r="F487" s="19">
        <v>0.48958333333333331</v>
      </c>
      <c r="H487" s="34">
        <v>42.9</v>
      </c>
      <c r="I487" s="19"/>
      <c r="L487" s="20">
        <v>44181</v>
      </c>
      <c r="M487" s="19">
        <v>0.48958333333333331</v>
      </c>
      <c r="N487" s="19"/>
      <c r="S487" s="36"/>
      <c r="T487" s="36"/>
    </row>
    <row r="488" spans="1:20" s="38" customFormat="1" ht="15.75" x14ac:dyDescent="0.3">
      <c r="A488" s="36" t="str">
        <f xml:space="preserve"> IF( 'From SvanPC++'!A478= "", "", ('From SvanPC++'!A478))</f>
        <v/>
      </c>
      <c r="B488" s="35" t="s">
        <v>617</v>
      </c>
      <c r="C488" s="34">
        <v>42.2</v>
      </c>
      <c r="D488" s="36"/>
      <c r="E488" s="20">
        <v>44181</v>
      </c>
      <c r="F488" s="19">
        <v>0.5</v>
      </c>
      <c r="H488" s="34">
        <v>42.2</v>
      </c>
      <c r="I488" s="106">
        <f>AVERAGE(H485:H488)</f>
        <v>43.45</v>
      </c>
      <c r="L488" s="20">
        <v>44181</v>
      </c>
      <c r="M488" s="19">
        <v>0.5</v>
      </c>
      <c r="N488" s="106">
        <v>43.45</v>
      </c>
      <c r="S488" s="36"/>
      <c r="T488" s="36"/>
    </row>
    <row r="489" spans="1:20" s="38" customFormat="1" ht="15.75" hidden="1" x14ac:dyDescent="0.3">
      <c r="A489" s="36" t="str">
        <f xml:space="preserve"> IF( 'From SvanPC++'!A479= "", "", ('From SvanPC++'!A479))</f>
        <v/>
      </c>
      <c r="B489" s="35" t="s">
        <v>618</v>
      </c>
      <c r="C489" s="34">
        <v>43.3</v>
      </c>
      <c r="D489" s="36"/>
      <c r="E489" s="20">
        <v>44181</v>
      </c>
      <c r="F489" s="19">
        <v>0.51041666666666663</v>
      </c>
      <c r="H489" s="34">
        <v>43.3</v>
      </c>
      <c r="I489" s="19"/>
      <c r="L489" s="20">
        <v>44181</v>
      </c>
      <c r="M489" s="19">
        <v>0.51041666666666663</v>
      </c>
      <c r="N489" s="19"/>
      <c r="S489" s="36"/>
      <c r="T489" s="36"/>
    </row>
    <row r="490" spans="1:20" s="38" customFormat="1" ht="15.75" hidden="1" x14ac:dyDescent="0.3">
      <c r="A490" s="36" t="str">
        <f xml:space="preserve"> IF( 'From SvanPC++'!A480= "", "", ('From SvanPC++'!A480))</f>
        <v/>
      </c>
      <c r="B490" s="35" t="s">
        <v>619</v>
      </c>
      <c r="C490" s="34">
        <v>42.6</v>
      </c>
      <c r="D490" s="36"/>
      <c r="E490" s="20">
        <v>44181</v>
      </c>
      <c r="F490" s="19">
        <v>0.52083333333333337</v>
      </c>
      <c r="H490" s="34">
        <v>42.6</v>
      </c>
      <c r="I490" s="19"/>
      <c r="L490" s="20">
        <v>44181</v>
      </c>
      <c r="M490" s="19">
        <v>0.52083333333333337</v>
      </c>
      <c r="N490" s="19"/>
      <c r="S490" s="36"/>
      <c r="T490" s="36"/>
    </row>
    <row r="491" spans="1:20" s="38" customFormat="1" ht="15.75" hidden="1" x14ac:dyDescent="0.3">
      <c r="A491" s="36" t="str">
        <f xml:space="preserve"> IF( 'From SvanPC++'!A481= "", "", ('From SvanPC++'!A481))</f>
        <v/>
      </c>
      <c r="B491" s="35" t="s">
        <v>620</v>
      </c>
      <c r="C491" s="34">
        <v>42.8</v>
      </c>
      <c r="D491" s="36"/>
      <c r="E491" s="20">
        <v>44181</v>
      </c>
      <c r="F491" s="19">
        <v>0.53125</v>
      </c>
      <c r="H491" s="34">
        <v>42.8</v>
      </c>
      <c r="I491" s="19"/>
      <c r="L491" s="20">
        <v>44181</v>
      </c>
      <c r="M491" s="19">
        <v>0.53125</v>
      </c>
      <c r="N491" s="19"/>
      <c r="S491" s="36"/>
      <c r="T491" s="36"/>
    </row>
    <row r="492" spans="1:20" s="38" customFormat="1" ht="15.75" x14ac:dyDescent="0.3">
      <c r="A492" s="36" t="str">
        <f xml:space="preserve"> IF( 'From SvanPC++'!A482= "", "", ('From SvanPC++'!A482))</f>
        <v/>
      </c>
      <c r="B492" s="35" t="s">
        <v>621</v>
      </c>
      <c r="C492" s="34">
        <v>41.3</v>
      </c>
      <c r="D492" s="36"/>
      <c r="E492" s="20">
        <v>44181</v>
      </c>
      <c r="F492" s="19">
        <v>0.54166666666666663</v>
      </c>
      <c r="H492" s="34">
        <v>41.3</v>
      </c>
      <c r="I492" s="106">
        <f>AVERAGE(H489:H492)</f>
        <v>42.5</v>
      </c>
      <c r="L492" s="20">
        <v>44181</v>
      </c>
      <c r="M492" s="19">
        <v>0.54166666666666663</v>
      </c>
      <c r="N492" s="106">
        <v>42.5</v>
      </c>
      <c r="S492" s="36"/>
      <c r="T492" s="36"/>
    </row>
    <row r="493" spans="1:20" s="38" customFormat="1" ht="15.75" hidden="1" x14ac:dyDescent="0.3">
      <c r="A493" s="36" t="str">
        <f xml:space="preserve"> IF( 'From SvanPC++'!A483= "", "", ('From SvanPC++'!A483))</f>
        <v/>
      </c>
      <c r="B493" s="35" t="s">
        <v>622</v>
      </c>
      <c r="C493" s="34">
        <v>41.3</v>
      </c>
      <c r="D493" s="36"/>
      <c r="E493" s="20">
        <v>44181</v>
      </c>
      <c r="F493" s="19">
        <v>0.55208333333333337</v>
      </c>
      <c r="H493" s="34">
        <v>41.3</v>
      </c>
      <c r="I493" s="19"/>
      <c r="L493" s="20">
        <v>44181</v>
      </c>
      <c r="M493" s="19">
        <v>0.55208333333333337</v>
      </c>
      <c r="N493" s="19"/>
      <c r="S493" s="36"/>
      <c r="T493" s="36"/>
    </row>
    <row r="494" spans="1:20" s="38" customFormat="1" ht="15.75" hidden="1" x14ac:dyDescent="0.3">
      <c r="A494" s="36" t="str">
        <f xml:space="preserve"> IF( 'From SvanPC++'!A484= "", "", ('From SvanPC++'!A484))</f>
        <v/>
      </c>
      <c r="B494" s="35" t="s">
        <v>623</v>
      </c>
      <c r="C494" s="34">
        <v>41.9</v>
      </c>
      <c r="D494" s="36"/>
      <c r="E494" s="20">
        <v>44181</v>
      </c>
      <c r="F494" s="19">
        <v>0.5625</v>
      </c>
      <c r="H494" s="34">
        <v>41.9</v>
      </c>
      <c r="I494" s="19"/>
      <c r="L494" s="20">
        <v>44181</v>
      </c>
      <c r="M494" s="19">
        <v>0.5625</v>
      </c>
      <c r="N494" s="19"/>
      <c r="S494" s="36"/>
      <c r="T494" s="36"/>
    </row>
    <row r="495" spans="1:20" s="38" customFormat="1" ht="15.75" hidden="1" x14ac:dyDescent="0.3">
      <c r="A495" s="36" t="str">
        <f xml:space="preserve"> IF( 'From SvanPC++'!A485= "", "", ('From SvanPC++'!A485))</f>
        <v/>
      </c>
      <c r="B495" s="35" t="s">
        <v>624</v>
      </c>
      <c r="C495" s="34">
        <v>42.7</v>
      </c>
      <c r="D495" s="36"/>
      <c r="E495" s="20">
        <v>44181</v>
      </c>
      <c r="F495" s="19">
        <v>0.57291666666666663</v>
      </c>
      <c r="H495" s="34">
        <v>42.7</v>
      </c>
      <c r="I495" s="19"/>
      <c r="L495" s="20">
        <v>44181</v>
      </c>
      <c r="M495" s="19">
        <v>0.57291666666666663</v>
      </c>
      <c r="N495" s="19"/>
      <c r="S495" s="36"/>
      <c r="T495" s="36"/>
    </row>
    <row r="496" spans="1:20" s="38" customFormat="1" ht="15.75" x14ac:dyDescent="0.3">
      <c r="A496" s="36" t="str">
        <f xml:space="preserve"> IF( 'From SvanPC++'!A486= "", "", ('From SvanPC++'!A486))</f>
        <v/>
      </c>
      <c r="B496" s="35" t="s">
        <v>625</v>
      </c>
      <c r="C496" s="34">
        <v>43.3</v>
      </c>
      <c r="D496" s="36"/>
      <c r="E496" s="20">
        <v>44181</v>
      </c>
      <c r="F496" s="19">
        <v>0.58333333333333337</v>
      </c>
      <c r="H496" s="34">
        <v>43.3</v>
      </c>
      <c r="I496" s="106">
        <f>AVERAGE(H493:H496)</f>
        <v>42.3</v>
      </c>
      <c r="L496" s="20">
        <v>44181</v>
      </c>
      <c r="M496" s="19">
        <v>0.58333333333333337</v>
      </c>
      <c r="N496" s="106">
        <v>42.3</v>
      </c>
      <c r="S496" s="36"/>
      <c r="T496" s="36"/>
    </row>
    <row r="497" spans="1:20" s="38" customFormat="1" ht="15.75" hidden="1" x14ac:dyDescent="0.3">
      <c r="A497" s="36" t="str">
        <f xml:space="preserve"> IF( 'From SvanPC++'!A487= "", "", ('From SvanPC++'!A487))</f>
        <v/>
      </c>
      <c r="B497" s="35" t="s">
        <v>626</v>
      </c>
      <c r="C497" s="34">
        <v>43.1</v>
      </c>
      <c r="D497" s="36"/>
      <c r="E497" s="20">
        <v>44181</v>
      </c>
      <c r="F497" s="19">
        <v>0.59375</v>
      </c>
      <c r="H497" s="34">
        <v>43.1</v>
      </c>
      <c r="I497" s="19"/>
      <c r="L497" s="20">
        <v>44181</v>
      </c>
      <c r="M497" s="19">
        <v>0.59375</v>
      </c>
      <c r="N497" s="19"/>
      <c r="S497" s="36"/>
      <c r="T497" s="36"/>
    </row>
    <row r="498" spans="1:20" s="38" customFormat="1" ht="15.75" hidden="1" x14ac:dyDescent="0.3">
      <c r="A498" s="36" t="str">
        <f xml:space="preserve"> IF( 'From SvanPC++'!A488= "", "", ('From SvanPC++'!A488))</f>
        <v/>
      </c>
      <c r="B498" s="35" t="s">
        <v>627</v>
      </c>
      <c r="C498" s="34">
        <v>44.5</v>
      </c>
      <c r="D498" s="36"/>
      <c r="E498" s="20">
        <v>44181</v>
      </c>
      <c r="F498" s="19">
        <v>0.60416666666666663</v>
      </c>
      <c r="H498" s="34">
        <v>44.5</v>
      </c>
      <c r="I498" s="19"/>
      <c r="L498" s="20">
        <v>44181</v>
      </c>
      <c r="M498" s="19">
        <v>0.60416666666666663</v>
      </c>
      <c r="N498" s="19"/>
      <c r="S498" s="36"/>
      <c r="T498" s="36"/>
    </row>
    <row r="499" spans="1:20" s="38" customFormat="1" ht="15.75" hidden="1" x14ac:dyDescent="0.3">
      <c r="A499" s="36" t="str">
        <f xml:space="preserve"> IF( 'From SvanPC++'!A489= "", "", ('From SvanPC++'!A489))</f>
        <v/>
      </c>
      <c r="B499" s="35" t="s">
        <v>628</v>
      </c>
      <c r="C499" s="34">
        <v>45.2</v>
      </c>
      <c r="D499" s="36"/>
      <c r="E499" s="20">
        <v>44181</v>
      </c>
      <c r="F499" s="19">
        <v>0.61458333333333337</v>
      </c>
      <c r="H499" s="34">
        <v>45.2</v>
      </c>
      <c r="I499" s="19"/>
      <c r="L499" s="20">
        <v>44181</v>
      </c>
      <c r="M499" s="19">
        <v>0.61458333333333337</v>
      </c>
      <c r="N499" s="19"/>
      <c r="S499" s="36"/>
      <c r="T499" s="36"/>
    </row>
    <row r="500" spans="1:20" s="38" customFormat="1" ht="15.75" x14ac:dyDescent="0.3">
      <c r="A500" s="36" t="str">
        <f xml:space="preserve"> IF( 'From SvanPC++'!A490= "", "", ('From SvanPC++'!A490))</f>
        <v/>
      </c>
      <c r="B500" s="35" t="s">
        <v>629</v>
      </c>
      <c r="C500" s="34">
        <v>44.2</v>
      </c>
      <c r="D500" s="36"/>
      <c r="E500" s="20">
        <v>44181</v>
      </c>
      <c r="F500" s="19">
        <v>0.625</v>
      </c>
      <c r="H500" s="34">
        <v>44.2</v>
      </c>
      <c r="I500" s="106">
        <f>AVERAGE(H497:H500)</f>
        <v>44.25</v>
      </c>
      <c r="L500" s="20">
        <v>44181</v>
      </c>
      <c r="M500" s="19">
        <v>0.625</v>
      </c>
      <c r="N500" s="106">
        <v>44.25</v>
      </c>
      <c r="S500" s="36"/>
      <c r="T500" s="36"/>
    </row>
    <row r="501" spans="1:20" s="38" customFormat="1" ht="15.75" hidden="1" x14ac:dyDescent="0.3">
      <c r="A501" s="36" t="str">
        <f xml:space="preserve"> IF( 'From SvanPC++'!A491= "", "", ('From SvanPC++'!A491))</f>
        <v/>
      </c>
      <c r="B501" s="35" t="s">
        <v>630</v>
      </c>
      <c r="C501" s="34">
        <v>45.5</v>
      </c>
      <c r="D501" s="36"/>
      <c r="E501" s="20">
        <v>44181</v>
      </c>
      <c r="F501" s="19">
        <v>0.63541666666666663</v>
      </c>
      <c r="H501" s="34">
        <v>45.5</v>
      </c>
      <c r="I501" s="19"/>
      <c r="L501" s="20">
        <v>44181</v>
      </c>
      <c r="M501" s="19">
        <v>0.63541666666666663</v>
      </c>
      <c r="N501" s="19"/>
      <c r="S501" s="36"/>
      <c r="T501" s="36"/>
    </row>
    <row r="502" spans="1:20" s="38" customFormat="1" ht="15.75" hidden="1" x14ac:dyDescent="0.3">
      <c r="A502" s="36" t="str">
        <f xml:space="preserve"> IF( 'From SvanPC++'!A492= "", "", ('From SvanPC++'!A492))</f>
        <v/>
      </c>
      <c r="B502" s="35" t="s">
        <v>631</v>
      </c>
      <c r="C502" s="34">
        <v>46.4</v>
      </c>
      <c r="D502" s="36"/>
      <c r="E502" s="20">
        <v>44181</v>
      </c>
      <c r="F502" s="19">
        <v>0.64583333333333337</v>
      </c>
      <c r="H502" s="34">
        <v>46.4</v>
      </c>
      <c r="I502" s="19"/>
      <c r="L502" s="20">
        <v>44181</v>
      </c>
      <c r="M502" s="19">
        <v>0.64583333333333337</v>
      </c>
      <c r="N502" s="19"/>
      <c r="S502" s="36"/>
      <c r="T502" s="36"/>
    </row>
    <row r="503" spans="1:20" s="38" customFormat="1" ht="15.75" hidden="1" x14ac:dyDescent="0.3">
      <c r="A503" s="36" t="str">
        <f xml:space="preserve"> IF( 'From SvanPC++'!A493= "", "", ('From SvanPC++'!A493))</f>
        <v/>
      </c>
      <c r="B503" s="35" t="s">
        <v>632</v>
      </c>
      <c r="C503" s="34">
        <v>46.5</v>
      </c>
      <c r="D503" s="36"/>
      <c r="E503" s="20">
        <v>44181</v>
      </c>
      <c r="F503" s="19">
        <v>0.65625</v>
      </c>
      <c r="H503" s="34">
        <v>46.5</v>
      </c>
      <c r="I503" s="19"/>
      <c r="L503" s="20">
        <v>44181</v>
      </c>
      <c r="M503" s="19">
        <v>0.65625</v>
      </c>
      <c r="N503" s="19"/>
      <c r="S503" s="36"/>
      <c r="T503" s="36"/>
    </row>
    <row r="504" spans="1:20" s="38" customFormat="1" ht="15.75" x14ac:dyDescent="0.3">
      <c r="A504" s="36" t="str">
        <f xml:space="preserve"> IF( 'From SvanPC++'!A494= "", "", ('From SvanPC++'!A494))</f>
        <v/>
      </c>
      <c r="B504" s="35" t="s">
        <v>633</v>
      </c>
      <c r="C504" s="34">
        <v>46.2</v>
      </c>
      <c r="D504" s="36"/>
      <c r="E504" s="20">
        <v>44181</v>
      </c>
      <c r="F504" s="19">
        <v>0.66666666666666663</v>
      </c>
      <c r="H504" s="34">
        <v>46.2</v>
      </c>
      <c r="I504" s="106">
        <f>AVERAGE(H501:H504)</f>
        <v>46.150000000000006</v>
      </c>
      <c r="L504" s="20">
        <v>44181</v>
      </c>
      <c r="M504" s="19">
        <v>0.66666666666666663</v>
      </c>
      <c r="N504" s="106">
        <v>46.150000000000006</v>
      </c>
      <c r="S504" s="36"/>
      <c r="T504" s="36"/>
    </row>
    <row r="505" spans="1:20" s="38" customFormat="1" ht="15.75" hidden="1" x14ac:dyDescent="0.3">
      <c r="A505" s="36" t="str">
        <f xml:space="preserve"> IF( 'From SvanPC++'!A495= "", "", ('From SvanPC++'!A495))</f>
        <v/>
      </c>
      <c r="B505" s="35" t="s">
        <v>634</v>
      </c>
      <c r="C505" s="34">
        <v>47</v>
      </c>
      <c r="D505" s="36"/>
      <c r="E505" s="20">
        <v>44181</v>
      </c>
      <c r="F505" s="19">
        <v>0.67708333333333337</v>
      </c>
      <c r="H505" s="34">
        <v>47</v>
      </c>
      <c r="I505" s="19"/>
      <c r="L505" s="20">
        <v>44181</v>
      </c>
      <c r="M505" s="19">
        <v>0.67708333333333337</v>
      </c>
      <c r="N505" s="19"/>
      <c r="S505" s="36"/>
      <c r="T505" s="36"/>
    </row>
    <row r="506" spans="1:20" s="38" customFormat="1" ht="15.75" hidden="1" x14ac:dyDescent="0.3">
      <c r="A506" s="36" t="str">
        <f xml:space="preserve"> IF( 'From SvanPC++'!A496= "", "", ('From SvanPC++'!A496))</f>
        <v/>
      </c>
      <c r="B506" s="35" t="s">
        <v>635</v>
      </c>
      <c r="C506" s="34">
        <v>46.5</v>
      </c>
      <c r="D506" s="36"/>
      <c r="E506" s="20">
        <v>44181</v>
      </c>
      <c r="F506" s="19">
        <v>0.6875</v>
      </c>
      <c r="H506" s="34">
        <v>46.5</v>
      </c>
      <c r="I506" s="19"/>
      <c r="L506" s="20">
        <v>44181</v>
      </c>
      <c r="M506" s="19">
        <v>0.6875</v>
      </c>
      <c r="N506" s="19"/>
      <c r="S506" s="36"/>
      <c r="T506" s="36"/>
    </row>
    <row r="507" spans="1:20" s="38" customFormat="1" ht="15.75" hidden="1" x14ac:dyDescent="0.3">
      <c r="A507" s="36" t="str">
        <f xml:space="preserve"> IF( 'From SvanPC++'!A497= "", "", ('From SvanPC++'!A497))</f>
        <v/>
      </c>
      <c r="B507" s="35" t="s">
        <v>636</v>
      </c>
      <c r="C507" s="34">
        <v>46</v>
      </c>
      <c r="D507" s="36"/>
      <c r="E507" s="20">
        <v>44181</v>
      </c>
      <c r="F507" s="19">
        <v>0.69791666666666663</v>
      </c>
      <c r="H507" s="34">
        <v>46</v>
      </c>
      <c r="I507" s="19"/>
      <c r="L507" s="20">
        <v>44181</v>
      </c>
      <c r="M507" s="19">
        <v>0.69791666666666663</v>
      </c>
      <c r="N507" s="19"/>
      <c r="S507" s="36"/>
      <c r="T507" s="36"/>
    </row>
    <row r="508" spans="1:20" s="38" customFormat="1" ht="15.75" x14ac:dyDescent="0.3">
      <c r="A508" s="36" t="str">
        <f xml:space="preserve"> IF( 'From SvanPC++'!A498= "", "", ('From SvanPC++'!A498))</f>
        <v/>
      </c>
      <c r="B508" s="35" t="s">
        <v>637</v>
      </c>
      <c r="C508" s="34">
        <v>46.1</v>
      </c>
      <c r="D508" s="36"/>
      <c r="E508" s="20">
        <v>44181</v>
      </c>
      <c r="F508" s="19">
        <v>0.70833333333333337</v>
      </c>
      <c r="H508" s="34">
        <v>46.1</v>
      </c>
      <c r="I508" s="106">
        <f>AVERAGE(H505:H508)</f>
        <v>46.4</v>
      </c>
      <c r="L508" s="20">
        <v>44181</v>
      </c>
      <c r="M508" s="19">
        <v>0.70833333333333337</v>
      </c>
      <c r="N508" s="106">
        <v>46.4</v>
      </c>
      <c r="S508" s="36"/>
      <c r="T508" s="36"/>
    </row>
    <row r="509" spans="1:20" s="38" customFormat="1" ht="15.75" hidden="1" x14ac:dyDescent="0.3">
      <c r="A509" s="36" t="str">
        <f xml:space="preserve"> IF( 'From SvanPC++'!A499= "", "", ('From SvanPC++'!A499))</f>
        <v/>
      </c>
      <c r="B509" s="35" t="s">
        <v>638</v>
      </c>
      <c r="C509" s="34">
        <v>46.2</v>
      </c>
      <c r="D509" s="36"/>
      <c r="E509" s="20">
        <v>44181</v>
      </c>
      <c r="F509" s="19">
        <v>0.71875</v>
      </c>
      <c r="H509" s="34">
        <v>46.2</v>
      </c>
      <c r="I509" s="19"/>
      <c r="L509" s="20">
        <v>44181</v>
      </c>
      <c r="M509" s="19">
        <v>0.71875</v>
      </c>
      <c r="N509" s="19"/>
      <c r="S509" s="36"/>
      <c r="T509" s="36"/>
    </row>
    <row r="510" spans="1:20" s="38" customFormat="1" ht="15.75" hidden="1" x14ac:dyDescent="0.3">
      <c r="A510" s="36" t="str">
        <f xml:space="preserve"> IF( 'From SvanPC++'!A500= "", "", ('From SvanPC++'!A500))</f>
        <v/>
      </c>
      <c r="B510" s="35" t="s">
        <v>639</v>
      </c>
      <c r="C510" s="34">
        <v>46.9</v>
      </c>
      <c r="D510" s="36"/>
      <c r="E510" s="20">
        <v>44181</v>
      </c>
      <c r="F510" s="19">
        <v>0.72916666666666663</v>
      </c>
      <c r="H510" s="34">
        <v>46.9</v>
      </c>
      <c r="I510" s="19"/>
      <c r="L510" s="20">
        <v>44181</v>
      </c>
      <c r="M510" s="19">
        <v>0.72916666666666663</v>
      </c>
      <c r="N510" s="19"/>
      <c r="S510" s="36"/>
      <c r="T510" s="36"/>
    </row>
    <row r="511" spans="1:20" s="38" customFormat="1" ht="15.75" hidden="1" x14ac:dyDescent="0.3">
      <c r="A511" s="36" t="str">
        <f xml:space="preserve"> IF( 'From SvanPC++'!A501= "", "", ('From SvanPC++'!A501))</f>
        <v/>
      </c>
      <c r="B511" s="35" t="s">
        <v>640</v>
      </c>
      <c r="C511" s="34">
        <v>47.6</v>
      </c>
      <c r="D511" s="36"/>
      <c r="E511" s="20">
        <v>44181</v>
      </c>
      <c r="F511" s="19">
        <v>0.73958333333333337</v>
      </c>
      <c r="H511" s="34">
        <v>47.6</v>
      </c>
      <c r="I511" s="19"/>
      <c r="L511" s="20">
        <v>44181</v>
      </c>
      <c r="M511" s="19">
        <v>0.73958333333333337</v>
      </c>
      <c r="N511" s="19"/>
      <c r="S511" s="36"/>
      <c r="T511" s="36"/>
    </row>
    <row r="512" spans="1:20" s="38" customFormat="1" ht="15.75" x14ac:dyDescent="0.3">
      <c r="A512" s="36" t="str">
        <f xml:space="preserve"> IF( 'From SvanPC++'!A502= "", "", ('From SvanPC++'!A502))</f>
        <v/>
      </c>
      <c r="B512" s="35" t="s">
        <v>641</v>
      </c>
      <c r="C512" s="34">
        <v>46</v>
      </c>
      <c r="D512" s="36"/>
      <c r="E512" s="20">
        <v>44181</v>
      </c>
      <c r="F512" s="19">
        <v>0.75</v>
      </c>
      <c r="H512" s="34">
        <v>46</v>
      </c>
      <c r="I512" s="106">
        <f>AVERAGE(H509:H512)</f>
        <v>46.674999999999997</v>
      </c>
      <c r="L512" s="20">
        <v>44181</v>
      </c>
      <c r="M512" s="19">
        <v>0.75</v>
      </c>
      <c r="N512" s="106">
        <v>46.674999999999997</v>
      </c>
      <c r="S512" s="36"/>
      <c r="T512" s="36"/>
    </row>
    <row r="513" spans="1:20" s="38" customFormat="1" ht="15.75" hidden="1" x14ac:dyDescent="0.3">
      <c r="A513" s="36" t="str">
        <f xml:space="preserve"> IF( 'From SvanPC++'!A503= "", "", ('From SvanPC++'!A503))</f>
        <v/>
      </c>
      <c r="B513" s="35" t="s">
        <v>642</v>
      </c>
      <c r="C513" s="34">
        <v>45.9</v>
      </c>
      <c r="D513" s="36"/>
      <c r="E513" s="20">
        <v>44181</v>
      </c>
      <c r="F513" s="19">
        <v>0.76041666666666663</v>
      </c>
      <c r="H513" s="34">
        <v>45.9</v>
      </c>
      <c r="I513" s="19"/>
      <c r="L513" s="20">
        <v>44181</v>
      </c>
      <c r="M513" s="19">
        <v>0.76041666666666663</v>
      </c>
      <c r="N513" s="19"/>
      <c r="S513" s="36"/>
      <c r="T513" s="36"/>
    </row>
    <row r="514" spans="1:20" s="38" customFormat="1" ht="15.75" hidden="1" x14ac:dyDescent="0.3">
      <c r="A514" s="36" t="str">
        <f xml:space="preserve"> IF( 'From SvanPC++'!A504= "", "", ('From SvanPC++'!A504))</f>
        <v/>
      </c>
      <c r="B514" s="35" t="s">
        <v>643</v>
      </c>
      <c r="C514" s="34">
        <v>44.4</v>
      </c>
      <c r="D514" s="36"/>
      <c r="E514" s="20">
        <v>44181</v>
      </c>
      <c r="F514" s="19">
        <v>0.77083333333333337</v>
      </c>
      <c r="H514" s="34">
        <v>44.4</v>
      </c>
      <c r="I514" s="19"/>
      <c r="L514" s="20">
        <v>44181</v>
      </c>
      <c r="M514" s="19">
        <v>0.77083333333333337</v>
      </c>
      <c r="N514" s="19"/>
      <c r="S514" s="36"/>
      <c r="T514" s="36"/>
    </row>
    <row r="515" spans="1:20" s="38" customFormat="1" ht="15.75" hidden="1" x14ac:dyDescent="0.3">
      <c r="A515" s="36" t="str">
        <f xml:space="preserve"> IF( 'From SvanPC++'!A505= "", "", ('From SvanPC++'!A505))</f>
        <v/>
      </c>
      <c r="B515" s="35" t="s">
        <v>644</v>
      </c>
      <c r="C515" s="34">
        <v>43.4</v>
      </c>
      <c r="D515" s="36"/>
      <c r="E515" s="20">
        <v>44181</v>
      </c>
      <c r="F515" s="19">
        <v>0.78125</v>
      </c>
      <c r="H515" s="34">
        <v>43.4</v>
      </c>
      <c r="I515" s="19"/>
      <c r="L515" s="20">
        <v>44181</v>
      </c>
      <c r="M515" s="19">
        <v>0.78125</v>
      </c>
      <c r="N515" s="19"/>
      <c r="S515" s="36"/>
      <c r="T515" s="36"/>
    </row>
    <row r="516" spans="1:20" s="38" customFormat="1" ht="15.75" x14ac:dyDescent="0.3">
      <c r="A516" s="36" t="str">
        <f xml:space="preserve"> IF( 'From SvanPC++'!A506= "", "", ('From SvanPC++'!A506))</f>
        <v/>
      </c>
      <c r="B516" s="35" t="s">
        <v>645</v>
      </c>
      <c r="C516" s="34">
        <v>42.4</v>
      </c>
      <c r="D516" s="36"/>
      <c r="E516" s="20">
        <v>44181</v>
      </c>
      <c r="F516" s="19">
        <v>0.79166666666666663</v>
      </c>
      <c r="H516" s="34">
        <v>42.4</v>
      </c>
      <c r="I516" s="106">
        <f>AVERAGE(H513:H516)</f>
        <v>44.024999999999999</v>
      </c>
      <c r="L516" s="20">
        <v>44181</v>
      </c>
      <c r="M516" s="19">
        <v>0.79166666666666663</v>
      </c>
      <c r="N516" s="106">
        <v>44.024999999999999</v>
      </c>
      <c r="S516" s="36"/>
      <c r="T516" s="36"/>
    </row>
    <row r="517" spans="1:20" s="38" customFormat="1" ht="15.75" hidden="1" x14ac:dyDescent="0.3">
      <c r="A517" s="36" t="str">
        <f xml:space="preserve"> IF( 'From SvanPC++'!A507= "", "", ('From SvanPC++'!A507))</f>
        <v/>
      </c>
      <c r="B517" s="35" t="s">
        <v>646</v>
      </c>
      <c r="C517" s="34">
        <v>41.1</v>
      </c>
      <c r="D517" s="36"/>
      <c r="E517" s="20">
        <v>44181</v>
      </c>
      <c r="F517" s="19">
        <v>0.80208333333333337</v>
      </c>
      <c r="H517" s="34">
        <v>41.1</v>
      </c>
      <c r="I517" s="19"/>
      <c r="L517" s="20">
        <v>44181</v>
      </c>
      <c r="M517" s="19">
        <v>0.80208333333333337</v>
      </c>
      <c r="N517" s="19"/>
      <c r="S517" s="36"/>
      <c r="T517" s="36"/>
    </row>
    <row r="518" spans="1:20" s="38" customFormat="1" ht="15.75" hidden="1" x14ac:dyDescent="0.3">
      <c r="A518" s="36" t="str">
        <f xml:space="preserve"> IF( 'From SvanPC++'!A508= "", "", ('From SvanPC++'!A508))</f>
        <v/>
      </c>
      <c r="B518" s="35" t="s">
        <v>647</v>
      </c>
      <c r="C518" s="34">
        <v>40.299999999999997</v>
      </c>
      <c r="D518" s="36"/>
      <c r="E518" s="20">
        <v>44181</v>
      </c>
      <c r="F518" s="19">
        <v>0.8125</v>
      </c>
      <c r="H518" s="34">
        <v>40.299999999999997</v>
      </c>
      <c r="I518" s="19"/>
      <c r="L518" s="20">
        <v>44181</v>
      </c>
      <c r="M518" s="19">
        <v>0.8125</v>
      </c>
      <c r="N518" s="19"/>
      <c r="S518" s="36"/>
      <c r="T518" s="36"/>
    </row>
    <row r="519" spans="1:20" s="38" customFormat="1" ht="15.75" hidden="1" x14ac:dyDescent="0.3">
      <c r="A519" s="36" t="str">
        <f xml:space="preserve"> IF( 'From SvanPC++'!A509= "", "", ('From SvanPC++'!A509))</f>
        <v/>
      </c>
      <c r="B519" s="35" t="s">
        <v>648</v>
      </c>
      <c r="C519" s="34">
        <v>40.700000000000003</v>
      </c>
      <c r="D519" s="36"/>
      <c r="E519" s="20">
        <v>44181</v>
      </c>
      <c r="F519" s="19">
        <v>0.82291666666666663</v>
      </c>
      <c r="H519" s="34">
        <v>40.700000000000003</v>
      </c>
      <c r="I519" s="19"/>
      <c r="L519" s="20">
        <v>44181</v>
      </c>
      <c r="M519" s="19">
        <v>0.82291666666666663</v>
      </c>
      <c r="N519" s="19"/>
      <c r="S519" s="36"/>
      <c r="T519" s="36"/>
    </row>
    <row r="520" spans="1:20" s="38" customFormat="1" ht="15.75" x14ac:dyDescent="0.3">
      <c r="A520" s="36" t="str">
        <f xml:space="preserve"> IF( 'From SvanPC++'!A510= "", "", ('From SvanPC++'!A510))</f>
        <v/>
      </c>
      <c r="B520" s="35" t="s">
        <v>649</v>
      </c>
      <c r="C520" s="34">
        <v>42</v>
      </c>
      <c r="D520" s="36"/>
      <c r="E520" s="20">
        <v>44181</v>
      </c>
      <c r="F520" s="19">
        <v>0.83333333333333337</v>
      </c>
      <c r="H520" s="34">
        <v>42</v>
      </c>
      <c r="I520" s="106">
        <f>AVERAGE(H517:H520)</f>
        <v>41.025000000000006</v>
      </c>
      <c r="L520" s="20">
        <v>44181</v>
      </c>
      <c r="M520" s="19">
        <v>0.83333333333333337</v>
      </c>
      <c r="N520" s="106">
        <v>41.025000000000006</v>
      </c>
      <c r="S520" s="36"/>
      <c r="T520" s="36"/>
    </row>
    <row r="521" spans="1:20" s="38" customFormat="1" ht="15.75" hidden="1" x14ac:dyDescent="0.3">
      <c r="A521" s="36" t="str">
        <f xml:space="preserve"> IF( 'From SvanPC++'!A511= "", "", ('From SvanPC++'!A511))</f>
        <v/>
      </c>
      <c r="B521" s="35" t="s">
        <v>650</v>
      </c>
      <c r="C521" s="34">
        <v>39.799999999999997</v>
      </c>
      <c r="D521" s="36"/>
      <c r="E521" s="20">
        <v>44181</v>
      </c>
      <c r="F521" s="19">
        <v>0.84375</v>
      </c>
      <c r="H521" s="34">
        <v>39.799999999999997</v>
      </c>
      <c r="I521" s="19"/>
      <c r="L521" s="20">
        <v>44181</v>
      </c>
      <c r="M521" s="19">
        <v>0.84375</v>
      </c>
      <c r="N521" s="19"/>
      <c r="S521" s="36"/>
      <c r="T521" s="36"/>
    </row>
    <row r="522" spans="1:20" s="38" customFormat="1" ht="15.75" hidden="1" x14ac:dyDescent="0.3">
      <c r="A522" s="36" t="str">
        <f xml:space="preserve"> IF( 'From SvanPC++'!A512= "", "", ('From SvanPC++'!A512))</f>
        <v/>
      </c>
      <c r="B522" s="35" t="s">
        <v>651</v>
      </c>
      <c r="C522" s="34">
        <v>38.9</v>
      </c>
      <c r="D522" s="36"/>
      <c r="E522" s="20">
        <v>44181</v>
      </c>
      <c r="F522" s="19">
        <v>0.85416666666666663</v>
      </c>
      <c r="H522" s="34">
        <v>38.9</v>
      </c>
      <c r="I522" s="19"/>
      <c r="L522" s="20">
        <v>44181</v>
      </c>
      <c r="M522" s="19">
        <v>0.85416666666666663</v>
      </c>
      <c r="N522" s="19"/>
      <c r="S522" s="36"/>
      <c r="T522" s="36"/>
    </row>
    <row r="523" spans="1:20" s="38" customFormat="1" ht="15.75" hidden="1" x14ac:dyDescent="0.3">
      <c r="A523" s="36" t="str">
        <f xml:space="preserve"> IF( 'From SvanPC++'!A513= "", "", ('From SvanPC++'!A513))</f>
        <v/>
      </c>
      <c r="B523" s="35" t="s">
        <v>652</v>
      </c>
      <c r="C523" s="34">
        <v>38.299999999999997</v>
      </c>
      <c r="D523" s="36"/>
      <c r="E523" s="20">
        <v>44181</v>
      </c>
      <c r="F523" s="19">
        <v>0.86458333333333337</v>
      </c>
      <c r="H523" s="34">
        <v>38.299999999999997</v>
      </c>
      <c r="I523" s="19"/>
      <c r="L523" s="20">
        <v>44181</v>
      </c>
      <c r="M523" s="19">
        <v>0.86458333333333337</v>
      </c>
      <c r="N523" s="19"/>
      <c r="S523" s="36"/>
      <c r="T523" s="36"/>
    </row>
    <row r="524" spans="1:20" s="38" customFormat="1" ht="15.75" x14ac:dyDescent="0.3">
      <c r="A524" s="36" t="str">
        <f xml:space="preserve"> IF( 'From SvanPC++'!A514= "", "", ('From SvanPC++'!A514))</f>
        <v/>
      </c>
      <c r="B524" s="35" t="s">
        <v>653</v>
      </c>
      <c r="C524" s="34">
        <v>38.200000000000003</v>
      </c>
      <c r="D524" s="36"/>
      <c r="E524" s="20">
        <v>44181</v>
      </c>
      <c r="F524" s="19">
        <v>0.875</v>
      </c>
      <c r="H524" s="34">
        <v>38.200000000000003</v>
      </c>
      <c r="I524" s="106">
        <f>AVERAGE(H521:H524)</f>
        <v>38.799999999999997</v>
      </c>
      <c r="L524" s="20">
        <v>44181</v>
      </c>
      <c r="M524" s="19">
        <v>0.875</v>
      </c>
      <c r="N524" s="106">
        <v>38.799999999999997</v>
      </c>
      <c r="S524" s="36"/>
      <c r="T524" s="36"/>
    </row>
    <row r="525" spans="1:20" s="38" customFormat="1" ht="15.75" hidden="1" x14ac:dyDescent="0.3">
      <c r="A525" s="36" t="str">
        <f xml:space="preserve"> IF( 'From SvanPC++'!A515= "", "", ('From SvanPC++'!A515))</f>
        <v/>
      </c>
      <c r="B525" s="35" t="s">
        <v>654</v>
      </c>
      <c r="C525" s="34">
        <v>39.5</v>
      </c>
      <c r="D525" s="36"/>
      <c r="E525" s="20">
        <v>44181</v>
      </c>
      <c r="F525" s="19">
        <v>0.88541666666666663</v>
      </c>
      <c r="H525" s="34">
        <v>39.5</v>
      </c>
      <c r="I525" s="19"/>
      <c r="L525" s="20">
        <v>44181</v>
      </c>
      <c r="M525" s="19">
        <v>0.88541666666666663</v>
      </c>
      <c r="N525" s="19"/>
      <c r="S525" s="36"/>
      <c r="T525" s="36"/>
    </row>
    <row r="526" spans="1:20" s="38" customFormat="1" ht="15.75" hidden="1" x14ac:dyDescent="0.3">
      <c r="A526" s="36" t="str">
        <f xml:space="preserve"> IF( 'From SvanPC++'!A516= "", "", ('From SvanPC++'!A516))</f>
        <v/>
      </c>
      <c r="B526" s="35" t="s">
        <v>655</v>
      </c>
      <c r="C526" s="34">
        <v>38.4</v>
      </c>
      <c r="D526" s="36"/>
      <c r="E526" s="20">
        <v>44181</v>
      </c>
      <c r="F526" s="19">
        <v>0.89583333333333337</v>
      </c>
      <c r="H526" s="34">
        <v>38.4</v>
      </c>
      <c r="I526" s="19"/>
      <c r="L526" s="20">
        <v>44181</v>
      </c>
      <c r="M526" s="19">
        <v>0.89583333333333337</v>
      </c>
      <c r="N526" s="19"/>
      <c r="S526" s="36"/>
      <c r="T526" s="36"/>
    </row>
    <row r="527" spans="1:20" s="38" customFormat="1" ht="15.75" hidden="1" x14ac:dyDescent="0.3">
      <c r="A527" s="36" t="str">
        <f xml:space="preserve"> IF( 'From SvanPC++'!A517= "", "", ('From SvanPC++'!A517))</f>
        <v/>
      </c>
      <c r="B527" s="35" t="s">
        <v>656</v>
      </c>
      <c r="C527" s="34">
        <v>36.9</v>
      </c>
      <c r="D527" s="36"/>
      <c r="E527" s="20">
        <v>44181</v>
      </c>
      <c r="F527" s="19">
        <v>0.90625</v>
      </c>
      <c r="H527" s="34">
        <v>36.9</v>
      </c>
      <c r="I527" s="19"/>
      <c r="L527" s="20">
        <v>44181</v>
      </c>
      <c r="M527" s="19">
        <v>0.90625</v>
      </c>
      <c r="N527" s="19"/>
      <c r="S527" s="36"/>
      <c r="T527" s="36"/>
    </row>
    <row r="528" spans="1:20" s="38" customFormat="1" ht="15.75" x14ac:dyDescent="0.3">
      <c r="A528" s="36" t="str">
        <f xml:space="preserve"> IF( 'From SvanPC++'!A518= "", "", ('From SvanPC++'!A518))</f>
        <v/>
      </c>
      <c r="B528" s="35" t="s">
        <v>657</v>
      </c>
      <c r="C528" s="34">
        <v>37</v>
      </c>
      <c r="D528" s="36"/>
      <c r="E528" s="20">
        <v>44181</v>
      </c>
      <c r="F528" s="19">
        <v>0.91666666666666663</v>
      </c>
      <c r="H528" s="34">
        <v>37</v>
      </c>
      <c r="I528" s="106">
        <f>AVERAGE(H525:H528)</f>
        <v>37.950000000000003</v>
      </c>
      <c r="L528" s="20">
        <v>44181</v>
      </c>
      <c r="M528" s="19">
        <v>0.91666666666666663</v>
      </c>
      <c r="N528" s="106">
        <v>37.950000000000003</v>
      </c>
      <c r="S528" s="36"/>
      <c r="T528" s="36"/>
    </row>
    <row r="529" spans="1:20" s="38" customFormat="1" ht="15.75" hidden="1" x14ac:dyDescent="0.3">
      <c r="A529" s="36" t="str">
        <f xml:space="preserve"> IF( 'From SvanPC++'!A519= "", "", ('From SvanPC++'!A519))</f>
        <v/>
      </c>
      <c r="B529" s="35" t="s">
        <v>658</v>
      </c>
      <c r="C529" s="34">
        <v>37.299999999999997</v>
      </c>
      <c r="D529" s="36"/>
      <c r="E529" s="20">
        <v>44181</v>
      </c>
      <c r="F529" s="19">
        <v>0.92708333333333337</v>
      </c>
      <c r="H529" s="34">
        <v>37.299999999999997</v>
      </c>
      <c r="I529" s="19"/>
      <c r="L529" s="20">
        <v>44181</v>
      </c>
      <c r="M529" s="19">
        <v>0.92708333333333337</v>
      </c>
      <c r="N529" s="19"/>
      <c r="S529" s="36"/>
      <c r="T529" s="36"/>
    </row>
    <row r="530" spans="1:20" s="38" customFormat="1" ht="15.75" hidden="1" x14ac:dyDescent="0.3">
      <c r="A530" s="36" t="str">
        <f xml:space="preserve"> IF( 'From SvanPC++'!A520= "", "", ('From SvanPC++'!A520))</f>
        <v/>
      </c>
      <c r="B530" s="35" t="s">
        <v>659</v>
      </c>
      <c r="C530" s="34">
        <v>38.200000000000003</v>
      </c>
      <c r="D530" s="36"/>
      <c r="E530" s="20">
        <v>44181</v>
      </c>
      <c r="F530" s="19">
        <v>0.9375</v>
      </c>
      <c r="H530" s="34">
        <v>38.200000000000003</v>
      </c>
      <c r="I530" s="19"/>
      <c r="L530" s="20">
        <v>44181</v>
      </c>
      <c r="M530" s="19">
        <v>0.9375</v>
      </c>
      <c r="N530" s="19"/>
      <c r="S530" s="36"/>
      <c r="T530" s="36"/>
    </row>
    <row r="531" spans="1:20" s="38" customFormat="1" ht="15.75" hidden="1" x14ac:dyDescent="0.3">
      <c r="A531" s="36" t="str">
        <f xml:space="preserve"> IF( 'From SvanPC++'!A521= "", "", ('From SvanPC++'!A521))</f>
        <v/>
      </c>
      <c r="B531" s="35" t="s">
        <v>660</v>
      </c>
      <c r="C531" s="34">
        <v>36.9</v>
      </c>
      <c r="D531" s="36"/>
      <c r="E531" s="20">
        <v>44181</v>
      </c>
      <c r="F531" s="19">
        <v>0.94791666666666663</v>
      </c>
      <c r="H531" s="34">
        <v>36.9</v>
      </c>
      <c r="I531" s="19"/>
      <c r="L531" s="20">
        <v>44181</v>
      </c>
      <c r="M531" s="19">
        <v>0.94791666666666663</v>
      </c>
      <c r="N531" s="19"/>
      <c r="S531" s="36"/>
      <c r="T531" s="36"/>
    </row>
    <row r="532" spans="1:20" s="38" customFormat="1" ht="15.75" x14ac:dyDescent="0.3">
      <c r="A532" s="36" t="str">
        <f xml:space="preserve"> IF( 'From SvanPC++'!A522= "", "", ('From SvanPC++'!A522))</f>
        <v/>
      </c>
      <c r="B532" s="35" t="s">
        <v>661</v>
      </c>
      <c r="C532" s="34">
        <v>31.7</v>
      </c>
      <c r="D532" s="36"/>
      <c r="E532" s="20">
        <v>44181</v>
      </c>
      <c r="F532" s="19">
        <v>0.95833333333333337</v>
      </c>
      <c r="H532" s="34">
        <v>31.7</v>
      </c>
      <c r="I532" s="106">
        <f>AVERAGE(H529:H532)</f>
        <v>36.024999999999999</v>
      </c>
      <c r="L532" s="20">
        <v>44181</v>
      </c>
      <c r="M532" s="19">
        <v>0.95833333333333337</v>
      </c>
      <c r="N532" s="106">
        <v>36.024999999999999</v>
      </c>
      <c r="S532" s="36"/>
      <c r="T532" s="36"/>
    </row>
    <row r="533" spans="1:20" s="38" customFormat="1" ht="15.75" hidden="1" x14ac:dyDescent="0.3">
      <c r="A533" s="36" t="str">
        <f xml:space="preserve"> IF( 'From SvanPC++'!A523= "", "", ('From SvanPC++'!A523))</f>
        <v/>
      </c>
      <c r="B533" s="35" t="s">
        <v>662</v>
      </c>
      <c r="C533" s="34">
        <v>33.1</v>
      </c>
      <c r="D533" s="36"/>
      <c r="E533" s="20">
        <v>44181</v>
      </c>
      <c r="F533" s="19">
        <v>0.96875</v>
      </c>
      <c r="H533" s="34">
        <v>33.1</v>
      </c>
      <c r="I533" s="19"/>
      <c r="L533" s="20">
        <v>44181</v>
      </c>
      <c r="M533" s="19">
        <v>0.96875</v>
      </c>
      <c r="N533" s="19"/>
      <c r="S533" s="36"/>
      <c r="T533" s="36"/>
    </row>
    <row r="534" spans="1:20" s="38" customFormat="1" ht="15.75" hidden="1" x14ac:dyDescent="0.3">
      <c r="A534" s="36" t="str">
        <f xml:space="preserve"> IF( 'From SvanPC++'!A524= "", "", ('From SvanPC++'!A524))</f>
        <v/>
      </c>
      <c r="B534" s="35" t="s">
        <v>663</v>
      </c>
      <c r="C534" s="34">
        <v>33.700000000000003</v>
      </c>
      <c r="D534" s="36"/>
      <c r="E534" s="20">
        <v>44181</v>
      </c>
      <c r="F534" s="19">
        <v>0.97916666666666663</v>
      </c>
      <c r="H534" s="34">
        <v>33.700000000000003</v>
      </c>
      <c r="I534" s="19"/>
      <c r="L534" s="20">
        <v>44181</v>
      </c>
      <c r="M534" s="19">
        <v>0.97916666666666663</v>
      </c>
      <c r="N534" s="19"/>
      <c r="S534" s="36"/>
      <c r="T534" s="36"/>
    </row>
    <row r="535" spans="1:20" s="38" customFormat="1" ht="15.75" hidden="1" x14ac:dyDescent="0.3">
      <c r="A535" s="36" t="str">
        <f xml:space="preserve"> IF( 'From SvanPC++'!A525= "", "", ('From SvanPC++'!A525))</f>
        <v/>
      </c>
      <c r="B535" s="35" t="s">
        <v>664</v>
      </c>
      <c r="C535" s="34">
        <v>32.799999999999997</v>
      </c>
      <c r="D535" s="36"/>
      <c r="E535" s="20">
        <v>44181</v>
      </c>
      <c r="F535" s="19">
        <v>0.98958333333333337</v>
      </c>
      <c r="H535" s="34">
        <v>32.799999999999997</v>
      </c>
      <c r="I535" s="19"/>
      <c r="L535" s="20">
        <v>44181</v>
      </c>
      <c r="M535" s="19">
        <v>0.98958333333333337</v>
      </c>
      <c r="N535" s="19"/>
      <c r="S535" s="36"/>
      <c r="T535" s="36"/>
    </row>
    <row r="536" spans="1:20" s="38" customFormat="1" ht="15.75" x14ac:dyDescent="0.3">
      <c r="A536" s="36" t="str">
        <f xml:space="preserve"> IF( 'From SvanPC++'!A526= "", "", ('From SvanPC++'!A526))</f>
        <v/>
      </c>
      <c r="B536" s="35" t="s">
        <v>665</v>
      </c>
      <c r="C536" s="34">
        <v>32</v>
      </c>
      <c r="D536" s="36"/>
      <c r="E536" s="20">
        <v>44182</v>
      </c>
      <c r="F536" s="19">
        <v>0</v>
      </c>
      <c r="H536" s="34">
        <v>32</v>
      </c>
      <c r="I536" s="106">
        <f>AVERAGE(H533:H536)</f>
        <v>32.900000000000006</v>
      </c>
      <c r="L536" s="20">
        <v>44182</v>
      </c>
      <c r="M536" s="19">
        <v>0</v>
      </c>
      <c r="N536" s="106">
        <v>32.900000000000006</v>
      </c>
      <c r="S536" s="36"/>
      <c r="T536" s="36"/>
    </row>
    <row r="537" spans="1:20" s="38" customFormat="1" ht="15.75" hidden="1" x14ac:dyDescent="0.3">
      <c r="A537" s="36" t="str">
        <f xml:space="preserve"> IF( 'From SvanPC++'!A527= "", "", ('From SvanPC++'!A527))</f>
        <v/>
      </c>
      <c r="B537" s="35" t="s">
        <v>666</v>
      </c>
      <c r="C537" s="34">
        <v>31.6</v>
      </c>
      <c r="D537" s="36"/>
      <c r="E537" s="20">
        <v>44182</v>
      </c>
      <c r="F537" s="19">
        <v>1.0416666666666666E-2</v>
      </c>
      <c r="H537" s="34">
        <v>31.6</v>
      </c>
      <c r="I537" s="19"/>
      <c r="L537" s="20">
        <v>44182</v>
      </c>
      <c r="M537" s="19">
        <v>1.0416666666666666E-2</v>
      </c>
      <c r="N537" s="19"/>
      <c r="S537" s="36"/>
      <c r="T537" s="36"/>
    </row>
    <row r="538" spans="1:20" s="38" customFormat="1" ht="15.75" hidden="1" x14ac:dyDescent="0.3">
      <c r="A538" s="36" t="str">
        <f xml:space="preserve"> IF( 'From SvanPC++'!A528= "", "", ('From SvanPC++'!A528))</f>
        <v/>
      </c>
      <c r="B538" s="35" t="s">
        <v>667</v>
      </c>
      <c r="C538" s="34">
        <v>31.4</v>
      </c>
      <c r="D538" s="36"/>
      <c r="E538" s="20">
        <v>44182</v>
      </c>
      <c r="F538" s="19">
        <v>2.0833333333333332E-2</v>
      </c>
      <c r="H538" s="34">
        <v>31.4</v>
      </c>
      <c r="I538" s="19"/>
      <c r="L538" s="20">
        <v>44182</v>
      </c>
      <c r="M538" s="19">
        <v>2.0833333333333332E-2</v>
      </c>
      <c r="N538" s="19"/>
      <c r="S538" s="36"/>
      <c r="T538" s="36"/>
    </row>
    <row r="539" spans="1:20" s="38" customFormat="1" ht="15.75" hidden="1" x14ac:dyDescent="0.3">
      <c r="A539" s="36" t="str">
        <f xml:space="preserve"> IF( 'From SvanPC++'!A529= "", "", ('From SvanPC++'!A529))</f>
        <v/>
      </c>
      <c r="B539" s="35" t="s">
        <v>668</v>
      </c>
      <c r="C539" s="34">
        <v>26</v>
      </c>
      <c r="D539" s="36"/>
      <c r="E539" s="20">
        <v>44182</v>
      </c>
      <c r="F539" s="19">
        <v>3.125E-2</v>
      </c>
      <c r="H539" s="34">
        <v>26</v>
      </c>
      <c r="I539" s="19"/>
      <c r="L539" s="20">
        <v>44182</v>
      </c>
      <c r="M539" s="19">
        <v>3.125E-2</v>
      </c>
      <c r="N539" s="19"/>
      <c r="S539" s="36"/>
      <c r="T539" s="36"/>
    </row>
    <row r="540" spans="1:20" s="38" customFormat="1" ht="15.75" x14ac:dyDescent="0.3">
      <c r="A540" s="36" t="str">
        <f xml:space="preserve"> IF( 'From SvanPC++'!A530= "", "", ('From SvanPC++'!A530))</f>
        <v/>
      </c>
      <c r="B540" s="35" t="s">
        <v>669</v>
      </c>
      <c r="C540" s="34">
        <v>25.2</v>
      </c>
      <c r="D540" s="36"/>
      <c r="E540" s="20">
        <v>44182</v>
      </c>
      <c r="F540" s="19">
        <v>4.1666666666666664E-2</v>
      </c>
      <c r="H540" s="34">
        <v>25.2</v>
      </c>
      <c r="I540" s="106">
        <f>AVERAGE(H537:H540)</f>
        <v>28.55</v>
      </c>
      <c r="L540" s="20">
        <v>44182</v>
      </c>
      <c r="M540" s="19">
        <v>4.1666666666666664E-2</v>
      </c>
      <c r="N540" s="106">
        <v>28.55</v>
      </c>
      <c r="S540" s="36"/>
      <c r="T540" s="36"/>
    </row>
    <row r="541" spans="1:20" s="38" customFormat="1" ht="15.75" hidden="1" x14ac:dyDescent="0.3">
      <c r="A541" s="36" t="str">
        <f xml:space="preserve"> IF( 'From SvanPC++'!A531= "", "", ('From SvanPC++'!A531))</f>
        <v/>
      </c>
      <c r="B541" s="35" t="s">
        <v>670</v>
      </c>
      <c r="C541" s="34">
        <v>31.4</v>
      </c>
      <c r="D541" s="36"/>
      <c r="E541" s="20">
        <v>44182</v>
      </c>
      <c r="F541" s="19">
        <v>5.2083333333333336E-2</v>
      </c>
      <c r="H541" s="34">
        <v>31.4</v>
      </c>
      <c r="I541" s="19"/>
      <c r="L541" s="20">
        <v>44182</v>
      </c>
      <c r="M541" s="19">
        <v>5.2083333333333336E-2</v>
      </c>
      <c r="N541" s="19"/>
      <c r="S541" s="36"/>
      <c r="T541" s="36"/>
    </row>
    <row r="542" spans="1:20" s="38" customFormat="1" ht="15.75" hidden="1" x14ac:dyDescent="0.3">
      <c r="A542" s="36" t="str">
        <f xml:space="preserve"> IF( 'From SvanPC++'!A532= "", "", ('From SvanPC++'!A532))</f>
        <v/>
      </c>
      <c r="B542" s="35" t="s">
        <v>671</v>
      </c>
      <c r="C542" s="34">
        <v>28.7</v>
      </c>
      <c r="D542" s="36"/>
      <c r="E542" s="20">
        <v>44182</v>
      </c>
      <c r="F542" s="19">
        <v>6.25E-2</v>
      </c>
      <c r="H542" s="34">
        <v>28.7</v>
      </c>
      <c r="I542" s="19"/>
      <c r="L542" s="20">
        <v>44182</v>
      </c>
      <c r="M542" s="19">
        <v>6.25E-2</v>
      </c>
      <c r="N542" s="19"/>
      <c r="S542" s="36"/>
      <c r="T542" s="36"/>
    </row>
    <row r="543" spans="1:20" s="38" customFormat="1" ht="15.75" hidden="1" x14ac:dyDescent="0.3">
      <c r="A543" s="36" t="str">
        <f xml:space="preserve"> IF( 'From SvanPC++'!A533= "", "", ('From SvanPC++'!A533))</f>
        <v/>
      </c>
      <c r="B543" s="35" t="s">
        <v>672</v>
      </c>
      <c r="C543" s="34">
        <v>26.3</v>
      </c>
      <c r="D543" s="36"/>
      <c r="E543" s="20">
        <v>44182</v>
      </c>
      <c r="F543" s="19">
        <v>7.2916666666666671E-2</v>
      </c>
      <c r="H543" s="34">
        <v>26.3</v>
      </c>
      <c r="I543" s="19"/>
      <c r="L543" s="20">
        <v>44182</v>
      </c>
      <c r="M543" s="19">
        <v>7.2916666666666671E-2</v>
      </c>
      <c r="N543" s="19"/>
      <c r="S543" s="36"/>
      <c r="T543" s="36"/>
    </row>
    <row r="544" spans="1:20" s="38" customFormat="1" ht="15.75" x14ac:dyDescent="0.3">
      <c r="A544" s="36" t="str">
        <f xml:space="preserve"> IF( 'From SvanPC++'!A534= "", "", ('From SvanPC++'!A534))</f>
        <v/>
      </c>
      <c r="B544" s="35" t="s">
        <v>673</v>
      </c>
      <c r="C544" s="34">
        <v>31.4</v>
      </c>
      <c r="D544" s="36"/>
      <c r="E544" s="20">
        <v>44182</v>
      </c>
      <c r="F544" s="19">
        <v>8.3333333333333329E-2</v>
      </c>
      <c r="H544" s="34">
        <v>31.4</v>
      </c>
      <c r="I544" s="106">
        <f>AVERAGE(H541:H544)</f>
        <v>29.449999999999996</v>
      </c>
      <c r="L544" s="20">
        <v>44182</v>
      </c>
      <c r="M544" s="19">
        <v>8.3333333333333329E-2</v>
      </c>
      <c r="N544" s="106">
        <v>29.449999999999996</v>
      </c>
      <c r="S544" s="36"/>
      <c r="T544" s="36"/>
    </row>
    <row r="545" spans="1:20" s="38" customFormat="1" ht="15.75" hidden="1" x14ac:dyDescent="0.3">
      <c r="A545" s="36" t="str">
        <f xml:space="preserve"> IF( 'From SvanPC++'!A535= "", "", ('From SvanPC++'!A535))</f>
        <v/>
      </c>
      <c r="B545" s="35" t="s">
        <v>674</v>
      </c>
      <c r="C545" s="34">
        <v>26.4</v>
      </c>
      <c r="D545" s="36"/>
      <c r="E545" s="20">
        <v>44182</v>
      </c>
      <c r="F545" s="19">
        <v>9.375E-2</v>
      </c>
      <c r="H545" s="34">
        <v>26.4</v>
      </c>
      <c r="I545" s="19"/>
      <c r="L545" s="20">
        <v>44182</v>
      </c>
      <c r="M545" s="19">
        <v>9.375E-2</v>
      </c>
      <c r="N545" s="19"/>
      <c r="S545" s="36"/>
      <c r="T545" s="36"/>
    </row>
    <row r="546" spans="1:20" s="38" customFormat="1" ht="15.75" hidden="1" x14ac:dyDescent="0.3">
      <c r="A546" s="36" t="str">
        <f xml:space="preserve"> IF( 'From SvanPC++'!A536= "", "", ('From SvanPC++'!A536))</f>
        <v/>
      </c>
      <c r="B546" s="35" t="s">
        <v>675</v>
      </c>
      <c r="C546" s="34">
        <v>25.9</v>
      </c>
      <c r="D546" s="36"/>
      <c r="E546" s="20">
        <v>44182</v>
      </c>
      <c r="F546" s="19">
        <v>0.10416666666666667</v>
      </c>
      <c r="H546" s="34">
        <v>25.9</v>
      </c>
      <c r="I546" s="19"/>
      <c r="L546" s="20">
        <v>44182</v>
      </c>
      <c r="M546" s="19">
        <v>0.10416666666666667</v>
      </c>
      <c r="N546" s="19"/>
      <c r="S546" s="36"/>
      <c r="T546" s="36"/>
    </row>
    <row r="547" spans="1:20" s="38" customFormat="1" ht="15.75" hidden="1" x14ac:dyDescent="0.3">
      <c r="A547" s="36" t="str">
        <f xml:space="preserve"> IF( 'From SvanPC++'!A537= "", "", ('From SvanPC++'!A537))</f>
        <v/>
      </c>
      <c r="B547" s="35" t="s">
        <v>676</v>
      </c>
      <c r="C547" s="34">
        <v>26.5</v>
      </c>
      <c r="D547" s="36"/>
      <c r="E547" s="20">
        <v>44182</v>
      </c>
      <c r="F547" s="19">
        <v>0.11458333333333333</v>
      </c>
      <c r="H547" s="34">
        <v>26.5</v>
      </c>
      <c r="I547" s="19"/>
      <c r="L547" s="20">
        <v>44182</v>
      </c>
      <c r="M547" s="19">
        <v>0.11458333333333333</v>
      </c>
      <c r="N547" s="19"/>
      <c r="S547" s="36"/>
      <c r="T547" s="36"/>
    </row>
    <row r="548" spans="1:20" s="38" customFormat="1" ht="15.75" x14ac:dyDescent="0.3">
      <c r="A548" s="36" t="str">
        <f xml:space="preserve"> IF( 'From SvanPC++'!A538= "", "", ('From SvanPC++'!A538))</f>
        <v/>
      </c>
      <c r="B548" s="35" t="s">
        <v>677</v>
      </c>
      <c r="C548" s="34">
        <v>25.3</v>
      </c>
      <c r="D548" s="36"/>
      <c r="E548" s="20">
        <v>44182</v>
      </c>
      <c r="F548" s="19">
        <v>0.125</v>
      </c>
      <c r="H548" s="34">
        <v>25.3</v>
      </c>
      <c r="I548" s="106">
        <f>AVERAGE(H545:H548)</f>
        <v>26.024999999999999</v>
      </c>
      <c r="L548" s="20">
        <v>44182</v>
      </c>
      <c r="M548" s="19">
        <v>0.125</v>
      </c>
      <c r="N548" s="106">
        <v>26.024999999999999</v>
      </c>
      <c r="S548" s="36"/>
      <c r="T548" s="36"/>
    </row>
    <row r="549" spans="1:20" s="38" customFormat="1" ht="15.75" hidden="1" x14ac:dyDescent="0.3">
      <c r="A549" s="36" t="str">
        <f xml:space="preserve"> IF( 'From SvanPC++'!A539= "", "", ('From SvanPC++'!A539))</f>
        <v/>
      </c>
      <c r="B549" s="35" t="s">
        <v>678</v>
      </c>
      <c r="C549" s="34">
        <v>25.1</v>
      </c>
      <c r="D549" s="36"/>
      <c r="E549" s="20">
        <v>44182</v>
      </c>
      <c r="F549" s="19">
        <v>0.13541666666666666</v>
      </c>
      <c r="H549" s="34">
        <v>25.1</v>
      </c>
      <c r="I549" s="19"/>
      <c r="L549" s="20">
        <v>44182</v>
      </c>
      <c r="M549" s="19">
        <v>0.13541666666666666</v>
      </c>
      <c r="N549" s="19"/>
      <c r="S549" s="36"/>
      <c r="T549" s="36"/>
    </row>
    <row r="550" spans="1:20" s="38" customFormat="1" ht="15.75" hidden="1" x14ac:dyDescent="0.3">
      <c r="A550" s="36" t="str">
        <f xml:space="preserve"> IF( 'From SvanPC++'!A540= "", "", ('From SvanPC++'!A540))</f>
        <v/>
      </c>
      <c r="B550" s="35" t="s">
        <v>679</v>
      </c>
      <c r="C550" s="34">
        <v>31.1</v>
      </c>
      <c r="D550" s="36"/>
      <c r="E550" s="20">
        <v>44182</v>
      </c>
      <c r="F550" s="19">
        <v>0.14583333333333334</v>
      </c>
      <c r="H550" s="34">
        <v>31.1</v>
      </c>
      <c r="I550" s="19"/>
      <c r="L550" s="20">
        <v>44182</v>
      </c>
      <c r="M550" s="19">
        <v>0.14583333333333334</v>
      </c>
      <c r="N550" s="19"/>
      <c r="S550" s="36"/>
      <c r="T550" s="36"/>
    </row>
    <row r="551" spans="1:20" s="38" customFormat="1" ht="15.75" hidden="1" x14ac:dyDescent="0.3">
      <c r="A551" s="36" t="str">
        <f xml:space="preserve"> IF( 'From SvanPC++'!A541= "", "", ('From SvanPC++'!A541))</f>
        <v/>
      </c>
      <c r="B551" s="35" t="s">
        <v>680</v>
      </c>
      <c r="C551" s="34">
        <v>26.1</v>
      </c>
      <c r="D551" s="36"/>
      <c r="E551" s="20">
        <v>44182</v>
      </c>
      <c r="F551" s="19">
        <v>0.15625</v>
      </c>
      <c r="H551" s="34">
        <v>26.1</v>
      </c>
      <c r="I551" s="19"/>
      <c r="L551" s="20">
        <v>44182</v>
      </c>
      <c r="M551" s="19">
        <v>0.15625</v>
      </c>
      <c r="N551" s="19"/>
      <c r="S551" s="36"/>
      <c r="T551" s="36"/>
    </row>
    <row r="552" spans="1:20" s="38" customFormat="1" ht="15.75" x14ac:dyDescent="0.3">
      <c r="A552" s="36" t="str">
        <f xml:space="preserve"> IF( 'From SvanPC++'!A542= "", "", ('From SvanPC++'!A542))</f>
        <v/>
      </c>
      <c r="B552" s="35" t="s">
        <v>681</v>
      </c>
      <c r="C552" s="34">
        <v>26.4</v>
      </c>
      <c r="D552" s="36"/>
      <c r="E552" s="20">
        <v>44182</v>
      </c>
      <c r="F552" s="19">
        <v>0.16666666666666666</v>
      </c>
      <c r="H552" s="34">
        <v>26.4</v>
      </c>
      <c r="I552" s="106">
        <f>AVERAGE(H549:H552)</f>
        <v>27.175000000000004</v>
      </c>
      <c r="L552" s="20">
        <v>44182</v>
      </c>
      <c r="M552" s="19">
        <v>0.16666666666666666</v>
      </c>
      <c r="N552" s="106">
        <v>27.175000000000004</v>
      </c>
      <c r="S552" s="36"/>
      <c r="T552" s="36"/>
    </row>
    <row r="553" spans="1:20" s="38" customFormat="1" ht="15.75" hidden="1" x14ac:dyDescent="0.3">
      <c r="A553" s="36" t="str">
        <f xml:space="preserve"> IF( 'From SvanPC++'!A543= "", "", ('From SvanPC++'!A543))</f>
        <v/>
      </c>
      <c r="B553" s="35" t="s">
        <v>682</v>
      </c>
      <c r="C553" s="34">
        <v>30.2</v>
      </c>
      <c r="D553" s="36"/>
      <c r="E553" s="20">
        <v>44182</v>
      </c>
      <c r="F553" s="19">
        <v>0.17708333333333334</v>
      </c>
      <c r="H553" s="34">
        <v>30.2</v>
      </c>
      <c r="I553" s="19"/>
      <c r="L553" s="20">
        <v>44182</v>
      </c>
      <c r="M553" s="19">
        <v>0.17708333333333334</v>
      </c>
      <c r="N553" s="19"/>
      <c r="S553" s="36"/>
      <c r="T553" s="36"/>
    </row>
    <row r="554" spans="1:20" s="38" customFormat="1" ht="15.75" hidden="1" x14ac:dyDescent="0.3">
      <c r="A554" s="36" t="str">
        <f xml:space="preserve"> IF( 'From SvanPC++'!A544= "", "", ('From SvanPC++'!A544))</f>
        <v/>
      </c>
      <c r="B554" s="35" t="s">
        <v>683</v>
      </c>
      <c r="C554" s="34">
        <v>26</v>
      </c>
      <c r="D554" s="36"/>
      <c r="E554" s="20">
        <v>44182</v>
      </c>
      <c r="F554" s="19">
        <v>0.1875</v>
      </c>
      <c r="H554" s="34">
        <v>26</v>
      </c>
      <c r="I554" s="19"/>
      <c r="L554" s="20">
        <v>44182</v>
      </c>
      <c r="M554" s="19">
        <v>0.1875</v>
      </c>
      <c r="N554" s="19"/>
      <c r="S554" s="36"/>
      <c r="T554" s="36"/>
    </row>
    <row r="555" spans="1:20" s="38" customFormat="1" ht="15.75" hidden="1" x14ac:dyDescent="0.3">
      <c r="A555" s="36" t="str">
        <f xml:space="preserve"> IF( 'From SvanPC++'!A545= "", "", ('From SvanPC++'!A545))</f>
        <v/>
      </c>
      <c r="B555" s="35" t="s">
        <v>684</v>
      </c>
      <c r="C555" s="34">
        <v>28.5</v>
      </c>
      <c r="D555" s="36"/>
      <c r="E555" s="20">
        <v>44182</v>
      </c>
      <c r="F555" s="19">
        <v>0.19791666666666666</v>
      </c>
      <c r="H555" s="34">
        <v>28.5</v>
      </c>
      <c r="I555" s="19"/>
      <c r="L555" s="20">
        <v>44182</v>
      </c>
      <c r="M555" s="19">
        <v>0.19791666666666666</v>
      </c>
      <c r="N555" s="19"/>
      <c r="S555" s="36"/>
      <c r="T555" s="36"/>
    </row>
    <row r="556" spans="1:20" s="38" customFormat="1" ht="15.75" x14ac:dyDescent="0.3">
      <c r="A556" s="36" t="str">
        <f xml:space="preserve"> IF( 'From SvanPC++'!A546= "", "", ('From SvanPC++'!A546))</f>
        <v/>
      </c>
      <c r="B556" s="35" t="s">
        <v>685</v>
      </c>
      <c r="C556" s="34">
        <v>29.5</v>
      </c>
      <c r="D556" s="36"/>
      <c r="E556" s="20">
        <v>44182</v>
      </c>
      <c r="F556" s="19">
        <v>0.20833333333333334</v>
      </c>
      <c r="H556" s="34">
        <v>29.5</v>
      </c>
      <c r="I556" s="106">
        <f>AVERAGE(H553:H556)</f>
        <v>28.55</v>
      </c>
      <c r="L556" s="20">
        <v>44182</v>
      </c>
      <c r="M556" s="19">
        <v>0.20833333333333334</v>
      </c>
      <c r="N556" s="106">
        <v>28.55</v>
      </c>
      <c r="S556" s="36"/>
      <c r="T556" s="36"/>
    </row>
    <row r="557" spans="1:20" s="38" customFormat="1" ht="15.75" hidden="1" x14ac:dyDescent="0.3">
      <c r="A557" s="36" t="str">
        <f xml:space="preserve"> IF( 'From SvanPC++'!A547= "", "", ('From SvanPC++'!A547))</f>
        <v/>
      </c>
      <c r="B557" s="35" t="s">
        <v>686</v>
      </c>
      <c r="C557" s="34">
        <v>31.4</v>
      </c>
      <c r="D557" s="36"/>
      <c r="E557" s="20">
        <v>44182</v>
      </c>
      <c r="F557" s="19">
        <v>0.21875</v>
      </c>
      <c r="H557" s="34">
        <v>31.4</v>
      </c>
      <c r="I557" s="19"/>
      <c r="L557" s="20">
        <v>44182</v>
      </c>
      <c r="M557" s="19">
        <v>0.21875</v>
      </c>
      <c r="N557" s="19"/>
      <c r="S557" s="36"/>
      <c r="T557" s="36"/>
    </row>
    <row r="558" spans="1:20" s="38" customFormat="1" ht="15.75" hidden="1" x14ac:dyDescent="0.3">
      <c r="A558" s="36" t="str">
        <f xml:space="preserve"> IF( 'From SvanPC++'!A548= "", "", ('From SvanPC++'!A548))</f>
        <v/>
      </c>
      <c r="B558" s="35" t="s">
        <v>687</v>
      </c>
      <c r="C558" s="34">
        <v>40.1</v>
      </c>
      <c r="D558" s="36"/>
      <c r="E558" s="20">
        <v>44182</v>
      </c>
      <c r="F558" s="19">
        <v>0.22916666666666666</v>
      </c>
      <c r="H558" s="34">
        <v>40.1</v>
      </c>
      <c r="I558" s="19"/>
      <c r="L558" s="20">
        <v>44182</v>
      </c>
      <c r="M558" s="19">
        <v>0.22916666666666666</v>
      </c>
      <c r="N558" s="19"/>
      <c r="S558" s="36"/>
      <c r="T558" s="36"/>
    </row>
    <row r="559" spans="1:20" s="38" customFormat="1" ht="15.75" hidden="1" x14ac:dyDescent="0.3">
      <c r="A559" s="36" t="str">
        <f xml:space="preserve"> IF( 'From SvanPC++'!A549= "", "", ('From SvanPC++'!A549))</f>
        <v/>
      </c>
      <c r="B559" s="35" t="s">
        <v>688</v>
      </c>
      <c r="C559" s="34">
        <v>37.9</v>
      </c>
      <c r="D559" s="36"/>
      <c r="E559" s="20">
        <v>44182</v>
      </c>
      <c r="F559" s="19">
        <v>0.23958333333333334</v>
      </c>
      <c r="H559" s="34">
        <v>37.9</v>
      </c>
      <c r="I559" s="19"/>
      <c r="L559" s="20">
        <v>44182</v>
      </c>
      <c r="M559" s="19">
        <v>0.23958333333333334</v>
      </c>
      <c r="N559" s="19"/>
      <c r="S559" s="36"/>
      <c r="T559" s="36"/>
    </row>
    <row r="560" spans="1:20" s="38" customFormat="1" ht="15.75" x14ac:dyDescent="0.3">
      <c r="A560" s="36" t="str">
        <f xml:space="preserve"> IF( 'From SvanPC++'!A550= "", "", ('From SvanPC++'!A550))</f>
        <v/>
      </c>
      <c r="B560" s="35" t="s">
        <v>689</v>
      </c>
      <c r="C560" s="34">
        <v>38.6</v>
      </c>
      <c r="D560" s="36"/>
      <c r="E560" s="20">
        <v>44182</v>
      </c>
      <c r="F560" s="19">
        <v>0.25</v>
      </c>
      <c r="H560" s="34">
        <v>38.6</v>
      </c>
      <c r="I560" s="106">
        <f>AVERAGE(H557:H560)</f>
        <v>37</v>
      </c>
      <c r="L560" s="20">
        <v>44182</v>
      </c>
      <c r="M560" s="19">
        <v>0.25</v>
      </c>
      <c r="N560" s="106">
        <v>37</v>
      </c>
      <c r="S560" s="36"/>
      <c r="T560" s="36"/>
    </row>
    <row r="561" spans="1:20" s="38" customFormat="1" ht="15.75" hidden="1" x14ac:dyDescent="0.3">
      <c r="A561" s="36" t="str">
        <f xml:space="preserve"> IF( 'From SvanPC++'!A551= "", "", ('From SvanPC++'!A551))</f>
        <v/>
      </c>
      <c r="B561" s="35" t="s">
        <v>690</v>
      </c>
      <c r="C561" s="34">
        <v>39.6</v>
      </c>
      <c r="D561" s="36"/>
      <c r="E561" s="20">
        <v>44182</v>
      </c>
      <c r="F561" s="19">
        <v>0.26041666666666669</v>
      </c>
      <c r="H561" s="34">
        <v>39.6</v>
      </c>
      <c r="I561" s="19"/>
      <c r="L561" s="20">
        <v>44182</v>
      </c>
      <c r="M561" s="19">
        <v>0.26041666666666669</v>
      </c>
      <c r="N561" s="19"/>
      <c r="S561" s="36"/>
      <c r="T561" s="36"/>
    </row>
    <row r="562" spans="1:20" s="38" customFormat="1" ht="15.75" hidden="1" x14ac:dyDescent="0.3">
      <c r="A562" s="36" t="str">
        <f xml:space="preserve"> IF( 'From SvanPC++'!A552= "", "", ('From SvanPC++'!A552))</f>
        <v/>
      </c>
      <c r="B562" s="35" t="s">
        <v>691</v>
      </c>
      <c r="C562" s="34">
        <v>40.700000000000003</v>
      </c>
      <c r="D562" s="36"/>
      <c r="E562" s="20">
        <v>44182</v>
      </c>
      <c r="F562" s="19">
        <v>0.27083333333333331</v>
      </c>
      <c r="H562" s="34">
        <v>40.700000000000003</v>
      </c>
      <c r="I562" s="19"/>
      <c r="L562" s="20">
        <v>44182</v>
      </c>
      <c r="M562" s="19">
        <v>0.27083333333333331</v>
      </c>
      <c r="N562" s="19"/>
      <c r="S562" s="36"/>
      <c r="T562" s="36"/>
    </row>
    <row r="563" spans="1:20" s="38" customFormat="1" ht="15.75" hidden="1" x14ac:dyDescent="0.3">
      <c r="A563" s="36" t="str">
        <f xml:space="preserve"> IF( 'From SvanPC++'!A553= "", "", ('From SvanPC++'!A553))</f>
        <v/>
      </c>
      <c r="B563" s="35" t="s">
        <v>692</v>
      </c>
      <c r="C563" s="34">
        <v>41.9</v>
      </c>
      <c r="D563" s="36"/>
      <c r="E563" s="20">
        <v>44182</v>
      </c>
      <c r="F563" s="19">
        <v>0.28125</v>
      </c>
      <c r="H563" s="34">
        <v>41.9</v>
      </c>
      <c r="I563" s="19"/>
      <c r="L563" s="20">
        <v>44182</v>
      </c>
      <c r="M563" s="19">
        <v>0.28125</v>
      </c>
      <c r="N563" s="19"/>
      <c r="S563" s="36"/>
      <c r="T563" s="36"/>
    </row>
    <row r="564" spans="1:20" s="38" customFormat="1" ht="15.75" x14ac:dyDescent="0.3">
      <c r="A564" s="36" t="str">
        <f xml:space="preserve"> IF( 'From SvanPC++'!A554= "", "", ('From SvanPC++'!A554))</f>
        <v/>
      </c>
      <c r="B564" s="35" t="s">
        <v>693</v>
      </c>
      <c r="C564" s="34">
        <v>41.7</v>
      </c>
      <c r="D564" s="36"/>
      <c r="E564" s="20">
        <v>44182</v>
      </c>
      <c r="F564" s="19">
        <v>0.29166666666666669</v>
      </c>
      <c r="H564" s="34">
        <v>41.7</v>
      </c>
      <c r="I564" s="106">
        <f>AVERAGE(H561:H564)</f>
        <v>40.975000000000009</v>
      </c>
      <c r="L564" s="20">
        <v>44182</v>
      </c>
      <c r="M564" s="19">
        <v>0.29166666666666669</v>
      </c>
      <c r="N564" s="106">
        <v>40.975000000000009</v>
      </c>
      <c r="S564" s="36"/>
      <c r="T564" s="36"/>
    </row>
    <row r="565" spans="1:20" s="38" customFormat="1" ht="15.75" hidden="1" x14ac:dyDescent="0.3">
      <c r="A565" s="36" t="str">
        <f xml:space="preserve"> IF( 'From SvanPC++'!A555= "", "", ('From SvanPC++'!A555))</f>
        <v/>
      </c>
      <c r="B565" s="35" t="s">
        <v>694</v>
      </c>
      <c r="C565" s="34">
        <v>40.9</v>
      </c>
      <c r="D565" s="36"/>
      <c r="E565" s="20">
        <v>44182</v>
      </c>
      <c r="F565" s="19">
        <v>0.30208333333333331</v>
      </c>
      <c r="H565" s="34">
        <v>40.9</v>
      </c>
      <c r="I565" s="19"/>
      <c r="L565" s="20">
        <v>44182</v>
      </c>
      <c r="M565" s="19">
        <v>0.30208333333333331</v>
      </c>
      <c r="N565" s="19"/>
      <c r="S565" s="36"/>
      <c r="T565" s="36"/>
    </row>
    <row r="566" spans="1:20" s="38" customFormat="1" ht="15.75" hidden="1" x14ac:dyDescent="0.3">
      <c r="A566" s="36" t="str">
        <f xml:space="preserve"> IF( 'From SvanPC++'!A556= "", "", ('From SvanPC++'!A556))</f>
        <v/>
      </c>
      <c r="B566" s="35" t="s">
        <v>695</v>
      </c>
      <c r="C566" s="34">
        <v>40.9</v>
      </c>
      <c r="D566" s="36"/>
      <c r="E566" s="20">
        <v>44182</v>
      </c>
      <c r="F566" s="19">
        <v>0.3125</v>
      </c>
      <c r="H566" s="34">
        <v>40.9</v>
      </c>
      <c r="I566" s="19"/>
      <c r="L566" s="20">
        <v>44182</v>
      </c>
      <c r="M566" s="19">
        <v>0.3125</v>
      </c>
      <c r="N566" s="19"/>
      <c r="S566" s="36"/>
      <c r="T566" s="36"/>
    </row>
    <row r="567" spans="1:20" s="38" customFormat="1" ht="15.75" hidden="1" x14ac:dyDescent="0.3">
      <c r="A567" s="36" t="str">
        <f xml:space="preserve"> IF( 'From SvanPC++'!A557= "", "", ('From SvanPC++'!A557))</f>
        <v/>
      </c>
      <c r="B567" s="35" t="s">
        <v>696</v>
      </c>
      <c r="C567" s="34">
        <v>42</v>
      </c>
      <c r="D567" s="36"/>
      <c r="E567" s="20">
        <v>44182</v>
      </c>
      <c r="F567" s="19">
        <v>0.32291666666666669</v>
      </c>
      <c r="H567" s="34">
        <v>42</v>
      </c>
      <c r="I567" s="19"/>
      <c r="L567" s="20">
        <v>44182</v>
      </c>
      <c r="M567" s="19">
        <v>0.32291666666666669</v>
      </c>
      <c r="N567" s="19"/>
      <c r="S567" s="36"/>
      <c r="T567" s="36"/>
    </row>
    <row r="568" spans="1:20" s="38" customFormat="1" ht="15.75" x14ac:dyDescent="0.3">
      <c r="A568" s="36" t="str">
        <f xml:space="preserve"> IF( 'From SvanPC++'!A558= "", "", ('From SvanPC++'!A558))</f>
        <v/>
      </c>
      <c r="B568" s="35" t="s">
        <v>697</v>
      </c>
      <c r="C568" s="34">
        <v>44.8</v>
      </c>
      <c r="D568" s="36"/>
      <c r="E568" s="20">
        <v>44182</v>
      </c>
      <c r="F568" s="19">
        <v>0.33333333333333331</v>
      </c>
      <c r="H568" s="34">
        <v>44.8</v>
      </c>
      <c r="I568" s="106">
        <f>AVERAGE(H565:H568)</f>
        <v>42.15</v>
      </c>
      <c r="L568" s="20">
        <v>44182</v>
      </c>
      <c r="M568" s="19">
        <v>0.33333333333333331</v>
      </c>
      <c r="N568" s="106">
        <v>42.15</v>
      </c>
      <c r="S568" s="36"/>
      <c r="T568" s="36"/>
    </row>
    <row r="569" spans="1:20" s="38" customFormat="1" ht="15.75" hidden="1" x14ac:dyDescent="0.3">
      <c r="A569" s="36" t="str">
        <f xml:space="preserve"> IF( 'From SvanPC++'!A559= "", "", ('From SvanPC++'!A559))</f>
        <v/>
      </c>
      <c r="B569" s="35" t="s">
        <v>698</v>
      </c>
      <c r="C569" s="34">
        <v>44</v>
      </c>
      <c r="D569" s="36"/>
      <c r="E569" s="20">
        <v>44182</v>
      </c>
      <c r="F569" s="19">
        <v>0.34375</v>
      </c>
      <c r="H569" s="34">
        <v>44</v>
      </c>
      <c r="I569" s="19"/>
      <c r="L569" s="20">
        <v>44182</v>
      </c>
      <c r="M569" s="19">
        <v>0.34375</v>
      </c>
      <c r="N569" s="19"/>
      <c r="S569" s="36"/>
      <c r="T569" s="36"/>
    </row>
    <row r="570" spans="1:20" s="38" customFormat="1" ht="15.75" hidden="1" x14ac:dyDescent="0.3">
      <c r="A570" s="36" t="str">
        <f xml:space="preserve"> IF( 'From SvanPC++'!A560= "", "", ('From SvanPC++'!A560))</f>
        <v/>
      </c>
      <c r="B570" s="35" t="s">
        <v>699</v>
      </c>
      <c r="C570" s="34">
        <v>43</v>
      </c>
      <c r="D570" s="36"/>
      <c r="E570" s="20">
        <v>44182</v>
      </c>
      <c r="F570" s="19">
        <v>0.35416666666666669</v>
      </c>
      <c r="H570" s="34">
        <v>43</v>
      </c>
      <c r="I570" s="19"/>
      <c r="L570" s="20">
        <v>44182</v>
      </c>
      <c r="M570" s="19">
        <v>0.35416666666666669</v>
      </c>
      <c r="N570" s="19"/>
      <c r="S570" s="36"/>
      <c r="T570" s="36"/>
    </row>
    <row r="571" spans="1:20" s="38" customFormat="1" ht="15.75" hidden="1" x14ac:dyDescent="0.3">
      <c r="A571" s="36" t="str">
        <f xml:space="preserve"> IF( 'From SvanPC++'!A561= "", "", ('From SvanPC++'!A561))</f>
        <v/>
      </c>
      <c r="B571" s="35" t="s">
        <v>700</v>
      </c>
      <c r="C571" s="34">
        <v>44.5</v>
      </c>
      <c r="D571" s="36"/>
      <c r="E571" s="20">
        <v>44182</v>
      </c>
      <c r="F571" s="19">
        <v>0.36458333333333331</v>
      </c>
      <c r="H571" s="34">
        <v>44.5</v>
      </c>
      <c r="I571" s="19"/>
      <c r="L571" s="20">
        <v>44182</v>
      </c>
      <c r="M571" s="19">
        <v>0.36458333333333331</v>
      </c>
      <c r="N571" s="19"/>
      <c r="S571" s="36"/>
      <c r="T571" s="36"/>
    </row>
    <row r="572" spans="1:20" s="38" customFormat="1" ht="15.75" x14ac:dyDescent="0.3">
      <c r="A572" s="36" t="str">
        <f xml:space="preserve"> IF( 'From SvanPC++'!A562= "", "", ('From SvanPC++'!A562))</f>
        <v/>
      </c>
      <c r="B572" s="35" t="s">
        <v>701</v>
      </c>
      <c r="C572" s="34">
        <v>44.5</v>
      </c>
      <c r="D572" s="36"/>
      <c r="E572" s="20">
        <v>44182</v>
      </c>
      <c r="F572" s="19">
        <v>0.375</v>
      </c>
      <c r="H572" s="34">
        <v>44.5</v>
      </c>
      <c r="I572" s="106">
        <f>AVERAGE(H569:H572)</f>
        <v>44</v>
      </c>
      <c r="L572" s="20">
        <v>44182</v>
      </c>
      <c r="M572" s="19">
        <v>0.375</v>
      </c>
      <c r="N572" s="106">
        <v>44</v>
      </c>
      <c r="S572" s="36"/>
      <c r="T572" s="36"/>
    </row>
    <row r="573" spans="1:20" s="38" customFormat="1" ht="15.75" hidden="1" x14ac:dyDescent="0.3">
      <c r="A573" s="36" t="str">
        <f xml:space="preserve"> IF( 'From SvanPC++'!A563= "", "", ('From SvanPC++'!A563))</f>
        <v/>
      </c>
      <c r="B573" s="35" t="s">
        <v>702</v>
      </c>
      <c r="C573" s="34">
        <v>43.7</v>
      </c>
      <c r="D573" s="36"/>
      <c r="E573" s="20">
        <v>44182</v>
      </c>
      <c r="F573" s="19">
        <v>0.38541666666666669</v>
      </c>
      <c r="H573" s="34">
        <v>43.7</v>
      </c>
      <c r="I573" s="19"/>
      <c r="L573" s="20">
        <v>44182</v>
      </c>
      <c r="M573" s="19">
        <v>0.38541666666666669</v>
      </c>
      <c r="N573" s="19"/>
      <c r="S573" s="36"/>
      <c r="T573" s="36"/>
    </row>
    <row r="574" spans="1:20" s="38" customFormat="1" ht="15.75" hidden="1" x14ac:dyDescent="0.3">
      <c r="A574" s="36" t="str">
        <f xml:space="preserve"> IF( 'From SvanPC++'!A564= "", "", ('From SvanPC++'!A564))</f>
        <v/>
      </c>
      <c r="B574" s="35" t="s">
        <v>703</v>
      </c>
      <c r="C574" s="34">
        <v>44.9</v>
      </c>
      <c r="D574" s="36"/>
      <c r="E574" s="20">
        <v>44182</v>
      </c>
      <c r="F574" s="19">
        <v>0.39583333333333331</v>
      </c>
      <c r="H574" s="34">
        <v>44.9</v>
      </c>
      <c r="I574" s="19"/>
      <c r="L574" s="20">
        <v>44182</v>
      </c>
      <c r="M574" s="19">
        <v>0.39583333333333331</v>
      </c>
      <c r="N574" s="19"/>
      <c r="S574" s="36"/>
      <c r="T574" s="36"/>
    </row>
    <row r="575" spans="1:20" s="38" customFormat="1" ht="15.75" hidden="1" x14ac:dyDescent="0.3">
      <c r="A575" s="36" t="str">
        <f xml:space="preserve"> IF( 'From SvanPC++'!A565= "", "", ('From SvanPC++'!A565))</f>
        <v/>
      </c>
      <c r="B575" s="35" t="s">
        <v>704</v>
      </c>
      <c r="C575" s="34">
        <v>43.6</v>
      </c>
      <c r="D575" s="36"/>
      <c r="E575" s="20">
        <v>44182</v>
      </c>
      <c r="F575" s="19">
        <v>0.40625</v>
      </c>
      <c r="H575" s="34">
        <v>43.6</v>
      </c>
      <c r="I575" s="19"/>
      <c r="L575" s="20">
        <v>44182</v>
      </c>
      <c r="M575" s="19">
        <v>0.40625</v>
      </c>
      <c r="N575" s="19"/>
      <c r="S575" s="36"/>
      <c r="T575" s="36"/>
    </row>
    <row r="576" spans="1:20" s="38" customFormat="1" ht="15.75" x14ac:dyDescent="0.3">
      <c r="A576" s="36" t="str">
        <f xml:space="preserve"> IF( 'From SvanPC++'!A566= "", "", ('From SvanPC++'!A566))</f>
        <v/>
      </c>
      <c r="B576" s="35" t="s">
        <v>705</v>
      </c>
      <c r="C576" s="34">
        <v>51.9</v>
      </c>
      <c r="D576" s="36"/>
      <c r="E576" s="20">
        <v>44182</v>
      </c>
      <c r="F576" s="19">
        <v>0.41666666666666669</v>
      </c>
      <c r="H576" s="34">
        <v>51.9</v>
      </c>
      <c r="I576" s="106">
        <f>AVERAGE(H573:H576)</f>
        <v>46.024999999999999</v>
      </c>
      <c r="L576" s="20">
        <v>44182</v>
      </c>
      <c r="M576" s="19">
        <v>0.41666666666666669</v>
      </c>
      <c r="N576" s="106">
        <v>46.024999999999999</v>
      </c>
      <c r="S576" s="36"/>
      <c r="T576" s="36"/>
    </row>
    <row r="577" spans="1:20" s="38" customFormat="1" ht="15.75" hidden="1" x14ac:dyDescent="0.3">
      <c r="A577" s="36" t="str">
        <f xml:space="preserve"> IF( 'From SvanPC++'!A567= "", "", ('From SvanPC++'!A567))</f>
        <v/>
      </c>
      <c r="B577" s="35" t="s">
        <v>706</v>
      </c>
      <c r="C577" s="34">
        <v>51.7</v>
      </c>
      <c r="D577" s="36"/>
      <c r="E577" s="20">
        <v>44182</v>
      </c>
      <c r="F577" s="19">
        <v>0.42708333333333331</v>
      </c>
      <c r="H577" s="34">
        <v>51.7</v>
      </c>
      <c r="I577" s="19"/>
      <c r="L577" s="20">
        <v>44182</v>
      </c>
      <c r="M577" s="19">
        <v>0.42708333333333331</v>
      </c>
      <c r="N577" s="19"/>
      <c r="S577" s="36"/>
      <c r="T577" s="36"/>
    </row>
    <row r="578" spans="1:20" s="38" customFormat="1" ht="15.75" hidden="1" x14ac:dyDescent="0.3">
      <c r="A578" s="36" t="str">
        <f xml:space="preserve"> IF( 'From SvanPC++'!A568= "", "", ('From SvanPC++'!A568))</f>
        <v/>
      </c>
      <c r="B578" s="35" t="s">
        <v>707</v>
      </c>
      <c r="C578" s="34">
        <v>44.8</v>
      </c>
      <c r="D578" s="36"/>
      <c r="E578" s="20">
        <v>44182</v>
      </c>
      <c r="F578" s="19">
        <v>0.4375</v>
      </c>
      <c r="H578" s="34">
        <v>44.8</v>
      </c>
      <c r="I578" s="19"/>
      <c r="L578" s="20">
        <v>44182</v>
      </c>
      <c r="M578" s="19">
        <v>0.4375</v>
      </c>
      <c r="N578" s="19"/>
      <c r="S578" s="36"/>
      <c r="T578" s="36"/>
    </row>
    <row r="579" spans="1:20" s="38" customFormat="1" ht="15.75" hidden="1" x14ac:dyDescent="0.3">
      <c r="A579" s="36" t="str">
        <f xml:space="preserve"> IF( 'From SvanPC++'!A569= "", "", ('From SvanPC++'!A569))</f>
        <v/>
      </c>
      <c r="B579" s="35" t="s">
        <v>708</v>
      </c>
      <c r="C579" s="34">
        <v>51.8</v>
      </c>
      <c r="D579" s="36"/>
      <c r="E579" s="20">
        <v>44182</v>
      </c>
      <c r="F579" s="19">
        <v>0.44791666666666669</v>
      </c>
      <c r="H579" s="34">
        <v>51.8</v>
      </c>
      <c r="I579" s="19"/>
      <c r="L579" s="20">
        <v>44182</v>
      </c>
      <c r="M579" s="19">
        <v>0.44791666666666669</v>
      </c>
      <c r="N579" s="19"/>
      <c r="S579" s="36"/>
      <c r="T579" s="36"/>
    </row>
    <row r="580" spans="1:20" s="38" customFormat="1" ht="15.75" x14ac:dyDescent="0.3">
      <c r="A580" s="36" t="str">
        <f xml:space="preserve"> IF( 'From SvanPC++'!A570= "", "", ('From SvanPC++'!A570))</f>
        <v/>
      </c>
      <c r="B580" s="35" t="s">
        <v>709</v>
      </c>
      <c r="C580" s="34">
        <v>51.8</v>
      </c>
      <c r="D580" s="36"/>
      <c r="E580" s="20">
        <v>44182</v>
      </c>
      <c r="F580" s="19">
        <v>0.45833333333333331</v>
      </c>
      <c r="H580" s="34">
        <v>51.8</v>
      </c>
      <c r="I580" s="106">
        <f>AVERAGE(H577:H580)</f>
        <v>50.025000000000006</v>
      </c>
      <c r="L580" s="20">
        <v>44182</v>
      </c>
      <c r="M580" s="19">
        <v>0.45833333333333331</v>
      </c>
      <c r="N580" s="106">
        <v>50.025000000000006</v>
      </c>
      <c r="S580" s="36"/>
      <c r="T580" s="36"/>
    </row>
    <row r="581" spans="1:20" s="38" customFormat="1" ht="15.75" hidden="1" x14ac:dyDescent="0.3">
      <c r="A581" s="36" t="str">
        <f xml:space="preserve"> IF( 'From SvanPC++'!A571= "", "", ('From SvanPC++'!A571))</f>
        <v/>
      </c>
      <c r="B581" s="35" t="s">
        <v>710</v>
      </c>
      <c r="C581" s="34">
        <v>43.8</v>
      </c>
      <c r="D581" s="36"/>
      <c r="E581" s="20">
        <v>44182</v>
      </c>
      <c r="F581" s="19">
        <v>0.46875</v>
      </c>
      <c r="H581" s="34">
        <v>43.8</v>
      </c>
      <c r="I581" s="19"/>
      <c r="L581" s="20">
        <v>44182</v>
      </c>
      <c r="M581" s="19">
        <v>0.46875</v>
      </c>
      <c r="N581" s="19"/>
      <c r="S581" s="36"/>
      <c r="T581" s="36"/>
    </row>
    <row r="582" spans="1:20" s="38" customFormat="1" ht="15.75" hidden="1" x14ac:dyDescent="0.3">
      <c r="A582" s="36" t="str">
        <f xml:space="preserve"> IF( 'From SvanPC++'!A572= "", "", ('From SvanPC++'!A572))</f>
        <v/>
      </c>
      <c r="B582" s="35" t="s">
        <v>711</v>
      </c>
      <c r="C582" s="34">
        <v>52.5</v>
      </c>
      <c r="D582" s="36"/>
      <c r="E582" s="20">
        <v>44182</v>
      </c>
      <c r="F582" s="19">
        <v>0.47916666666666669</v>
      </c>
      <c r="H582" s="34">
        <v>52.5</v>
      </c>
      <c r="I582" s="19"/>
      <c r="L582" s="20">
        <v>44182</v>
      </c>
      <c r="M582" s="19">
        <v>0.47916666666666669</v>
      </c>
      <c r="N582" s="19"/>
      <c r="S582" s="36"/>
      <c r="T582" s="36"/>
    </row>
    <row r="583" spans="1:20" s="38" customFormat="1" ht="15.75" hidden="1" x14ac:dyDescent="0.3">
      <c r="A583" s="36" t="str">
        <f xml:space="preserve"> IF( 'From SvanPC++'!A573= "", "", ('From SvanPC++'!A573))</f>
        <v/>
      </c>
      <c r="B583" s="35" t="s">
        <v>712</v>
      </c>
      <c r="C583" s="34">
        <v>41.2</v>
      </c>
      <c r="D583" s="36"/>
      <c r="E583" s="20">
        <v>44182</v>
      </c>
      <c r="F583" s="19">
        <v>0.48958333333333331</v>
      </c>
      <c r="H583" s="34">
        <v>41.2</v>
      </c>
      <c r="I583" s="19"/>
      <c r="L583" s="20">
        <v>44182</v>
      </c>
      <c r="M583" s="19">
        <v>0.48958333333333331</v>
      </c>
      <c r="N583" s="19"/>
      <c r="S583" s="36"/>
      <c r="T583" s="36"/>
    </row>
    <row r="584" spans="1:20" s="38" customFormat="1" ht="15.75" x14ac:dyDescent="0.3">
      <c r="A584" s="36" t="str">
        <f xml:space="preserve"> IF( 'From SvanPC++'!A574= "", "", ('From SvanPC++'!A574))</f>
        <v/>
      </c>
      <c r="B584" s="35" t="s">
        <v>713</v>
      </c>
      <c r="C584" s="34">
        <v>43.5</v>
      </c>
      <c r="D584" s="36"/>
      <c r="E584" s="20">
        <v>44182</v>
      </c>
      <c r="F584" s="19">
        <v>0.5</v>
      </c>
      <c r="H584" s="34">
        <v>43.5</v>
      </c>
      <c r="I584" s="106">
        <f>AVERAGE(H581:H584)</f>
        <v>45.25</v>
      </c>
      <c r="L584" s="20">
        <v>44182</v>
      </c>
      <c r="M584" s="19">
        <v>0.5</v>
      </c>
      <c r="N584" s="106">
        <v>45.25</v>
      </c>
      <c r="S584" s="36"/>
      <c r="T584" s="36"/>
    </row>
    <row r="585" spans="1:20" s="38" customFormat="1" ht="15.75" hidden="1" x14ac:dyDescent="0.3">
      <c r="A585" s="36" t="str">
        <f xml:space="preserve"> IF( 'From SvanPC++'!A575= "", "", ('From SvanPC++'!A575))</f>
        <v/>
      </c>
      <c r="B585" s="35" t="s">
        <v>714</v>
      </c>
      <c r="C585" s="34">
        <v>41.9</v>
      </c>
      <c r="D585" s="36"/>
      <c r="E585" s="20">
        <v>44182</v>
      </c>
      <c r="F585" s="19">
        <v>0.51041666666666663</v>
      </c>
      <c r="H585" s="34">
        <v>41.9</v>
      </c>
      <c r="I585" s="19"/>
      <c r="L585" s="20">
        <v>44182</v>
      </c>
      <c r="M585" s="19">
        <v>0.51041666666666663</v>
      </c>
      <c r="N585" s="19"/>
      <c r="S585" s="36"/>
      <c r="T585" s="36"/>
    </row>
    <row r="586" spans="1:20" s="38" customFormat="1" ht="15.75" hidden="1" x14ac:dyDescent="0.3">
      <c r="A586" s="36" t="str">
        <f xml:space="preserve"> IF( 'From SvanPC++'!A576= "", "", ('From SvanPC++'!A576))</f>
        <v/>
      </c>
      <c r="B586" s="35" t="s">
        <v>715</v>
      </c>
      <c r="C586" s="34">
        <v>41.6</v>
      </c>
      <c r="D586" s="36"/>
      <c r="E586" s="20">
        <v>44182</v>
      </c>
      <c r="F586" s="19">
        <v>0.52083333333333337</v>
      </c>
      <c r="H586" s="34">
        <v>41.6</v>
      </c>
      <c r="I586" s="19"/>
      <c r="L586" s="20">
        <v>44182</v>
      </c>
      <c r="M586" s="19">
        <v>0.52083333333333337</v>
      </c>
      <c r="N586" s="19"/>
      <c r="S586" s="36"/>
      <c r="T586" s="36"/>
    </row>
    <row r="587" spans="1:20" s="38" customFormat="1" ht="15.75" hidden="1" x14ac:dyDescent="0.3">
      <c r="A587" s="36" t="str">
        <f xml:space="preserve"> IF( 'From SvanPC++'!A577= "", "", ('From SvanPC++'!A577))</f>
        <v/>
      </c>
      <c r="B587" s="35" t="s">
        <v>716</v>
      </c>
      <c r="C587" s="34">
        <v>42.1</v>
      </c>
      <c r="D587" s="36"/>
      <c r="E587" s="20">
        <v>44182</v>
      </c>
      <c r="F587" s="19">
        <v>0.53125</v>
      </c>
      <c r="H587" s="34">
        <v>42.1</v>
      </c>
      <c r="I587" s="19"/>
      <c r="L587" s="20">
        <v>44182</v>
      </c>
      <c r="M587" s="19">
        <v>0.53125</v>
      </c>
      <c r="N587" s="19"/>
      <c r="S587" s="36"/>
      <c r="T587" s="36"/>
    </row>
    <row r="588" spans="1:20" s="38" customFormat="1" ht="15.75" x14ac:dyDescent="0.3">
      <c r="A588" s="36" t="str">
        <f xml:space="preserve"> IF( 'From SvanPC++'!A578= "", "", ('From SvanPC++'!A578))</f>
        <v/>
      </c>
      <c r="B588" s="35" t="s">
        <v>717</v>
      </c>
      <c r="C588" s="34">
        <v>41.7</v>
      </c>
      <c r="D588" s="36"/>
      <c r="E588" s="20">
        <v>44182</v>
      </c>
      <c r="F588" s="19">
        <v>0.54166666666666663</v>
      </c>
      <c r="H588" s="34">
        <v>41.7</v>
      </c>
      <c r="I588" s="106">
        <f>AVERAGE(H585:H588)</f>
        <v>41.825000000000003</v>
      </c>
      <c r="L588" s="20">
        <v>44182</v>
      </c>
      <c r="M588" s="19">
        <v>0.54166666666666663</v>
      </c>
      <c r="N588" s="106">
        <v>41.825000000000003</v>
      </c>
      <c r="S588" s="36"/>
      <c r="T588" s="36"/>
    </row>
    <row r="589" spans="1:20" s="38" customFormat="1" ht="15.75" hidden="1" x14ac:dyDescent="0.3">
      <c r="A589" s="36" t="str">
        <f xml:space="preserve"> IF( 'From SvanPC++'!A579= "", "", ('From SvanPC++'!A579))</f>
        <v/>
      </c>
      <c r="B589" s="35" t="s">
        <v>718</v>
      </c>
      <c r="C589" s="34">
        <v>41.7</v>
      </c>
      <c r="D589" s="36"/>
      <c r="E589" s="20">
        <v>44182</v>
      </c>
      <c r="F589" s="19">
        <v>0.55208333333333337</v>
      </c>
      <c r="H589" s="34">
        <v>41.7</v>
      </c>
      <c r="I589" s="19"/>
      <c r="L589" s="20">
        <v>44182</v>
      </c>
      <c r="M589" s="19">
        <v>0.55208333333333337</v>
      </c>
      <c r="N589" s="19"/>
      <c r="S589" s="36"/>
      <c r="T589" s="36"/>
    </row>
    <row r="590" spans="1:20" s="38" customFormat="1" ht="15.75" hidden="1" x14ac:dyDescent="0.3">
      <c r="A590" s="36" t="str">
        <f xml:space="preserve"> IF( 'From SvanPC++'!A580= "", "", ('From SvanPC++'!A580))</f>
        <v/>
      </c>
      <c r="B590" s="35" t="s">
        <v>719</v>
      </c>
      <c r="C590" s="34">
        <v>42.8</v>
      </c>
      <c r="D590" s="36"/>
      <c r="E590" s="20">
        <v>44182</v>
      </c>
      <c r="F590" s="19">
        <v>0.5625</v>
      </c>
      <c r="H590" s="34">
        <v>42.8</v>
      </c>
      <c r="I590" s="19"/>
      <c r="L590" s="20">
        <v>44182</v>
      </c>
      <c r="M590" s="19">
        <v>0.5625</v>
      </c>
      <c r="N590" s="19"/>
      <c r="S590" s="36"/>
      <c r="T590" s="36"/>
    </row>
    <row r="591" spans="1:20" s="38" customFormat="1" ht="15.75" hidden="1" x14ac:dyDescent="0.3">
      <c r="A591" s="36" t="str">
        <f xml:space="preserve"> IF( 'From SvanPC++'!A581= "", "", ('From SvanPC++'!A581))</f>
        <v/>
      </c>
      <c r="B591" s="35" t="s">
        <v>720</v>
      </c>
      <c r="C591" s="34">
        <v>41.6</v>
      </c>
      <c r="D591" s="36"/>
      <c r="E591" s="20">
        <v>44182</v>
      </c>
      <c r="F591" s="19">
        <v>0.57291666666666663</v>
      </c>
      <c r="H591" s="34">
        <v>41.6</v>
      </c>
      <c r="I591" s="19"/>
      <c r="L591" s="20">
        <v>44182</v>
      </c>
      <c r="M591" s="19">
        <v>0.57291666666666663</v>
      </c>
      <c r="N591" s="19"/>
      <c r="S591" s="36"/>
      <c r="T591" s="36"/>
    </row>
    <row r="592" spans="1:20" s="38" customFormat="1" ht="15.75" x14ac:dyDescent="0.3">
      <c r="A592" s="36" t="str">
        <f xml:space="preserve"> IF( 'From SvanPC++'!A582= "", "", ('From SvanPC++'!A582))</f>
        <v/>
      </c>
      <c r="B592" s="35" t="s">
        <v>721</v>
      </c>
      <c r="C592" s="34">
        <v>43</v>
      </c>
      <c r="D592" s="36"/>
      <c r="E592" s="20">
        <v>44182</v>
      </c>
      <c r="F592" s="19">
        <v>0.58333333333333337</v>
      </c>
      <c r="H592" s="34">
        <v>43</v>
      </c>
      <c r="I592" s="106">
        <f>AVERAGE(H589:H592)</f>
        <v>42.274999999999999</v>
      </c>
      <c r="L592" s="20">
        <v>44182</v>
      </c>
      <c r="M592" s="19">
        <v>0.58333333333333337</v>
      </c>
      <c r="N592" s="106">
        <v>42.274999999999999</v>
      </c>
      <c r="S592" s="36"/>
      <c r="T592" s="36"/>
    </row>
    <row r="593" spans="1:20" s="38" customFormat="1" ht="15.75" hidden="1" x14ac:dyDescent="0.3">
      <c r="A593" s="36" t="str">
        <f xml:space="preserve"> IF( 'From SvanPC++'!A583= "", "", ('From SvanPC++'!A583))</f>
        <v/>
      </c>
      <c r="B593" s="35" t="s">
        <v>722</v>
      </c>
      <c r="C593" s="34">
        <v>43.3</v>
      </c>
      <c r="D593" s="36"/>
      <c r="E593" s="20">
        <v>44182</v>
      </c>
      <c r="F593" s="19">
        <v>0.59375</v>
      </c>
      <c r="H593" s="34">
        <v>43.3</v>
      </c>
      <c r="I593" s="19"/>
      <c r="L593" s="20">
        <v>44182</v>
      </c>
      <c r="M593" s="19">
        <v>0.59375</v>
      </c>
      <c r="N593" s="19"/>
      <c r="S593" s="36"/>
      <c r="T593" s="36"/>
    </row>
    <row r="594" spans="1:20" s="38" customFormat="1" ht="15.75" hidden="1" x14ac:dyDescent="0.3">
      <c r="A594" s="36" t="str">
        <f xml:space="preserve"> IF( 'From SvanPC++'!A584= "", "", ('From SvanPC++'!A584))</f>
        <v/>
      </c>
      <c r="B594" s="35" t="s">
        <v>723</v>
      </c>
      <c r="C594" s="34">
        <v>43.9</v>
      </c>
      <c r="D594" s="36"/>
      <c r="E594" s="20">
        <v>44182</v>
      </c>
      <c r="F594" s="19">
        <v>0.60416666666666663</v>
      </c>
      <c r="H594" s="34">
        <v>43.9</v>
      </c>
      <c r="I594" s="19"/>
      <c r="L594" s="20">
        <v>44182</v>
      </c>
      <c r="M594" s="19">
        <v>0.60416666666666663</v>
      </c>
      <c r="N594" s="19"/>
      <c r="S594" s="36"/>
      <c r="T594" s="36"/>
    </row>
    <row r="595" spans="1:20" s="38" customFormat="1" ht="15.75" hidden="1" x14ac:dyDescent="0.3">
      <c r="A595" s="36" t="str">
        <f xml:space="preserve"> IF( 'From SvanPC++'!A585= "", "", ('From SvanPC++'!A585))</f>
        <v/>
      </c>
      <c r="B595" s="35" t="s">
        <v>724</v>
      </c>
      <c r="C595" s="34">
        <v>43.7</v>
      </c>
      <c r="D595" s="36"/>
      <c r="E595" s="20">
        <v>44182</v>
      </c>
      <c r="F595" s="19">
        <v>0.61458333333333337</v>
      </c>
      <c r="H595" s="34">
        <v>43.7</v>
      </c>
      <c r="I595" s="19"/>
      <c r="L595" s="20">
        <v>44182</v>
      </c>
      <c r="M595" s="19">
        <v>0.61458333333333337</v>
      </c>
      <c r="N595" s="19"/>
      <c r="S595" s="36"/>
      <c r="T595" s="36"/>
    </row>
    <row r="596" spans="1:20" s="38" customFormat="1" ht="15.75" x14ac:dyDescent="0.3">
      <c r="A596" s="36" t="str">
        <f xml:space="preserve"> IF( 'From SvanPC++'!A586= "", "", ('From SvanPC++'!A586))</f>
        <v/>
      </c>
      <c r="B596" s="35" t="s">
        <v>725</v>
      </c>
      <c r="C596" s="34">
        <v>43.9</v>
      </c>
      <c r="D596" s="36"/>
      <c r="E596" s="20">
        <v>44182</v>
      </c>
      <c r="F596" s="19">
        <v>0.625</v>
      </c>
      <c r="H596" s="34">
        <v>43.9</v>
      </c>
      <c r="I596" s="106">
        <f>AVERAGE(H593:H596)</f>
        <v>43.699999999999996</v>
      </c>
      <c r="L596" s="20">
        <v>44182</v>
      </c>
      <c r="M596" s="19">
        <v>0.625</v>
      </c>
      <c r="N596" s="106">
        <v>43.699999999999996</v>
      </c>
      <c r="S596" s="36"/>
      <c r="T596" s="36"/>
    </row>
    <row r="597" spans="1:20" s="38" customFormat="1" ht="15.75" hidden="1" x14ac:dyDescent="0.3">
      <c r="A597" s="36" t="str">
        <f xml:space="preserve"> IF( 'From SvanPC++'!A587= "", "", ('From SvanPC++'!A587))</f>
        <v/>
      </c>
      <c r="B597" s="35" t="s">
        <v>726</v>
      </c>
      <c r="C597" s="34">
        <v>43.9</v>
      </c>
      <c r="D597" s="36"/>
      <c r="E597" s="20">
        <v>44182</v>
      </c>
      <c r="F597" s="19">
        <v>0.63541666666666663</v>
      </c>
      <c r="H597" s="34">
        <v>43.9</v>
      </c>
      <c r="I597" s="19"/>
      <c r="L597" s="20">
        <v>44182</v>
      </c>
      <c r="M597" s="19">
        <v>0.63541666666666663</v>
      </c>
      <c r="N597" s="19"/>
      <c r="S597" s="36"/>
      <c r="T597" s="36"/>
    </row>
    <row r="598" spans="1:20" s="38" customFormat="1" ht="15.75" hidden="1" x14ac:dyDescent="0.3">
      <c r="A598" s="36" t="str">
        <f xml:space="preserve"> IF( 'From SvanPC++'!A588= "", "", ('From SvanPC++'!A588))</f>
        <v/>
      </c>
      <c r="B598" s="35" t="s">
        <v>727</v>
      </c>
      <c r="C598" s="34">
        <v>42.1</v>
      </c>
      <c r="D598" s="36"/>
      <c r="E598" s="20">
        <v>44182</v>
      </c>
      <c r="F598" s="19">
        <v>0.64583333333333337</v>
      </c>
      <c r="H598" s="34">
        <v>42.1</v>
      </c>
      <c r="I598" s="19"/>
      <c r="L598" s="20">
        <v>44182</v>
      </c>
      <c r="M598" s="19">
        <v>0.64583333333333337</v>
      </c>
      <c r="N598" s="19"/>
      <c r="S598" s="36"/>
      <c r="T598" s="36"/>
    </row>
    <row r="599" spans="1:20" s="38" customFormat="1" ht="15.75" hidden="1" x14ac:dyDescent="0.3">
      <c r="A599" s="36" t="str">
        <f xml:space="preserve"> IF( 'From SvanPC++'!A589= "", "", ('From SvanPC++'!A589))</f>
        <v/>
      </c>
      <c r="B599" s="35" t="s">
        <v>728</v>
      </c>
      <c r="C599" s="34">
        <v>43.4</v>
      </c>
      <c r="D599" s="36"/>
      <c r="E599" s="20">
        <v>44182</v>
      </c>
      <c r="F599" s="19">
        <v>0.65625</v>
      </c>
      <c r="H599" s="34">
        <v>43.4</v>
      </c>
      <c r="I599" s="19"/>
      <c r="L599" s="20">
        <v>44182</v>
      </c>
      <c r="M599" s="19">
        <v>0.65625</v>
      </c>
      <c r="N599" s="19"/>
      <c r="S599" s="36"/>
      <c r="T599" s="36"/>
    </row>
    <row r="600" spans="1:20" s="38" customFormat="1" ht="15.75" x14ac:dyDescent="0.3">
      <c r="A600" s="36" t="str">
        <f xml:space="preserve"> IF( 'From SvanPC++'!A590= "", "", ('From SvanPC++'!A590))</f>
        <v/>
      </c>
      <c r="B600" s="35" t="s">
        <v>729</v>
      </c>
      <c r="C600" s="34">
        <v>44.1</v>
      </c>
      <c r="D600" s="36"/>
      <c r="E600" s="20">
        <v>44182</v>
      </c>
      <c r="F600" s="19">
        <v>0.66666666666666663</v>
      </c>
      <c r="H600" s="34">
        <v>44.1</v>
      </c>
      <c r="I600" s="106">
        <f>AVERAGE(H597:H600)</f>
        <v>43.375</v>
      </c>
      <c r="L600" s="20">
        <v>44182</v>
      </c>
      <c r="M600" s="19">
        <v>0.66666666666666663</v>
      </c>
      <c r="N600" s="106">
        <v>43.375</v>
      </c>
      <c r="S600" s="36"/>
      <c r="T600" s="36"/>
    </row>
    <row r="601" spans="1:20" s="38" customFormat="1" ht="15.75" hidden="1" x14ac:dyDescent="0.3">
      <c r="A601" s="36" t="str">
        <f xml:space="preserve"> IF( 'From SvanPC++'!A591= "", "", ('From SvanPC++'!A591))</f>
        <v/>
      </c>
      <c r="B601" s="35" t="s">
        <v>730</v>
      </c>
      <c r="C601" s="34">
        <v>44.4</v>
      </c>
      <c r="D601" s="36"/>
      <c r="E601" s="20">
        <v>44182</v>
      </c>
      <c r="F601" s="19">
        <v>0.67708333333333337</v>
      </c>
      <c r="H601" s="34">
        <v>44.4</v>
      </c>
      <c r="I601" s="19"/>
      <c r="L601" s="20">
        <v>44182</v>
      </c>
      <c r="M601" s="19">
        <v>0.67708333333333337</v>
      </c>
      <c r="N601" s="19"/>
      <c r="S601" s="36"/>
      <c r="T601" s="36"/>
    </row>
    <row r="602" spans="1:20" s="38" customFormat="1" ht="15.75" hidden="1" x14ac:dyDescent="0.3">
      <c r="A602" s="36" t="str">
        <f xml:space="preserve"> IF( 'From SvanPC++'!A592= "", "", ('From SvanPC++'!A592))</f>
        <v/>
      </c>
      <c r="B602" s="35" t="s">
        <v>731</v>
      </c>
      <c r="C602" s="34">
        <v>44.3</v>
      </c>
      <c r="D602" s="36"/>
      <c r="E602" s="20">
        <v>44182</v>
      </c>
      <c r="F602" s="19">
        <v>0.6875</v>
      </c>
      <c r="H602" s="34">
        <v>44.3</v>
      </c>
      <c r="I602" s="19"/>
      <c r="L602" s="20">
        <v>44182</v>
      </c>
      <c r="M602" s="19">
        <v>0.6875</v>
      </c>
      <c r="N602" s="19"/>
      <c r="S602" s="36"/>
      <c r="T602" s="36"/>
    </row>
    <row r="603" spans="1:20" s="38" customFormat="1" ht="15.75" hidden="1" x14ac:dyDescent="0.3">
      <c r="A603" s="36" t="str">
        <f xml:space="preserve"> IF( 'From SvanPC++'!A593= "", "", ('From SvanPC++'!A593))</f>
        <v/>
      </c>
      <c r="B603" s="35" t="s">
        <v>732</v>
      </c>
      <c r="C603" s="34">
        <v>44.9</v>
      </c>
      <c r="D603" s="36"/>
      <c r="E603" s="20">
        <v>44182</v>
      </c>
      <c r="F603" s="19">
        <v>0.69791666666666663</v>
      </c>
      <c r="H603" s="34">
        <v>44.9</v>
      </c>
      <c r="I603" s="19"/>
      <c r="L603" s="20">
        <v>44182</v>
      </c>
      <c r="M603" s="19">
        <v>0.69791666666666663</v>
      </c>
      <c r="N603" s="19"/>
      <c r="S603" s="36"/>
      <c r="T603" s="36"/>
    </row>
    <row r="604" spans="1:20" s="38" customFormat="1" ht="15.75" x14ac:dyDescent="0.3">
      <c r="A604" s="36" t="str">
        <f xml:space="preserve"> IF( 'From SvanPC++'!A594= "", "", ('From SvanPC++'!A594))</f>
        <v/>
      </c>
      <c r="B604" s="35" t="s">
        <v>733</v>
      </c>
      <c r="C604" s="34">
        <v>43.1</v>
      </c>
      <c r="D604" s="36"/>
      <c r="E604" s="20">
        <v>44182</v>
      </c>
      <c r="F604" s="19">
        <v>0.70833333333333337</v>
      </c>
      <c r="H604" s="34">
        <v>43.1</v>
      </c>
      <c r="I604" s="106">
        <f>AVERAGE(H601:H604)</f>
        <v>44.174999999999997</v>
      </c>
      <c r="L604" s="20">
        <v>44182</v>
      </c>
      <c r="M604" s="19">
        <v>0.70833333333333337</v>
      </c>
      <c r="N604" s="106">
        <v>44.174999999999997</v>
      </c>
      <c r="S604" s="36"/>
      <c r="T604" s="36"/>
    </row>
    <row r="605" spans="1:20" s="38" customFormat="1" ht="15.75" hidden="1" x14ac:dyDescent="0.3">
      <c r="A605" s="36" t="str">
        <f xml:space="preserve"> IF( 'From SvanPC++'!A595= "", "", ('From SvanPC++'!A595))</f>
        <v/>
      </c>
      <c r="B605" s="35" t="s">
        <v>734</v>
      </c>
      <c r="C605" s="34">
        <v>45.5</v>
      </c>
      <c r="D605" s="36"/>
      <c r="E605" s="20">
        <v>44182</v>
      </c>
      <c r="F605" s="19">
        <v>0.71875</v>
      </c>
      <c r="H605" s="34">
        <v>45.5</v>
      </c>
      <c r="I605" s="19"/>
      <c r="L605" s="20">
        <v>44182</v>
      </c>
      <c r="M605" s="19">
        <v>0.71875</v>
      </c>
      <c r="N605" s="19"/>
      <c r="S605" s="36"/>
      <c r="T605" s="36"/>
    </row>
    <row r="606" spans="1:20" s="38" customFormat="1" ht="15.75" hidden="1" x14ac:dyDescent="0.3">
      <c r="A606" s="36" t="str">
        <f xml:space="preserve"> IF( 'From SvanPC++'!A596= "", "", ('From SvanPC++'!A596))</f>
        <v/>
      </c>
      <c r="B606" s="35" t="s">
        <v>735</v>
      </c>
      <c r="C606" s="34">
        <v>44.3</v>
      </c>
      <c r="D606" s="36"/>
      <c r="E606" s="20">
        <v>44182</v>
      </c>
      <c r="F606" s="19">
        <v>0.72916666666666663</v>
      </c>
      <c r="H606" s="34">
        <v>44.3</v>
      </c>
      <c r="I606" s="19"/>
      <c r="L606" s="20">
        <v>44182</v>
      </c>
      <c r="M606" s="19">
        <v>0.72916666666666663</v>
      </c>
      <c r="N606" s="19"/>
      <c r="S606" s="36"/>
      <c r="T606" s="36"/>
    </row>
    <row r="607" spans="1:20" s="38" customFormat="1" ht="15.75" hidden="1" x14ac:dyDescent="0.3">
      <c r="A607" s="36" t="str">
        <f xml:space="preserve"> IF( 'From SvanPC++'!A597= "", "", ('From SvanPC++'!A597))</f>
        <v/>
      </c>
      <c r="B607" s="35" t="s">
        <v>736</v>
      </c>
      <c r="C607" s="34">
        <v>44.7</v>
      </c>
      <c r="D607" s="36"/>
      <c r="E607" s="20">
        <v>44182</v>
      </c>
      <c r="F607" s="19">
        <v>0.73958333333333337</v>
      </c>
      <c r="H607" s="34">
        <v>44.7</v>
      </c>
      <c r="I607" s="19"/>
      <c r="L607" s="20">
        <v>44182</v>
      </c>
      <c r="M607" s="19">
        <v>0.73958333333333337</v>
      </c>
      <c r="N607" s="19"/>
      <c r="S607" s="36"/>
      <c r="T607" s="36"/>
    </row>
    <row r="608" spans="1:20" s="38" customFormat="1" ht="15.75" x14ac:dyDescent="0.3">
      <c r="A608" s="36" t="str">
        <f xml:space="preserve"> IF( 'From SvanPC++'!A598= "", "", ('From SvanPC++'!A598))</f>
        <v/>
      </c>
      <c r="B608" s="35" t="s">
        <v>737</v>
      </c>
      <c r="C608" s="34">
        <v>44.7</v>
      </c>
      <c r="D608" s="36"/>
      <c r="E608" s="20">
        <v>44182</v>
      </c>
      <c r="F608" s="19">
        <v>0.75</v>
      </c>
      <c r="H608" s="34">
        <v>44.7</v>
      </c>
      <c r="I608" s="106">
        <f>AVERAGE(H605:H608)</f>
        <v>44.8</v>
      </c>
      <c r="L608" s="20">
        <v>44182</v>
      </c>
      <c r="M608" s="19">
        <v>0.75</v>
      </c>
      <c r="N608" s="106">
        <v>44.8</v>
      </c>
      <c r="S608" s="36"/>
      <c r="T608" s="36"/>
    </row>
    <row r="609" spans="1:20" s="38" customFormat="1" ht="15.75" hidden="1" x14ac:dyDescent="0.3">
      <c r="A609" s="36" t="str">
        <f xml:space="preserve"> IF( 'From SvanPC++'!A599= "", "", ('From SvanPC++'!A599))</f>
        <v/>
      </c>
      <c r="B609" s="35" t="s">
        <v>738</v>
      </c>
      <c r="C609" s="34">
        <v>44.5</v>
      </c>
      <c r="D609" s="36"/>
      <c r="E609" s="20">
        <v>44182</v>
      </c>
      <c r="F609" s="19">
        <v>0.76041666666666663</v>
      </c>
      <c r="H609" s="34">
        <v>44.5</v>
      </c>
      <c r="I609" s="19"/>
      <c r="L609" s="20">
        <v>44182</v>
      </c>
      <c r="M609" s="19">
        <v>0.76041666666666663</v>
      </c>
      <c r="N609" s="19"/>
      <c r="S609" s="36"/>
      <c r="T609" s="36"/>
    </row>
    <row r="610" spans="1:20" s="38" customFormat="1" ht="15.75" hidden="1" x14ac:dyDescent="0.3">
      <c r="A610" s="36" t="str">
        <f xml:space="preserve"> IF( 'From SvanPC++'!A600= "", "", ('From SvanPC++'!A600))</f>
        <v/>
      </c>
      <c r="B610" s="35" t="s">
        <v>739</v>
      </c>
      <c r="C610" s="34">
        <v>43</v>
      </c>
      <c r="D610" s="36"/>
      <c r="E610" s="20">
        <v>44182</v>
      </c>
      <c r="F610" s="19">
        <v>0.77083333333333337</v>
      </c>
      <c r="H610" s="34">
        <v>43</v>
      </c>
      <c r="I610" s="19"/>
      <c r="L610" s="20">
        <v>44182</v>
      </c>
      <c r="M610" s="19">
        <v>0.77083333333333337</v>
      </c>
      <c r="N610" s="19"/>
      <c r="S610" s="36"/>
      <c r="T610" s="36"/>
    </row>
    <row r="611" spans="1:20" s="38" customFormat="1" ht="15.75" hidden="1" x14ac:dyDescent="0.3">
      <c r="A611" s="36" t="str">
        <f xml:space="preserve"> IF( 'From SvanPC++'!A601= "", "", ('From SvanPC++'!A601))</f>
        <v/>
      </c>
      <c r="B611" s="35" t="s">
        <v>740</v>
      </c>
      <c r="C611" s="34">
        <v>39.9</v>
      </c>
      <c r="D611" s="36"/>
      <c r="E611" s="20">
        <v>44182</v>
      </c>
      <c r="F611" s="19">
        <v>0.78125</v>
      </c>
      <c r="H611" s="34">
        <v>39.9</v>
      </c>
      <c r="I611" s="19"/>
      <c r="L611" s="20">
        <v>44182</v>
      </c>
      <c r="M611" s="19">
        <v>0.78125</v>
      </c>
      <c r="N611" s="19"/>
      <c r="S611" s="36"/>
      <c r="T611" s="36"/>
    </row>
    <row r="612" spans="1:20" s="38" customFormat="1" ht="15.75" x14ac:dyDescent="0.3">
      <c r="A612" s="36" t="str">
        <f xml:space="preserve"> IF( 'From SvanPC++'!A602= "", "", ('From SvanPC++'!A602))</f>
        <v/>
      </c>
      <c r="B612" s="35" t="s">
        <v>741</v>
      </c>
      <c r="C612" s="34">
        <v>40</v>
      </c>
      <c r="D612" s="36"/>
      <c r="E612" s="20">
        <v>44182</v>
      </c>
      <c r="F612" s="19">
        <v>0.79166666666666663</v>
      </c>
      <c r="H612" s="34">
        <v>40</v>
      </c>
      <c r="I612" s="106">
        <f>AVERAGE(H609:H612)</f>
        <v>41.85</v>
      </c>
      <c r="L612" s="20">
        <v>44182</v>
      </c>
      <c r="M612" s="19">
        <v>0.79166666666666663</v>
      </c>
      <c r="N612" s="106">
        <v>41.85</v>
      </c>
      <c r="S612" s="36"/>
      <c r="T612" s="36"/>
    </row>
    <row r="613" spans="1:20" s="38" customFormat="1" ht="15.75" hidden="1" x14ac:dyDescent="0.3">
      <c r="A613" s="36" t="str">
        <f xml:space="preserve"> IF( 'From SvanPC++'!A603= "", "", ('From SvanPC++'!A603))</f>
        <v/>
      </c>
      <c r="B613" s="35" t="s">
        <v>742</v>
      </c>
      <c r="C613" s="34">
        <v>39.6</v>
      </c>
      <c r="D613" s="36"/>
      <c r="E613" s="20">
        <v>44182</v>
      </c>
      <c r="F613" s="19">
        <v>0.80208333333333337</v>
      </c>
      <c r="H613" s="34">
        <v>39.6</v>
      </c>
      <c r="I613" s="19"/>
      <c r="L613" s="20">
        <v>44182</v>
      </c>
      <c r="M613" s="19">
        <v>0.80208333333333337</v>
      </c>
      <c r="N613" s="19"/>
      <c r="S613" s="36"/>
      <c r="T613" s="36"/>
    </row>
    <row r="614" spans="1:20" s="38" customFormat="1" ht="15.75" hidden="1" x14ac:dyDescent="0.3">
      <c r="A614" s="36" t="str">
        <f xml:space="preserve"> IF( 'From SvanPC++'!A604= "", "", ('From SvanPC++'!A604))</f>
        <v/>
      </c>
      <c r="B614" s="35" t="s">
        <v>743</v>
      </c>
      <c r="C614" s="34">
        <v>38.1</v>
      </c>
      <c r="D614" s="36"/>
      <c r="E614" s="20">
        <v>44182</v>
      </c>
      <c r="F614" s="19">
        <v>0.8125</v>
      </c>
      <c r="H614" s="34">
        <v>38.1</v>
      </c>
      <c r="I614" s="19"/>
      <c r="L614" s="20">
        <v>44182</v>
      </c>
      <c r="M614" s="19">
        <v>0.8125</v>
      </c>
      <c r="N614" s="19"/>
      <c r="S614" s="36"/>
      <c r="T614" s="36"/>
    </row>
    <row r="615" spans="1:20" s="38" customFormat="1" ht="15.75" hidden="1" x14ac:dyDescent="0.3">
      <c r="A615" s="36" t="str">
        <f xml:space="preserve"> IF( 'From SvanPC++'!A605= "", "", ('From SvanPC++'!A605))</f>
        <v/>
      </c>
      <c r="B615" s="35" t="s">
        <v>744</v>
      </c>
      <c r="C615" s="34">
        <v>38.4</v>
      </c>
      <c r="D615" s="36"/>
      <c r="E615" s="20">
        <v>44182</v>
      </c>
      <c r="F615" s="19">
        <v>0.82291666666666663</v>
      </c>
      <c r="H615" s="34">
        <v>38.4</v>
      </c>
      <c r="I615" s="19"/>
      <c r="L615" s="20">
        <v>44182</v>
      </c>
      <c r="M615" s="19">
        <v>0.82291666666666663</v>
      </c>
      <c r="N615" s="19"/>
      <c r="S615" s="36"/>
      <c r="T615" s="36"/>
    </row>
    <row r="616" spans="1:20" s="38" customFormat="1" ht="15.75" x14ac:dyDescent="0.3">
      <c r="A616" s="36" t="str">
        <f xml:space="preserve"> IF( 'From SvanPC++'!A606= "", "", ('From SvanPC++'!A606))</f>
        <v/>
      </c>
      <c r="B616" s="35" t="s">
        <v>745</v>
      </c>
      <c r="C616" s="34">
        <v>37.200000000000003</v>
      </c>
      <c r="D616" s="36"/>
      <c r="E616" s="20">
        <v>44182</v>
      </c>
      <c r="F616" s="19">
        <v>0.83333333333333337</v>
      </c>
      <c r="H616" s="34">
        <v>37.200000000000003</v>
      </c>
      <c r="I616" s="106">
        <f>AVERAGE(H613:H616)</f>
        <v>38.325000000000003</v>
      </c>
      <c r="L616" s="20">
        <v>44182</v>
      </c>
      <c r="M616" s="19">
        <v>0.83333333333333337</v>
      </c>
      <c r="N616" s="106">
        <v>38.325000000000003</v>
      </c>
      <c r="S616" s="36"/>
      <c r="T616" s="36"/>
    </row>
    <row r="617" spans="1:20" s="38" customFormat="1" ht="15.75" hidden="1" x14ac:dyDescent="0.3">
      <c r="A617" s="36" t="str">
        <f xml:space="preserve"> IF( 'From SvanPC++'!A607= "", "", ('From SvanPC++'!A607))</f>
        <v/>
      </c>
      <c r="B617" s="35" t="s">
        <v>746</v>
      </c>
      <c r="C617" s="34">
        <v>37.799999999999997</v>
      </c>
      <c r="D617" s="36"/>
      <c r="E617" s="20">
        <v>44182</v>
      </c>
      <c r="F617" s="19">
        <v>0.84375</v>
      </c>
      <c r="H617" s="34">
        <v>37.799999999999997</v>
      </c>
      <c r="I617" s="19"/>
      <c r="L617" s="20">
        <v>44182</v>
      </c>
      <c r="M617" s="19">
        <v>0.84375</v>
      </c>
      <c r="N617" s="19"/>
      <c r="S617" s="36"/>
      <c r="T617" s="36"/>
    </row>
    <row r="618" spans="1:20" s="38" customFormat="1" ht="15.75" hidden="1" x14ac:dyDescent="0.3">
      <c r="A618" s="36" t="str">
        <f xml:space="preserve"> IF( 'From SvanPC++'!A608= "", "", ('From SvanPC++'!A608))</f>
        <v/>
      </c>
      <c r="B618" s="35" t="s">
        <v>747</v>
      </c>
      <c r="C618" s="34">
        <v>37.299999999999997</v>
      </c>
      <c r="D618" s="36"/>
      <c r="E618" s="20">
        <v>44182</v>
      </c>
      <c r="F618" s="19">
        <v>0.85416666666666663</v>
      </c>
      <c r="H618" s="34">
        <v>37.299999999999997</v>
      </c>
      <c r="I618" s="19"/>
      <c r="L618" s="20">
        <v>44182</v>
      </c>
      <c r="M618" s="19">
        <v>0.85416666666666663</v>
      </c>
      <c r="N618" s="19"/>
      <c r="S618" s="36"/>
      <c r="T618" s="36"/>
    </row>
    <row r="619" spans="1:20" s="38" customFormat="1" ht="15.75" hidden="1" x14ac:dyDescent="0.3">
      <c r="A619" s="36" t="str">
        <f xml:space="preserve"> IF( 'From SvanPC++'!A609= "", "", ('From SvanPC++'!A609))</f>
        <v/>
      </c>
      <c r="B619" s="35" t="s">
        <v>748</v>
      </c>
      <c r="C619" s="34">
        <v>38</v>
      </c>
      <c r="D619" s="36"/>
      <c r="E619" s="20">
        <v>44182</v>
      </c>
      <c r="F619" s="19">
        <v>0.86458333333333337</v>
      </c>
      <c r="H619" s="34">
        <v>38</v>
      </c>
      <c r="I619" s="19"/>
      <c r="L619" s="20">
        <v>44182</v>
      </c>
      <c r="M619" s="19">
        <v>0.86458333333333337</v>
      </c>
      <c r="N619" s="19"/>
      <c r="S619" s="36"/>
      <c r="T619" s="36"/>
    </row>
    <row r="620" spans="1:20" s="38" customFormat="1" ht="15.75" x14ac:dyDescent="0.3">
      <c r="A620" s="36" t="str">
        <f xml:space="preserve"> IF( 'From SvanPC++'!A610= "", "", ('From SvanPC++'!A610))</f>
        <v/>
      </c>
      <c r="B620" s="35" t="s">
        <v>749</v>
      </c>
      <c r="C620" s="34">
        <v>40.1</v>
      </c>
      <c r="D620" s="36"/>
      <c r="E620" s="20">
        <v>44182</v>
      </c>
      <c r="F620" s="19">
        <v>0.875</v>
      </c>
      <c r="H620" s="34">
        <v>40.1</v>
      </c>
      <c r="I620" s="106">
        <f>AVERAGE(H617:H620)</f>
        <v>38.299999999999997</v>
      </c>
      <c r="L620" s="20">
        <v>44182</v>
      </c>
      <c r="M620" s="19">
        <v>0.875</v>
      </c>
      <c r="N620" s="106">
        <v>38.299999999999997</v>
      </c>
      <c r="S620" s="36"/>
      <c r="T620" s="36"/>
    </row>
    <row r="621" spans="1:20" s="38" customFormat="1" ht="15.75" hidden="1" x14ac:dyDescent="0.3">
      <c r="A621" s="36" t="str">
        <f xml:space="preserve"> IF( 'From SvanPC++'!A611= "", "", ('From SvanPC++'!A611))</f>
        <v/>
      </c>
      <c r="B621" s="35" t="s">
        <v>750</v>
      </c>
      <c r="C621" s="34">
        <v>44.1</v>
      </c>
      <c r="D621" s="36"/>
      <c r="E621" s="20">
        <v>44182</v>
      </c>
      <c r="F621" s="19">
        <v>0.88541666666666663</v>
      </c>
      <c r="H621" s="34">
        <v>44.1</v>
      </c>
      <c r="I621" s="19"/>
      <c r="L621" s="20">
        <v>44182</v>
      </c>
      <c r="M621" s="19">
        <v>0.88541666666666663</v>
      </c>
      <c r="N621" s="19"/>
      <c r="S621" s="36"/>
      <c r="T621" s="36"/>
    </row>
    <row r="622" spans="1:20" s="38" customFormat="1" ht="15.75" hidden="1" x14ac:dyDescent="0.3">
      <c r="A622" s="36" t="str">
        <f xml:space="preserve"> IF( 'From SvanPC++'!A612= "", "", ('From SvanPC++'!A612))</f>
        <v/>
      </c>
      <c r="B622" s="35" t="s">
        <v>751</v>
      </c>
      <c r="C622" s="34">
        <v>37.700000000000003</v>
      </c>
      <c r="D622" s="36"/>
      <c r="E622" s="20">
        <v>44182</v>
      </c>
      <c r="F622" s="19">
        <v>0.89583333333333337</v>
      </c>
      <c r="H622" s="34">
        <v>37.700000000000003</v>
      </c>
      <c r="I622" s="19"/>
      <c r="L622" s="20">
        <v>44182</v>
      </c>
      <c r="M622" s="19">
        <v>0.89583333333333337</v>
      </c>
      <c r="N622" s="19"/>
      <c r="S622" s="36"/>
      <c r="T622" s="36"/>
    </row>
    <row r="623" spans="1:20" s="38" customFormat="1" ht="15.75" hidden="1" x14ac:dyDescent="0.3">
      <c r="A623" s="36" t="str">
        <f xml:space="preserve"> IF( 'From SvanPC++'!A613= "", "", ('From SvanPC++'!A613))</f>
        <v/>
      </c>
      <c r="B623" s="35" t="s">
        <v>752</v>
      </c>
      <c r="C623" s="34">
        <v>38.1</v>
      </c>
      <c r="D623" s="36"/>
      <c r="E623" s="20">
        <v>44182</v>
      </c>
      <c r="F623" s="19">
        <v>0.90625</v>
      </c>
      <c r="H623" s="34">
        <v>38.1</v>
      </c>
      <c r="I623" s="19"/>
      <c r="L623" s="20">
        <v>44182</v>
      </c>
      <c r="M623" s="19">
        <v>0.90625</v>
      </c>
      <c r="N623" s="19"/>
      <c r="S623" s="36"/>
      <c r="T623" s="36"/>
    </row>
    <row r="624" spans="1:20" s="38" customFormat="1" ht="15.75" x14ac:dyDescent="0.3">
      <c r="A624" s="36" t="str">
        <f xml:space="preserve"> IF( 'From SvanPC++'!A614= "", "", ('From SvanPC++'!A614))</f>
        <v/>
      </c>
      <c r="B624" s="35" t="s">
        <v>753</v>
      </c>
      <c r="C624" s="34">
        <v>36.4</v>
      </c>
      <c r="D624" s="36"/>
      <c r="E624" s="20">
        <v>44182</v>
      </c>
      <c r="F624" s="19">
        <v>0.91666666666666663</v>
      </c>
      <c r="H624" s="34">
        <v>36.4</v>
      </c>
      <c r="I624" s="106">
        <f>AVERAGE(H621:H624)</f>
        <v>39.075000000000003</v>
      </c>
      <c r="L624" s="20">
        <v>44182</v>
      </c>
      <c r="M624" s="19">
        <v>0.91666666666666663</v>
      </c>
      <c r="N624" s="106">
        <v>39.075000000000003</v>
      </c>
      <c r="S624" s="36"/>
      <c r="T624" s="36"/>
    </row>
    <row r="625" spans="1:20" s="38" customFormat="1" ht="15.75" hidden="1" x14ac:dyDescent="0.3">
      <c r="A625" s="36" t="str">
        <f xml:space="preserve"> IF( 'From SvanPC++'!A615= "", "", ('From SvanPC++'!A615))</f>
        <v/>
      </c>
      <c r="B625" s="35" t="s">
        <v>754</v>
      </c>
      <c r="C625" s="34">
        <v>36.1</v>
      </c>
      <c r="D625" s="36"/>
      <c r="E625" s="20">
        <v>44182</v>
      </c>
      <c r="F625" s="19">
        <v>0.92708333333333337</v>
      </c>
      <c r="H625" s="34">
        <v>36.1</v>
      </c>
      <c r="I625" s="19"/>
      <c r="L625" s="20">
        <v>44182</v>
      </c>
      <c r="M625" s="19">
        <v>0.92708333333333337</v>
      </c>
      <c r="N625" s="19"/>
      <c r="S625" s="36"/>
      <c r="T625" s="36"/>
    </row>
    <row r="626" spans="1:20" s="38" customFormat="1" ht="15.75" hidden="1" x14ac:dyDescent="0.3">
      <c r="A626" s="36" t="str">
        <f xml:space="preserve"> IF( 'From SvanPC++'!A616= "", "", ('From SvanPC++'!A616))</f>
        <v/>
      </c>
      <c r="B626" s="35" t="s">
        <v>755</v>
      </c>
      <c r="C626" s="34">
        <v>36</v>
      </c>
      <c r="D626" s="36"/>
      <c r="E626" s="20">
        <v>44182</v>
      </c>
      <c r="F626" s="19">
        <v>0.9375</v>
      </c>
      <c r="H626" s="34">
        <v>36</v>
      </c>
      <c r="I626" s="19"/>
      <c r="L626" s="20">
        <v>44182</v>
      </c>
      <c r="M626" s="19">
        <v>0.9375</v>
      </c>
      <c r="N626" s="19"/>
      <c r="S626" s="36"/>
      <c r="T626" s="36"/>
    </row>
    <row r="627" spans="1:20" s="38" customFormat="1" ht="15.75" hidden="1" x14ac:dyDescent="0.3">
      <c r="A627" s="36" t="str">
        <f xml:space="preserve"> IF( 'From SvanPC++'!A617= "", "", ('From SvanPC++'!A617))</f>
        <v/>
      </c>
      <c r="B627" s="35" t="s">
        <v>756</v>
      </c>
      <c r="C627" s="34">
        <v>33.299999999999997</v>
      </c>
      <c r="D627" s="36"/>
      <c r="E627" s="20">
        <v>44182</v>
      </c>
      <c r="F627" s="19">
        <v>0.94791666666666663</v>
      </c>
      <c r="H627" s="34">
        <v>33.299999999999997</v>
      </c>
      <c r="I627" s="19"/>
      <c r="L627" s="20">
        <v>44182</v>
      </c>
      <c r="M627" s="19">
        <v>0.94791666666666663</v>
      </c>
      <c r="N627" s="19"/>
      <c r="S627" s="36"/>
      <c r="T627" s="36"/>
    </row>
    <row r="628" spans="1:20" s="38" customFormat="1" ht="15.75" x14ac:dyDescent="0.3">
      <c r="A628" s="36" t="str">
        <f xml:space="preserve"> IF( 'From SvanPC++'!A618= "", "", ('From SvanPC++'!A618))</f>
        <v/>
      </c>
      <c r="B628" s="35" t="s">
        <v>757</v>
      </c>
      <c r="C628" s="34">
        <v>33.799999999999997</v>
      </c>
      <c r="D628" s="36"/>
      <c r="E628" s="20">
        <v>44182</v>
      </c>
      <c r="F628" s="19">
        <v>0.95833333333333337</v>
      </c>
      <c r="H628" s="34">
        <v>33.799999999999997</v>
      </c>
      <c r="I628" s="106">
        <f>AVERAGE(H625:H628)</f>
        <v>34.799999999999997</v>
      </c>
      <c r="L628" s="20">
        <v>44182</v>
      </c>
      <c r="M628" s="19">
        <v>0.95833333333333337</v>
      </c>
      <c r="N628" s="106">
        <v>34.799999999999997</v>
      </c>
      <c r="S628" s="36"/>
      <c r="T628" s="36"/>
    </row>
    <row r="629" spans="1:20" s="38" customFormat="1" ht="15.75" hidden="1" x14ac:dyDescent="0.3">
      <c r="A629" s="36" t="str">
        <f xml:space="preserve"> IF( 'From SvanPC++'!A619= "", "", ('From SvanPC++'!A619))</f>
        <v/>
      </c>
      <c r="B629" s="35" t="s">
        <v>758</v>
      </c>
      <c r="C629" s="34">
        <v>31.6</v>
      </c>
      <c r="D629" s="36"/>
      <c r="E629" s="20">
        <v>44182</v>
      </c>
      <c r="F629" s="19">
        <v>0.96875</v>
      </c>
      <c r="H629" s="34">
        <v>31.6</v>
      </c>
      <c r="I629" s="19"/>
      <c r="L629" s="20">
        <v>44182</v>
      </c>
      <c r="M629" s="19">
        <v>0.96875</v>
      </c>
      <c r="N629" s="19"/>
      <c r="S629" s="36"/>
      <c r="T629" s="36"/>
    </row>
    <row r="630" spans="1:20" s="38" customFormat="1" ht="15.75" hidden="1" x14ac:dyDescent="0.3">
      <c r="A630" s="36" t="str">
        <f xml:space="preserve"> IF( 'From SvanPC++'!A620= "", "", ('From SvanPC++'!A620))</f>
        <v/>
      </c>
      <c r="B630" s="35" t="s">
        <v>759</v>
      </c>
      <c r="C630" s="34">
        <v>33.700000000000003</v>
      </c>
      <c r="D630" s="36"/>
      <c r="E630" s="20">
        <v>44182</v>
      </c>
      <c r="F630" s="19">
        <v>0.97916666666666663</v>
      </c>
      <c r="H630" s="34">
        <v>33.700000000000003</v>
      </c>
      <c r="I630" s="19"/>
      <c r="L630" s="20">
        <v>44182</v>
      </c>
      <c r="M630" s="19">
        <v>0.97916666666666663</v>
      </c>
      <c r="N630" s="19"/>
      <c r="S630" s="36"/>
      <c r="T630" s="36"/>
    </row>
    <row r="631" spans="1:20" s="38" customFormat="1" ht="15.75" hidden="1" x14ac:dyDescent="0.3">
      <c r="A631" s="36" t="str">
        <f xml:space="preserve"> IF( 'From SvanPC++'!A621= "", "", ('From SvanPC++'!A621))</f>
        <v/>
      </c>
      <c r="B631" s="35" t="s">
        <v>760</v>
      </c>
      <c r="C631" s="34">
        <v>35.9</v>
      </c>
      <c r="D631" s="36"/>
      <c r="E631" s="20">
        <v>44182</v>
      </c>
      <c r="F631" s="19">
        <v>0.98958333333333337</v>
      </c>
      <c r="H631" s="34">
        <v>35.9</v>
      </c>
      <c r="I631" s="19"/>
      <c r="L631" s="20">
        <v>44182</v>
      </c>
      <c r="M631" s="19">
        <v>0.98958333333333337</v>
      </c>
      <c r="N631" s="19"/>
      <c r="S631" s="36"/>
      <c r="T631" s="36"/>
    </row>
    <row r="632" spans="1:20" s="38" customFormat="1" ht="15.75" x14ac:dyDescent="0.3">
      <c r="A632" s="36" t="str">
        <f xml:space="preserve"> IF( 'From SvanPC++'!A622= "", "", ('From SvanPC++'!A622))</f>
        <v/>
      </c>
      <c r="B632" s="35" t="s">
        <v>761</v>
      </c>
      <c r="C632" s="34">
        <v>33.4</v>
      </c>
      <c r="D632" s="36"/>
      <c r="E632" s="20">
        <v>44183</v>
      </c>
      <c r="F632" s="19">
        <v>0</v>
      </c>
      <c r="H632" s="34">
        <v>33.4</v>
      </c>
      <c r="I632" s="106">
        <f>AVERAGE(H629:H632)</f>
        <v>33.650000000000006</v>
      </c>
      <c r="L632" s="20">
        <v>44183</v>
      </c>
      <c r="M632" s="19">
        <v>0</v>
      </c>
      <c r="N632" s="106">
        <v>33.650000000000006</v>
      </c>
      <c r="S632" s="36"/>
      <c r="T632" s="36"/>
    </row>
    <row r="633" spans="1:20" s="38" customFormat="1" ht="15.75" hidden="1" x14ac:dyDescent="0.3">
      <c r="A633" s="36" t="str">
        <f xml:space="preserve"> IF( 'From SvanPC++'!A623= "", "", ('From SvanPC++'!A623))</f>
        <v/>
      </c>
      <c r="B633" s="35" t="s">
        <v>762</v>
      </c>
      <c r="C633" s="34">
        <v>32</v>
      </c>
      <c r="D633" s="36"/>
      <c r="E633" s="20">
        <v>44183</v>
      </c>
      <c r="F633" s="19">
        <v>1.0416666666666666E-2</v>
      </c>
      <c r="H633" s="34">
        <v>32</v>
      </c>
      <c r="I633" s="19"/>
      <c r="L633" s="20">
        <v>44183</v>
      </c>
      <c r="M633" s="19">
        <v>1.0416666666666666E-2</v>
      </c>
      <c r="N633" s="19"/>
      <c r="S633" s="36"/>
      <c r="T633" s="36"/>
    </row>
    <row r="634" spans="1:20" s="38" customFormat="1" ht="15.75" hidden="1" x14ac:dyDescent="0.3">
      <c r="A634" s="36" t="str">
        <f xml:space="preserve"> IF( 'From SvanPC++'!A624= "", "", ('From SvanPC++'!A624))</f>
        <v/>
      </c>
      <c r="B634" s="35" t="s">
        <v>763</v>
      </c>
      <c r="C634" s="34">
        <v>29.1</v>
      </c>
      <c r="D634" s="36"/>
      <c r="E634" s="20">
        <v>44183</v>
      </c>
      <c r="F634" s="19">
        <v>2.0833333333333332E-2</v>
      </c>
      <c r="H634" s="34">
        <v>29.1</v>
      </c>
      <c r="I634" s="19"/>
      <c r="L634" s="20">
        <v>44183</v>
      </c>
      <c r="M634" s="19">
        <v>2.0833333333333332E-2</v>
      </c>
      <c r="N634" s="19"/>
      <c r="S634" s="36"/>
      <c r="T634" s="36"/>
    </row>
    <row r="635" spans="1:20" s="38" customFormat="1" ht="15.75" hidden="1" x14ac:dyDescent="0.3">
      <c r="A635" s="36" t="str">
        <f xml:space="preserve"> IF( 'From SvanPC++'!A625= "", "", ('From SvanPC++'!A625))</f>
        <v/>
      </c>
      <c r="B635" s="35" t="s">
        <v>764</v>
      </c>
      <c r="C635" s="34">
        <v>26.1</v>
      </c>
      <c r="D635" s="36"/>
      <c r="E635" s="20">
        <v>44183</v>
      </c>
      <c r="F635" s="19">
        <v>3.125E-2</v>
      </c>
      <c r="H635" s="34">
        <v>26.1</v>
      </c>
      <c r="I635" s="19"/>
      <c r="L635" s="20">
        <v>44183</v>
      </c>
      <c r="M635" s="19">
        <v>3.125E-2</v>
      </c>
      <c r="N635" s="19"/>
      <c r="S635" s="36"/>
      <c r="T635" s="36"/>
    </row>
    <row r="636" spans="1:20" s="38" customFormat="1" ht="15.75" x14ac:dyDescent="0.3">
      <c r="A636" s="36" t="str">
        <f xml:space="preserve"> IF( 'From SvanPC++'!A626= "", "", ('From SvanPC++'!A626))</f>
        <v/>
      </c>
      <c r="B636" s="35" t="s">
        <v>765</v>
      </c>
      <c r="C636" s="34">
        <v>28.5</v>
      </c>
      <c r="D636" s="36"/>
      <c r="E636" s="20">
        <v>44183</v>
      </c>
      <c r="F636" s="19">
        <v>4.1666666666666664E-2</v>
      </c>
      <c r="H636" s="34">
        <v>28.5</v>
      </c>
      <c r="I636" s="106">
        <f>AVERAGE(H633:H636)</f>
        <v>28.925000000000001</v>
      </c>
      <c r="L636" s="20">
        <v>44183</v>
      </c>
      <c r="M636" s="19">
        <v>4.1666666666666664E-2</v>
      </c>
      <c r="N636" s="106">
        <v>28.925000000000001</v>
      </c>
      <c r="S636" s="36"/>
      <c r="T636" s="36"/>
    </row>
    <row r="637" spans="1:20" s="38" customFormat="1" ht="15.75" hidden="1" x14ac:dyDescent="0.3">
      <c r="A637" s="36" t="str">
        <f xml:space="preserve"> IF( 'From SvanPC++'!A627= "", "", ('From SvanPC++'!A627))</f>
        <v/>
      </c>
      <c r="B637" s="35" t="s">
        <v>766</v>
      </c>
      <c r="C637" s="34">
        <v>27.2</v>
      </c>
      <c r="D637" s="36"/>
      <c r="E637" s="20">
        <v>44183</v>
      </c>
      <c r="F637" s="19">
        <v>5.2083333333333336E-2</v>
      </c>
      <c r="H637" s="34">
        <v>27.2</v>
      </c>
      <c r="I637" s="19"/>
      <c r="L637" s="20">
        <v>44183</v>
      </c>
      <c r="M637" s="19">
        <v>5.2083333333333336E-2</v>
      </c>
      <c r="N637" s="19"/>
      <c r="S637" s="36"/>
      <c r="T637" s="36"/>
    </row>
    <row r="638" spans="1:20" s="38" customFormat="1" ht="15.75" hidden="1" x14ac:dyDescent="0.3">
      <c r="A638" s="36" t="str">
        <f xml:space="preserve"> IF( 'From SvanPC++'!A628= "", "", ('From SvanPC++'!A628))</f>
        <v/>
      </c>
      <c r="B638" s="35" t="s">
        <v>767</v>
      </c>
      <c r="C638" s="34">
        <v>26.8</v>
      </c>
      <c r="D638" s="36"/>
      <c r="E638" s="20">
        <v>44183</v>
      </c>
      <c r="F638" s="19">
        <v>6.25E-2</v>
      </c>
      <c r="H638" s="34">
        <v>26.8</v>
      </c>
      <c r="I638" s="19"/>
      <c r="L638" s="20">
        <v>44183</v>
      </c>
      <c r="M638" s="19">
        <v>6.25E-2</v>
      </c>
      <c r="N638" s="19"/>
      <c r="S638" s="36"/>
      <c r="T638" s="36"/>
    </row>
    <row r="639" spans="1:20" s="38" customFormat="1" ht="15.75" hidden="1" x14ac:dyDescent="0.3">
      <c r="A639" s="36" t="str">
        <f xml:space="preserve"> IF( 'From SvanPC++'!A629= "", "", ('From SvanPC++'!A629))</f>
        <v/>
      </c>
      <c r="B639" s="35" t="s">
        <v>768</v>
      </c>
      <c r="C639" s="34">
        <v>25.9</v>
      </c>
      <c r="D639" s="36"/>
      <c r="E639" s="20">
        <v>44183</v>
      </c>
      <c r="F639" s="19">
        <v>7.2916666666666671E-2</v>
      </c>
      <c r="H639" s="34">
        <v>25.9</v>
      </c>
      <c r="I639" s="19"/>
      <c r="L639" s="20">
        <v>44183</v>
      </c>
      <c r="M639" s="19">
        <v>7.2916666666666671E-2</v>
      </c>
      <c r="N639" s="19"/>
      <c r="S639" s="36"/>
      <c r="T639" s="36"/>
    </row>
    <row r="640" spans="1:20" s="38" customFormat="1" ht="15.75" x14ac:dyDescent="0.3">
      <c r="A640" s="36" t="str">
        <f xml:space="preserve"> IF( 'From SvanPC++'!A630= "", "", ('From SvanPC++'!A630))</f>
        <v/>
      </c>
      <c r="B640" s="35" t="s">
        <v>769</v>
      </c>
      <c r="C640" s="34">
        <v>30.2</v>
      </c>
      <c r="D640" s="36"/>
      <c r="E640" s="20">
        <v>44183</v>
      </c>
      <c r="F640" s="19">
        <v>8.3333333333333329E-2</v>
      </c>
      <c r="H640" s="34">
        <v>30.2</v>
      </c>
      <c r="I640" s="106">
        <f>AVERAGE(H637:H640)</f>
        <v>27.525000000000002</v>
      </c>
      <c r="L640" s="20">
        <v>44183</v>
      </c>
      <c r="M640" s="19">
        <v>8.3333333333333329E-2</v>
      </c>
      <c r="N640" s="106">
        <v>27.525000000000002</v>
      </c>
      <c r="S640" s="36"/>
      <c r="T640" s="36"/>
    </row>
    <row r="641" spans="1:20" s="38" customFormat="1" ht="15.75" hidden="1" x14ac:dyDescent="0.3">
      <c r="A641" s="36" t="str">
        <f xml:space="preserve"> IF( 'From SvanPC++'!A631= "", "", ('From SvanPC++'!A631))</f>
        <v/>
      </c>
      <c r="B641" s="35" t="s">
        <v>770</v>
      </c>
      <c r="C641" s="34">
        <v>26.2</v>
      </c>
      <c r="D641" s="36"/>
      <c r="E641" s="20">
        <v>44183</v>
      </c>
      <c r="F641" s="19">
        <v>9.375E-2</v>
      </c>
      <c r="H641" s="34">
        <v>26.2</v>
      </c>
      <c r="I641" s="19"/>
      <c r="L641" s="20">
        <v>44183</v>
      </c>
      <c r="M641" s="19">
        <v>9.375E-2</v>
      </c>
      <c r="N641" s="19"/>
      <c r="S641" s="36"/>
      <c r="T641" s="36"/>
    </row>
    <row r="642" spans="1:20" s="38" customFormat="1" ht="15.75" hidden="1" x14ac:dyDescent="0.3">
      <c r="A642" s="36" t="str">
        <f xml:space="preserve"> IF( 'From SvanPC++'!A632= "", "", ('From SvanPC++'!A632))</f>
        <v/>
      </c>
      <c r="B642" s="35" t="s">
        <v>771</v>
      </c>
      <c r="C642" s="34">
        <v>25.3</v>
      </c>
      <c r="D642" s="36"/>
      <c r="E642" s="20">
        <v>44183</v>
      </c>
      <c r="F642" s="19">
        <v>0.10416666666666667</v>
      </c>
      <c r="H642" s="34">
        <v>25.3</v>
      </c>
      <c r="I642" s="19"/>
      <c r="L642" s="20">
        <v>44183</v>
      </c>
      <c r="M642" s="19">
        <v>0.10416666666666667</v>
      </c>
      <c r="N642" s="19"/>
      <c r="S642" s="36"/>
      <c r="T642" s="36"/>
    </row>
    <row r="643" spans="1:20" s="38" customFormat="1" ht="15.75" hidden="1" x14ac:dyDescent="0.3">
      <c r="A643" s="36" t="str">
        <f xml:space="preserve"> IF( 'From SvanPC++'!A633= "", "", ('From SvanPC++'!A633))</f>
        <v/>
      </c>
      <c r="B643" s="35" t="s">
        <v>772</v>
      </c>
      <c r="C643" s="34">
        <v>32.1</v>
      </c>
      <c r="D643" s="36"/>
      <c r="E643" s="20">
        <v>44183</v>
      </c>
      <c r="F643" s="19">
        <v>0.11458333333333333</v>
      </c>
      <c r="H643" s="34">
        <v>32.1</v>
      </c>
      <c r="I643" s="19"/>
      <c r="L643" s="20">
        <v>44183</v>
      </c>
      <c r="M643" s="19">
        <v>0.11458333333333333</v>
      </c>
      <c r="N643" s="19"/>
      <c r="S643" s="36"/>
      <c r="T643" s="36"/>
    </row>
    <row r="644" spans="1:20" s="38" customFormat="1" ht="15.75" x14ac:dyDescent="0.3">
      <c r="A644" s="36" t="str">
        <f xml:space="preserve"> IF( 'From SvanPC++'!A634= "", "", ('From SvanPC++'!A634))</f>
        <v/>
      </c>
      <c r="B644" s="35" t="s">
        <v>773</v>
      </c>
      <c r="C644" s="34">
        <v>28.8</v>
      </c>
      <c r="D644" s="36"/>
      <c r="E644" s="20">
        <v>44183</v>
      </c>
      <c r="F644" s="19">
        <v>0.125</v>
      </c>
      <c r="H644" s="34">
        <v>28.8</v>
      </c>
      <c r="I644" s="106">
        <f>AVERAGE(H641:H644)</f>
        <v>28.099999999999998</v>
      </c>
      <c r="L644" s="20">
        <v>44183</v>
      </c>
      <c r="M644" s="19">
        <v>0.125</v>
      </c>
      <c r="N644" s="106">
        <v>28.099999999999998</v>
      </c>
      <c r="S644" s="36"/>
      <c r="T644" s="36"/>
    </row>
    <row r="645" spans="1:20" s="38" customFormat="1" ht="15.75" hidden="1" x14ac:dyDescent="0.3">
      <c r="A645" s="36" t="str">
        <f xml:space="preserve"> IF( 'From SvanPC++'!A635= "", "", ('From SvanPC++'!A635))</f>
        <v/>
      </c>
      <c r="B645" s="35" t="s">
        <v>774</v>
      </c>
      <c r="C645" s="34">
        <v>26.3</v>
      </c>
      <c r="D645" s="36"/>
      <c r="E645" s="20">
        <v>44183</v>
      </c>
      <c r="F645" s="19">
        <v>0.13541666666666666</v>
      </c>
      <c r="H645" s="34">
        <v>26.3</v>
      </c>
      <c r="I645" s="19"/>
      <c r="L645" s="20">
        <v>44183</v>
      </c>
      <c r="M645" s="19">
        <v>0.13541666666666666</v>
      </c>
      <c r="N645" s="19"/>
      <c r="S645" s="36"/>
      <c r="T645" s="36"/>
    </row>
    <row r="646" spans="1:20" s="38" customFormat="1" ht="15.75" hidden="1" x14ac:dyDescent="0.3">
      <c r="A646" s="36" t="str">
        <f xml:space="preserve"> IF( 'From SvanPC++'!A636= "", "", ('From SvanPC++'!A636))</f>
        <v/>
      </c>
      <c r="B646" s="35" t="s">
        <v>775</v>
      </c>
      <c r="C646" s="34">
        <v>26.2</v>
      </c>
      <c r="D646" s="36"/>
      <c r="E646" s="20">
        <v>44183</v>
      </c>
      <c r="F646" s="19">
        <v>0.14583333333333334</v>
      </c>
      <c r="H646" s="34">
        <v>26.2</v>
      </c>
      <c r="I646" s="19"/>
      <c r="L646" s="20">
        <v>44183</v>
      </c>
      <c r="M646" s="19">
        <v>0.14583333333333334</v>
      </c>
      <c r="N646" s="19"/>
      <c r="S646" s="36"/>
      <c r="T646" s="36"/>
    </row>
    <row r="647" spans="1:20" s="38" customFormat="1" ht="15.75" hidden="1" x14ac:dyDescent="0.3">
      <c r="A647" s="36" t="str">
        <f xml:space="preserve"> IF( 'From SvanPC++'!A637= "", "", ('From SvanPC++'!A637))</f>
        <v/>
      </c>
      <c r="B647" s="35" t="s">
        <v>776</v>
      </c>
      <c r="C647" s="34">
        <v>26.3</v>
      </c>
      <c r="D647" s="36"/>
      <c r="E647" s="20">
        <v>44183</v>
      </c>
      <c r="F647" s="19">
        <v>0.15625</v>
      </c>
      <c r="H647" s="34">
        <v>26.3</v>
      </c>
      <c r="I647" s="19"/>
      <c r="L647" s="20">
        <v>44183</v>
      </c>
      <c r="M647" s="19">
        <v>0.15625</v>
      </c>
      <c r="N647" s="19"/>
      <c r="S647" s="36"/>
      <c r="T647" s="36"/>
    </row>
    <row r="648" spans="1:20" s="38" customFormat="1" ht="15.75" x14ac:dyDescent="0.3">
      <c r="A648" s="36" t="str">
        <f xml:space="preserve"> IF( 'From SvanPC++'!A638= "", "", ('From SvanPC++'!A638))</f>
        <v/>
      </c>
      <c r="B648" s="35" t="s">
        <v>777</v>
      </c>
      <c r="C648" s="34">
        <v>27.6</v>
      </c>
      <c r="D648" s="36"/>
      <c r="E648" s="20">
        <v>44183</v>
      </c>
      <c r="F648" s="19">
        <v>0.16666666666666666</v>
      </c>
      <c r="H648" s="34">
        <v>27.6</v>
      </c>
      <c r="I648" s="106">
        <f>AVERAGE(H645:H648)</f>
        <v>26.6</v>
      </c>
      <c r="L648" s="20">
        <v>44183</v>
      </c>
      <c r="M648" s="19">
        <v>0.16666666666666666</v>
      </c>
      <c r="N648" s="106">
        <v>26.6</v>
      </c>
      <c r="S648" s="36"/>
      <c r="T648" s="36"/>
    </row>
    <row r="649" spans="1:20" s="38" customFormat="1" ht="15.75" hidden="1" x14ac:dyDescent="0.3">
      <c r="A649" s="36" t="str">
        <f xml:space="preserve"> IF( 'From SvanPC++'!A639= "", "", ('From SvanPC++'!A639))</f>
        <v/>
      </c>
      <c r="B649" s="35" t="s">
        <v>778</v>
      </c>
      <c r="C649" s="34">
        <v>31.5</v>
      </c>
      <c r="D649" s="36"/>
      <c r="E649" s="20">
        <v>44183</v>
      </c>
      <c r="F649" s="19">
        <v>0.17708333333333334</v>
      </c>
      <c r="H649" s="34">
        <v>31.5</v>
      </c>
      <c r="I649" s="19"/>
      <c r="L649" s="20">
        <v>44183</v>
      </c>
      <c r="M649" s="19">
        <v>0.17708333333333334</v>
      </c>
      <c r="N649" s="19"/>
      <c r="S649" s="36"/>
      <c r="T649" s="36"/>
    </row>
    <row r="650" spans="1:20" s="38" customFormat="1" ht="15.75" hidden="1" x14ac:dyDescent="0.3">
      <c r="A650" s="36" t="str">
        <f xml:space="preserve"> IF( 'From SvanPC++'!A640= "", "", ('From SvanPC++'!A640))</f>
        <v/>
      </c>
      <c r="B650" s="35" t="s">
        <v>779</v>
      </c>
      <c r="C650" s="34">
        <v>32</v>
      </c>
      <c r="D650" s="36"/>
      <c r="E650" s="20">
        <v>44183</v>
      </c>
      <c r="F650" s="19">
        <v>0.1875</v>
      </c>
      <c r="H650" s="34">
        <v>32</v>
      </c>
      <c r="I650" s="19"/>
      <c r="L650" s="20">
        <v>44183</v>
      </c>
      <c r="M650" s="19">
        <v>0.1875</v>
      </c>
      <c r="N650" s="19"/>
      <c r="S650" s="36"/>
      <c r="T650" s="36"/>
    </row>
    <row r="651" spans="1:20" s="38" customFormat="1" ht="15.75" hidden="1" x14ac:dyDescent="0.3">
      <c r="A651" s="36" t="str">
        <f xml:space="preserve"> IF( 'From SvanPC++'!A641= "", "", ('From SvanPC++'!A641))</f>
        <v/>
      </c>
      <c r="B651" s="35" t="s">
        <v>780</v>
      </c>
      <c r="C651" s="34">
        <v>31.7</v>
      </c>
      <c r="D651" s="36"/>
      <c r="E651" s="20">
        <v>44183</v>
      </c>
      <c r="F651" s="19">
        <v>0.19791666666666666</v>
      </c>
      <c r="H651" s="34">
        <v>31.7</v>
      </c>
      <c r="I651" s="19"/>
      <c r="L651" s="20">
        <v>44183</v>
      </c>
      <c r="M651" s="19">
        <v>0.19791666666666666</v>
      </c>
      <c r="N651" s="19"/>
      <c r="S651" s="36"/>
      <c r="T651" s="36"/>
    </row>
    <row r="652" spans="1:20" s="38" customFormat="1" ht="15.75" x14ac:dyDescent="0.3">
      <c r="A652" s="36" t="str">
        <f xml:space="preserve"> IF( 'From SvanPC++'!A642= "", "", ('From SvanPC++'!A642))</f>
        <v/>
      </c>
      <c r="B652" s="35" t="s">
        <v>781</v>
      </c>
      <c r="C652" s="34">
        <v>31.8</v>
      </c>
      <c r="D652" s="36"/>
      <c r="E652" s="20">
        <v>44183</v>
      </c>
      <c r="F652" s="19">
        <v>0.20833333333333334</v>
      </c>
      <c r="H652" s="34">
        <v>31.8</v>
      </c>
      <c r="I652" s="106">
        <f>AVERAGE(H649:H652)</f>
        <v>31.75</v>
      </c>
      <c r="L652" s="20">
        <v>44183</v>
      </c>
      <c r="M652" s="19">
        <v>0.20833333333333334</v>
      </c>
      <c r="N652" s="106">
        <v>31.75</v>
      </c>
      <c r="S652" s="36"/>
      <c r="T652" s="36"/>
    </row>
    <row r="653" spans="1:20" s="38" customFormat="1" ht="15.75" hidden="1" x14ac:dyDescent="0.3">
      <c r="A653" s="36" t="str">
        <f xml:space="preserve"> IF( 'From SvanPC++'!A643= "", "", ('From SvanPC++'!A643))</f>
        <v/>
      </c>
      <c r="B653" s="35" t="s">
        <v>782</v>
      </c>
      <c r="C653" s="34">
        <v>34.299999999999997</v>
      </c>
      <c r="D653" s="36"/>
      <c r="E653" s="20">
        <v>44183</v>
      </c>
      <c r="F653" s="19">
        <v>0.21875</v>
      </c>
      <c r="H653" s="34">
        <v>34.299999999999997</v>
      </c>
      <c r="I653" s="19"/>
      <c r="L653" s="20">
        <v>44183</v>
      </c>
      <c r="M653" s="19">
        <v>0.21875</v>
      </c>
      <c r="N653" s="19"/>
      <c r="S653" s="36"/>
      <c r="T653" s="36"/>
    </row>
    <row r="654" spans="1:20" s="38" customFormat="1" ht="15.75" hidden="1" x14ac:dyDescent="0.3">
      <c r="A654" s="36" t="str">
        <f xml:space="preserve"> IF( 'From SvanPC++'!A644= "", "", ('From SvanPC++'!A644))</f>
        <v/>
      </c>
      <c r="B654" s="35" t="s">
        <v>783</v>
      </c>
      <c r="C654" s="34">
        <v>40</v>
      </c>
      <c r="D654" s="36"/>
      <c r="E654" s="20">
        <v>44183</v>
      </c>
      <c r="F654" s="19">
        <v>0.22916666666666666</v>
      </c>
      <c r="H654" s="34">
        <v>40</v>
      </c>
      <c r="I654" s="19"/>
      <c r="L654" s="20">
        <v>44183</v>
      </c>
      <c r="M654" s="19">
        <v>0.22916666666666666</v>
      </c>
      <c r="N654" s="19"/>
      <c r="S654" s="36"/>
      <c r="T654" s="36"/>
    </row>
    <row r="655" spans="1:20" s="38" customFormat="1" ht="15.75" hidden="1" x14ac:dyDescent="0.3">
      <c r="A655" s="36" t="str">
        <f xml:space="preserve"> IF( 'From SvanPC++'!A645= "", "", ('From SvanPC++'!A645))</f>
        <v/>
      </c>
      <c r="B655" s="35" t="s">
        <v>784</v>
      </c>
      <c r="C655" s="34">
        <v>39.5</v>
      </c>
      <c r="D655" s="36"/>
      <c r="E655" s="20">
        <v>44183</v>
      </c>
      <c r="F655" s="19">
        <v>0.23958333333333334</v>
      </c>
      <c r="H655" s="34">
        <v>39.5</v>
      </c>
      <c r="I655" s="19"/>
      <c r="L655" s="20">
        <v>44183</v>
      </c>
      <c r="M655" s="19">
        <v>0.23958333333333334</v>
      </c>
      <c r="N655" s="19"/>
      <c r="S655" s="36"/>
      <c r="T655" s="36"/>
    </row>
    <row r="656" spans="1:20" s="38" customFormat="1" ht="15.75" x14ac:dyDescent="0.3">
      <c r="A656" s="36" t="str">
        <f xml:space="preserve"> IF( 'From SvanPC++'!A646= "", "", ('From SvanPC++'!A646))</f>
        <v/>
      </c>
      <c r="B656" s="35" t="s">
        <v>785</v>
      </c>
      <c r="C656" s="34">
        <v>40.1</v>
      </c>
      <c r="D656" s="36"/>
      <c r="E656" s="20">
        <v>44183</v>
      </c>
      <c r="F656" s="19">
        <v>0.25</v>
      </c>
      <c r="H656" s="34">
        <v>40.1</v>
      </c>
      <c r="I656" s="106">
        <f>AVERAGE(H653:H656)</f>
        <v>38.475000000000001</v>
      </c>
      <c r="L656" s="20">
        <v>44183</v>
      </c>
      <c r="M656" s="19">
        <v>0.25</v>
      </c>
      <c r="N656" s="106">
        <v>38.475000000000001</v>
      </c>
      <c r="S656" s="36"/>
      <c r="T656" s="36"/>
    </row>
    <row r="657" spans="1:20" s="38" customFormat="1" ht="15.75" hidden="1" x14ac:dyDescent="0.3">
      <c r="A657" s="36" t="str">
        <f xml:space="preserve"> IF( 'From SvanPC++'!A647= "", "", ('From SvanPC++'!A647))</f>
        <v/>
      </c>
      <c r="B657" s="35" t="s">
        <v>786</v>
      </c>
      <c r="C657" s="34">
        <v>41.2</v>
      </c>
      <c r="D657" s="36"/>
      <c r="E657" s="20">
        <v>44183</v>
      </c>
      <c r="F657" s="19">
        <v>0.26041666666666669</v>
      </c>
      <c r="H657" s="34">
        <v>41.2</v>
      </c>
      <c r="I657" s="19"/>
      <c r="L657" s="20">
        <v>44183</v>
      </c>
      <c r="M657" s="19">
        <v>0.26041666666666669</v>
      </c>
      <c r="N657" s="19"/>
      <c r="S657" s="36"/>
      <c r="T657" s="36"/>
    </row>
    <row r="658" spans="1:20" s="38" customFormat="1" ht="15.75" hidden="1" x14ac:dyDescent="0.3">
      <c r="A658" s="36" t="str">
        <f xml:space="preserve"> IF( 'From SvanPC++'!A648= "", "", ('From SvanPC++'!A648))</f>
        <v/>
      </c>
      <c r="B658" s="35" t="s">
        <v>787</v>
      </c>
      <c r="C658" s="34">
        <v>41.8</v>
      </c>
      <c r="D658" s="36"/>
      <c r="E658" s="20">
        <v>44183</v>
      </c>
      <c r="F658" s="19">
        <v>0.27083333333333331</v>
      </c>
      <c r="H658" s="34">
        <v>41.8</v>
      </c>
      <c r="I658" s="19"/>
      <c r="L658" s="20">
        <v>44183</v>
      </c>
      <c r="M658" s="19">
        <v>0.27083333333333331</v>
      </c>
      <c r="N658" s="19"/>
      <c r="S658" s="36"/>
      <c r="T658" s="36"/>
    </row>
    <row r="659" spans="1:20" s="38" customFormat="1" ht="15.75" hidden="1" x14ac:dyDescent="0.3">
      <c r="A659" s="36" t="str">
        <f xml:space="preserve"> IF( 'From SvanPC++'!A649= "", "", ('From SvanPC++'!A649))</f>
        <v/>
      </c>
      <c r="B659" s="35" t="s">
        <v>788</v>
      </c>
      <c r="C659" s="34">
        <v>43.2</v>
      </c>
      <c r="D659" s="36"/>
      <c r="E659" s="20">
        <v>44183</v>
      </c>
      <c r="F659" s="19">
        <v>0.28125</v>
      </c>
      <c r="H659" s="34">
        <v>43.2</v>
      </c>
      <c r="I659" s="19"/>
      <c r="L659" s="20">
        <v>44183</v>
      </c>
      <c r="M659" s="19">
        <v>0.28125</v>
      </c>
      <c r="N659" s="19"/>
      <c r="S659" s="36"/>
      <c r="T659" s="36"/>
    </row>
    <row r="660" spans="1:20" s="38" customFormat="1" ht="15.75" x14ac:dyDescent="0.3">
      <c r="A660" s="36" t="str">
        <f xml:space="preserve"> IF( 'From SvanPC++'!A650= "", "", ('From SvanPC++'!A650))</f>
        <v/>
      </c>
      <c r="B660" s="35" t="s">
        <v>789</v>
      </c>
      <c r="C660" s="34">
        <v>43.1</v>
      </c>
      <c r="D660" s="36"/>
      <c r="E660" s="20">
        <v>44183</v>
      </c>
      <c r="F660" s="19">
        <v>0.29166666666666669</v>
      </c>
      <c r="H660" s="34">
        <v>43.1</v>
      </c>
      <c r="I660" s="106">
        <f>AVERAGE(H657:H660)</f>
        <v>42.325000000000003</v>
      </c>
      <c r="L660" s="20">
        <v>44183</v>
      </c>
      <c r="M660" s="19">
        <v>0.29166666666666669</v>
      </c>
      <c r="N660" s="106">
        <v>42.325000000000003</v>
      </c>
      <c r="S660" s="36"/>
      <c r="T660" s="36"/>
    </row>
    <row r="661" spans="1:20" s="38" customFormat="1" ht="15.75" hidden="1" x14ac:dyDescent="0.3">
      <c r="A661" s="36" t="str">
        <f xml:space="preserve"> IF( 'From SvanPC++'!A651= "", "", ('From SvanPC++'!A651))</f>
        <v/>
      </c>
      <c r="B661" s="35" t="s">
        <v>790</v>
      </c>
      <c r="C661" s="34">
        <v>43.5</v>
      </c>
      <c r="D661" s="36"/>
      <c r="E661" s="20">
        <v>44183</v>
      </c>
      <c r="F661" s="19">
        <v>0.30208333333333331</v>
      </c>
      <c r="H661" s="34">
        <v>43.5</v>
      </c>
      <c r="I661" s="19"/>
      <c r="L661" s="20">
        <v>44183</v>
      </c>
      <c r="M661" s="19">
        <v>0.30208333333333331</v>
      </c>
      <c r="N661" s="19"/>
      <c r="S661" s="36"/>
      <c r="T661" s="36"/>
    </row>
    <row r="662" spans="1:20" s="38" customFormat="1" ht="15.75" hidden="1" x14ac:dyDescent="0.3">
      <c r="A662" s="36" t="str">
        <f xml:space="preserve"> IF( 'From SvanPC++'!A652= "", "", ('From SvanPC++'!A652))</f>
        <v/>
      </c>
      <c r="B662" s="35" t="s">
        <v>791</v>
      </c>
      <c r="C662" s="34">
        <v>43.9</v>
      </c>
      <c r="D662" s="36"/>
      <c r="E662" s="20">
        <v>44183</v>
      </c>
      <c r="F662" s="19">
        <v>0.3125</v>
      </c>
      <c r="H662" s="34">
        <v>43.9</v>
      </c>
      <c r="I662" s="19"/>
      <c r="L662" s="20">
        <v>44183</v>
      </c>
      <c r="M662" s="19">
        <v>0.3125</v>
      </c>
      <c r="N662" s="19"/>
      <c r="S662" s="36"/>
      <c r="T662" s="36"/>
    </row>
    <row r="663" spans="1:20" s="38" customFormat="1" ht="15.75" hidden="1" x14ac:dyDescent="0.3">
      <c r="A663" s="36" t="str">
        <f xml:space="preserve"> IF( 'From SvanPC++'!A653= "", "", ('From SvanPC++'!A653))</f>
        <v/>
      </c>
      <c r="B663" s="35" t="s">
        <v>792</v>
      </c>
      <c r="C663" s="34">
        <v>43.4</v>
      </c>
      <c r="D663" s="36"/>
      <c r="E663" s="20">
        <v>44183</v>
      </c>
      <c r="F663" s="19">
        <v>0.32291666666666669</v>
      </c>
      <c r="H663" s="34">
        <v>43.4</v>
      </c>
      <c r="I663" s="19"/>
      <c r="L663" s="20">
        <v>44183</v>
      </c>
      <c r="M663" s="19">
        <v>0.32291666666666669</v>
      </c>
      <c r="N663" s="19"/>
      <c r="S663" s="36"/>
      <c r="T663" s="36"/>
    </row>
    <row r="664" spans="1:20" s="38" customFormat="1" ht="15.75" x14ac:dyDescent="0.3">
      <c r="A664" s="36" t="str">
        <f xml:space="preserve"> IF( 'From SvanPC++'!A654= "", "", ('From SvanPC++'!A654))</f>
        <v/>
      </c>
      <c r="B664" s="35" t="s">
        <v>793</v>
      </c>
      <c r="C664" s="34">
        <v>44.1</v>
      </c>
      <c r="D664" s="36"/>
      <c r="E664" s="20">
        <v>44183</v>
      </c>
      <c r="F664" s="19">
        <v>0.33333333333333331</v>
      </c>
      <c r="H664" s="34">
        <v>44.1</v>
      </c>
      <c r="I664" s="106">
        <f>AVERAGE(H661:H664)</f>
        <v>43.725000000000001</v>
      </c>
      <c r="L664" s="20">
        <v>44183</v>
      </c>
      <c r="M664" s="19">
        <v>0.33333333333333331</v>
      </c>
      <c r="N664" s="106">
        <v>43.725000000000001</v>
      </c>
      <c r="S664" s="36"/>
      <c r="T664" s="36"/>
    </row>
    <row r="665" spans="1:20" s="38" customFormat="1" ht="15.75" hidden="1" x14ac:dyDescent="0.3">
      <c r="A665" s="36" t="str">
        <f xml:space="preserve"> IF( 'From SvanPC++'!A655= "", "", ('From SvanPC++'!A655))</f>
        <v/>
      </c>
      <c r="B665" s="35" t="s">
        <v>794</v>
      </c>
      <c r="C665" s="34">
        <v>42.9</v>
      </c>
      <c r="D665" s="36"/>
      <c r="E665" s="20">
        <v>44183</v>
      </c>
      <c r="F665" s="19">
        <v>0.34375</v>
      </c>
      <c r="H665" s="34">
        <v>42.9</v>
      </c>
      <c r="I665" s="19"/>
      <c r="L665" s="20">
        <v>44183</v>
      </c>
      <c r="M665" s="19">
        <v>0.34375</v>
      </c>
      <c r="N665" s="19"/>
      <c r="S665" s="36"/>
      <c r="T665" s="36"/>
    </row>
    <row r="666" spans="1:20" s="38" customFormat="1" ht="15.75" hidden="1" x14ac:dyDescent="0.3">
      <c r="A666" s="36" t="str">
        <f xml:space="preserve"> IF( 'From SvanPC++'!A656= "", "", ('From SvanPC++'!A656))</f>
        <v/>
      </c>
      <c r="B666" s="35" t="s">
        <v>795</v>
      </c>
      <c r="C666" s="34">
        <v>41.9</v>
      </c>
      <c r="D666" s="36"/>
      <c r="E666" s="20">
        <v>44183</v>
      </c>
      <c r="F666" s="19">
        <v>0.35416666666666669</v>
      </c>
      <c r="H666" s="34">
        <v>41.9</v>
      </c>
      <c r="I666" s="19"/>
      <c r="L666" s="20">
        <v>44183</v>
      </c>
      <c r="M666" s="19">
        <v>0.35416666666666669</v>
      </c>
      <c r="N666" s="19"/>
      <c r="S666" s="36"/>
      <c r="T666" s="36"/>
    </row>
    <row r="667" spans="1:20" s="38" customFormat="1" ht="15.75" hidden="1" x14ac:dyDescent="0.3">
      <c r="A667" s="36" t="str">
        <f xml:space="preserve"> IF( 'From SvanPC++'!A657= "", "", ('From SvanPC++'!A657))</f>
        <v/>
      </c>
      <c r="B667" s="35" t="s">
        <v>796</v>
      </c>
      <c r="C667" s="34">
        <v>41.6</v>
      </c>
      <c r="D667" s="36"/>
      <c r="E667" s="20">
        <v>44183</v>
      </c>
      <c r="F667" s="19">
        <v>0.36458333333333331</v>
      </c>
      <c r="H667" s="34">
        <v>41.6</v>
      </c>
      <c r="I667" s="19"/>
      <c r="L667" s="20">
        <v>44183</v>
      </c>
      <c r="M667" s="19">
        <v>0.36458333333333331</v>
      </c>
      <c r="N667" s="19"/>
      <c r="S667" s="36"/>
      <c r="T667" s="36"/>
    </row>
    <row r="668" spans="1:20" s="38" customFormat="1" ht="15.75" x14ac:dyDescent="0.3">
      <c r="A668" s="36" t="str">
        <f xml:space="preserve"> IF( 'From SvanPC++'!A658= "", "", ('From SvanPC++'!A658))</f>
        <v/>
      </c>
      <c r="B668" s="35" t="s">
        <v>797</v>
      </c>
      <c r="C668" s="34">
        <v>41.3</v>
      </c>
      <c r="D668" s="36"/>
      <c r="E668" s="20">
        <v>44183</v>
      </c>
      <c r="F668" s="19">
        <v>0.375</v>
      </c>
      <c r="H668" s="34">
        <v>41.3</v>
      </c>
      <c r="I668" s="106">
        <f>AVERAGE(H665:H668)</f>
        <v>41.924999999999997</v>
      </c>
      <c r="L668" s="20">
        <v>44183</v>
      </c>
      <c r="M668" s="19">
        <v>0.375</v>
      </c>
      <c r="N668" s="106">
        <v>41.924999999999997</v>
      </c>
      <c r="S668" s="36"/>
      <c r="T668" s="36"/>
    </row>
    <row r="669" spans="1:20" s="38" customFormat="1" ht="15.75" hidden="1" x14ac:dyDescent="0.3">
      <c r="A669" s="36" t="str">
        <f xml:space="preserve"> IF( 'From SvanPC++'!A659= "", "", ('From SvanPC++'!A659))</f>
        <v/>
      </c>
      <c r="B669" s="35" t="s">
        <v>798</v>
      </c>
      <c r="C669" s="34">
        <v>40.5</v>
      </c>
      <c r="D669" s="36"/>
      <c r="E669" s="20">
        <v>44183</v>
      </c>
      <c r="F669" s="19">
        <v>0.38541666666666669</v>
      </c>
      <c r="H669" s="34">
        <v>40.5</v>
      </c>
      <c r="I669" s="19"/>
      <c r="L669" s="20">
        <v>44183</v>
      </c>
      <c r="M669" s="19">
        <v>0.38541666666666669</v>
      </c>
      <c r="N669" s="19"/>
      <c r="S669" s="36"/>
      <c r="T669" s="36"/>
    </row>
    <row r="670" spans="1:20" s="38" customFormat="1" ht="15.75" hidden="1" x14ac:dyDescent="0.3">
      <c r="A670" s="36" t="str">
        <f xml:space="preserve"> IF( 'From SvanPC++'!A660= "", "", ('From SvanPC++'!A660))</f>
        <v/>
      </c>
      <c r="B670" s="35" t="s">
        <v>799</v>
      </c>
      <c r="C670" s="34">
        <v>42</v>
      </c>
      <c r="D670" s="36"/>
      <c r="E670" s="20">
        <v>44183</v>
      </c>
      <c r="F670" s="19">
        <v>0.39583333333333331</v>
      </c>
      <c r="H670" s="34">
        <v>42</v>
      </c>
      <c r="I670" s="19"/>
      <c r="L670" s="20">
        <v>44183</v>
      </c>
      <c r="M670" s="19">
        <v>0.39583333333333331</v>
      </c>
      <c r="N670" s="19"/>
      <c r="S670" s="36"/>
      <c r="T670" s="36"/>
    </row>
    <row r="671" spans="1:20" s="38" customFormat="1" ht="15.75" hidden="1" x14ac:dyDescent="0.3">
      <c r="A671" s="36" t="str">
        <f xml:space="preserve"> IF( 'From SvanPC++'!A661= "", "", ('From SvanPC++'!A661))</f>
        <v/>
      </c>
      <c r="B671" s="35" t="s">
        <v>800</v>
      </c>
      <c r="C671" s="34">
        <v>43.1</v>
      </c>
      <c r="D671" s="36"/>
      <c r="E671" s="20">
        <v>44183</v>
      </c>
      <c r="F671" s="19">
        <v>0.40625</v>
      </c>
      <c r="H671" s="34">
        <v>43.1</v>
      </c>
      <c r="I671" s="19"/>
      <c r="L671" s="20">
        <v>44183</v>
      </c>
      <c r="M671" s="19">
        <v>0.40625</v>
      </c>
      <c r="N671" s="19"/>
      <c r="S671" s="36"/>
      <c r="T671" s="36"/>
    </row>
    <row r="672" spans="1:20" s="38" customFormat="1" ht="15.75" x14ac:dyDescent="0.3">
      <c r="A672" s="36" t="str">
        <f xml:space="preserve"> IF( 'From SvanPC++'!A662= "", "", ('From SvanPC++'!A662))</f>
        <v/>
      </c>
      <c r="B672" s="35" t="s">
        <v>801</v>
      </c>
      <c r="C672" s="34">
        <v>45.6</v>
      </c>
      <c r="D672" s="36"/>
      <c r="E672" s="20">
        <v>44183</v>
      </c>
      <c r="F672" s="19">
        <v>0.41666666666666669</v>
      </c>
      <c r="H672" s="34">
        <v>45.6</v>
      </c>
      <c r="I672" s="106">
        <f>AVERAGE(H669:H672)</f>
        <v>42.8</v>
      </c>
      <c r="L672" s="20">
        <v>44183</v>
      </c>
      <c r="M672" s="19">
        <v>0.41666666666666669</v>
      </c>
      <c r="N672" s="106">
        <v>42.8</v>
      </c>
      <c r="S672" s="36"/>
      <c r="T672" s="36"/>
    </row>
    <row r="673" spans="1:20" s="38" customFormat="1" ht="15.75" hidden="1" x14ac:dyDescent="0.3">
      <c r="A673" s="36" t="str">
        <f xml:space="preserve"> IF( 'From SvanPC++'!A663= "", "", ('From SvanPC++'!A663))</f>
        <v/>
      </c>
      <c r="B673" s="35" t="s">
        <v>802</v>
      </c>
      <c r="C673" s="34">
        <v>45.2</v>
      </c>
      <c r="D673" s="36"/>
      <c r="E673" s="20">
        <v>44183</v>
      </c>
      <c r="F673" s="19">
        <v>0.42708333333333331</v>
      </c>
      <c r="H673" s="34">
        <v>45.2</v>
      </c>
      <c r="I673" s="19"/>
      <c r="L673" s="20">
        <v>44183</v>
      </c>
      <c r="M673" s="19">
        <v>0.42708333333333331</v>
      </c>
      <c r="N673" s="19"/>
      <c r="S673" s="36"/>
      <c r="T673" s="36"/>
    </row>
    <row r="674" spans="1:20" s="38" customFormat="1" ht="15.75" hidden="1" x14ac:dyDescent="0.3">
      <c r="A674" s="36" t="str">
        <f xml:space="preserve"> IF( 'From SvanPC++'!A664= "", "", ('From SvanPC++'!A664))</f>
        <v/>
      </c>
      <c r="B674" s="35" t="s">
        <v>803</v>
      </c>
      <c r="C674" s="34">
        <v>43.3</v>
      </c>
      <c r="D674" s="36"/>
      <c r="E674" s="20">
        <v>44183</v>
      </c>
      <c r="F674" s="19">
        <v>0.4375</v>
      </c>
      <c r="H674" s="34">
        <v>43.3</v>
      </c>
      <c r="I674" s="19"/>
      <c r="L674" s="20">
        <v>44183</v>
      </c>
      <c r="M674" s="19">
        <v>0.4375</v>
      </c>
      <c r="N674" s="19"/>
      <c r="S674" s="36"/>
      <c r="T674" s="36"/>
    </row>
    <row r="675" spans="1:20" s="38" customFormat="1" ht="15.75" hidden="1" x14ac:dyDescent="0.3">
      <c r="A675" s="36" t="str">
        <f xml:space="preserve"> IF( 'From SvanPC++'!A665= "", "", ('From SvanPC++'!A665))</f>
        <v/>
      </c>
      <c r="B675" s="35" t="s">
        <v>804</v>
      </c>
      <c r="C675" s="34">
        <v>43.7</v>
      </c>
      <c r="D675" s="36"/>
      <c r="E675" s="20">
        <v>44183</v>
      </c>
      <c r="F675" s="19">
        <v>0.44791666666666669</v>
      </c>
      <c r="H675" s="34">
        <v>43.7</v>
      </c>
      <c r="I675" s="19"/>
      <c r="L675" s="20">
        <v>44183</v>
      </c>
      <c r="M675" s="19">
        <v>0.44791666666666669</v>
      </c>
      <c r="N675" s="19"/>
      <c r="S675" s="36"/>
      <c r="T675" s="36"/>
    </row>
    <row r="676" spans="1:20" s="38" customFormat="1" ht="15.75" x14ac:dyDescent="0.3">
      <c r="A676" s="36" t="str">
        <f xml:space="preserve"> IF( 'From SvanPC++'!A666= "", "", ('From SvanPC++'!A666))</f>
        <v/>
      </c>
      <c r="B676" s="35" t="s">
        <v>805</v>
      </c>
      <c r="C676" s="34">
        <v>42.5</v>
      </c>
      <c r="D676" s="36"/>
      <c r="E676" s="20">
        <v>44183</v>
      </c>
      <c r="F676" s="19">
        <v>0.45833333333333331</v>
      </c>
      <c r="H676" s="34">
        <v>42.5</v>
      </c>
      <c r="I676" s="106">
        <f>AVERAGE(H673:H676)</f>
        <v>43.674999999999997</v>
      </c>
      <c r="L676" s="20">
        <v>44183</v>
      </c>
      <c r="M676" s="19">
        <v>0.45833333333333331</v>
      </c>
      <c r="N676" s="106">
        <v>43.674999999999997</v>
      </c>
      <c r="S676" s="36"/>
      <c r="T676" s="36"/>
    </row>
    <row r="677" spans="1:20" s="38" customFormat="1" ht="15.75" hidden="1" x14ac:dyDescent="0.3">
      <c r="A677" s="36" t="str">
        <f xml:space="preserve"> IF( 'From SvanPC++'!A667= "", "", ('From SvanPC++'!A667))</f>
        <v/>
      </c>
      <c r="B677" s="35" t="s">
        <v>806</v>
      </c>
      <c r="C677" s="34">
        <v>43.3</v>
      </c>
      <c r="D677" s="36"/>
      <c r="E677" s="20">
        <v>44183</v>
      </c>
      <c r="F677" s="19">
        <v>0.46875</v>
      </c>
      <c r="H677" s="34">
        <v>43.3</v>
      </c>
      <c r="I677" s="19"/>
      <c r="L677" s="20">
        <v>44183</v>
      </c>
      <c r="M677" s="19">
        <v>0.46875</v>
      </c>
      <c r="N677" s="19"/>
      <c r="S677" s="36"/>
      <c r="T677" s="36"/>
    </row>
    <row r="678" spans="1:20" s="38" customFormat="1" ht="15.75" hidden="1" x14ac:dyDescent="0.3">
      <c r="A678" s="36" t="str">
        <f xml:space="preserve"> IF( 'From SvanPC++'!A668= "", "", ('From SvanPC++'!A668))</f>
        <v/>
      </c>
      <c r="B678" s="35" t="s">
        <v>807</v>
      </c>
      <c r="C678" s="34">
        <v>43</v>
      </c>
      <c r="D678" s="36"/>
      <c r="E678" s="20">
        <v>44183</v>
      </c>
      <c r="F678" s="19">
        <v>0.47916666666666669</v>
      </c>
      <c r="H678" s="34">
        <v>43</v>
      </c>
      <c r="I678" s="19"/>
      <c r="L678" s="20">
        <v>44183</v>
      </c>
      <c r="M678" s="19">
        <v>0.47916666666666669</v>
      </c>
      <c r="N678" s="19"/>
      <c r="S678" s="36"/>
      <c r="T678" s="36"/>
    </row>
    <row r="679" spans="1:20" s="38" customFormat="1" ht="15.75" hidden="1" x14ac:dyDescent="0.3">
      <c r="A679" s="36" t="str">
        <f xml:space="preserve"> IF( 'From SvanPC++'!A669= "", "", ('From SvanPC++'!A669))</f>
        <v/>
      </c>
      <c r="B679" s="35" t="s">
        <v>808</v>
      </c>
      <c r="C679" s="34">
        <v>43.2</v>
      </c>
      <c r="D679" s="36"/>
      <c r="E679" s="20">
        <v>44183</v>
      </c>
      <c r="F679" s="19">
        <v>0.48958333333333331</v>
      </c>
      <c r="H679" s="34">
        <v>43.2</v>
      </c>
      <c r="I679" s="19"/>
      <c r="L679" s="20">
        <v>44183</v>
      </c>
      <c r="M679" s="19">
        <v>0.48958333333333331</v>
      </c>
      <c r="N679" s="19"/>
      <c r="S679" s="36"/>
      <c r="T679" s="36"/>
    </row>
    <row r="680" spans="1:20" s="38" customFormat="1" ht="15.75" x14ac:dyDescent="0.3">
      <c r="A680" s="36" t="str">
        <f xml:space="preserve"> IF( 'From SvanPC++'!A670= "", "", ('From SvanPC++'!A670))</f>
        <v/>
      </c>
      <c r="B680" s="35" t="s">
        <v>809</v>
      </c>
      <c r="C680" s="34">
        <v>41.7</v>
      </c>
      <c r="D680" s="36"/>
      <c r="E680" s="20">
        <v>44183</v>
      </c>
      <c r="F680" s="19">
        <v>0.5</v>
      </c>
      <c r="H680" s="34">
        <v>41.7</v>
      </c>
      <c r="I680" s="106">
        <f>AVERAGE(H677:H680)</f>
        <v>42.8</v>
      </c>
      <c r="L680" s="20">
        <v>44183</v>
      </c>
      <c r="M680" s="19">
        <v>0.5</v>
      </c>
      <c r="N680" s="106">
        <v>42.8</v>
      </c>
      <c r="S680" s="36"/>
      <c r="T680" s="36"/>
    </row>
    <row r="681" spans="1:20" s="38" customFormat="1" ht="15.75" hidden="1" x14ac:dyDescent="0.3">
      <c r="A681" s="36" t="str">
        <f xml:space="preserve"> IF( 'From SvanPC++'!A671= "", "", ('From SvanPC++'!A671))</f>
        <v/>
      </c>
      <c r="B681" s="35" t="s">
        <v>810</v>
      </c>
      <c r="C681" s="34">
        <v>43.2</v>
      </c>
      <c r="D681" s="36"/>
      <c r="E681" s="20">
        <v>44183</v>
      </c>
      <c r="F681" s="19">
        <v>0.51041666666666663</v>
      </c>
      <c r="H681" s="34">
        <v>43.2</v>
      </c>
      <c r="I681" s="19"/>
      <c r="L681" s="20">
        <v>44183</v>
      </c>
      <c r="M681" s="19">
        <v>0.51041666666666663</v>
      </c>
      <c r="N681" s="19"/>
      <c r="S681" s="36"/>
      <c r="T681" s="36"/>
    </row>
    <row r="682" spans="1:20" s="38" customFormat="1" ht="15.75" hidden="1" x14ac:dyDescent="0.3">
      <c r="A682" s="36" t="str">
        <f xml:space="preserve"> IF( 'From SvanPC++'!A672= "", "", ('From SvanPC++'!A672))</f>
        <v/>
      </c>
      <c r="B682" s="35" t="s">
        <v>811</v>
      </c>
      <c r="C682" s="34">
        <v>44.1</v>
      </c>
      <c r="D682" s="36"/>
      <c r="E682" s="20">
        <v>44183</v>
      </c>
      <c r="F682" s="19">
        <v>0.52083333333333337</v>
      </c>
      <c r="H682" s="34">
        <v>44.1</v>
      </c>
      <c r="I682" s="19"/>
      <c r="L682" s="20">
        <v>44183</v>
      </c>
      <c r="M682" s="19">
        <v>0.52083333333333337</v>
      </c>
      <c r="N682" s="19"/>
      <c r="S682" s="36"/>
      <c r="T682" s="36"/>
    </row>
    <row r="683" spans="1:20" s="38" customFormat="1" ht="15.75" hidden="1" x14ac:dyDescent="0.3">
      <c r="A683" s="36" t="str">
        <f xml:space="preserve"> IF( 'From SvanPC++'!A673= "", "", ('From SvanPC++'!A673))</f>
        <v/>
      </c>
      <c r="B683" s="35" t="s">
        <v>812</v>
      </c>
      <c r="C683" s="34">
        <v>44.2</v>
      </c>
      <c r="D683" s="36"/>
      <c r="E683" s="20">
        <v>44183</v>
      </c>
      <c r="F683" s="19">
        <v>0.53125</v>
      </c>
      <c r="H683" s="34">
        <v>44.2</v>
      </c>
      <c r="I683" s="19"/>
      <c r="L683" s="20">
        <v>44183</v>
      </c>
      <c r="M683" s="19">
        <v>0.53125</v>
      </c>
      <c r="N683" s="19"/>
      <c r="S683" s="36"/>
      <c r="T683" s="36"/>
    </row>
    <row r="684" spans="1:20" s="38" customFormat="1" ht="15.75" x14ac:dyDescent="0.3">
      <c r="A684" s="36" t="str">
        <f xml:space="preserve"> IF( 'From SvanPC++'!A674= "", "", ('From SvanPC++'!A674))</f>
        <v/>
      </c>
      <c r="B684" s="35" t="s">
        <v>813</v>
      </c>
      <c r="C684" s="34">
        <v>44.7</v>
      </c>
      <c r="D684" s="36"/>
      <c r="E684" s="20">
        <v>44183</v>
      </c>
      <c r="F684" s="19">
        <v>0.54166666666666663</v>
      </c>
      <c r="H684" s="34">
        <v>44.7</v>
      </c>
      <c r="I684" s="106">
        <f>AVERAGE(H681:H684)</f>
        <v>44.05</v>
      </c>
      <c r="L684" s="20">
        <v>44183</v>
      </c>
      <c r="M684" s="19">
        <v>0.54166666666666663</v>
      </c>
      <c r="N684" s="106">
        <v>44.05</v>
      </c>
      <c r="S684" s="36"/>
      <c r="T684" s="36"/>
    </row>
    <row r="685" spans="1:20" s="38" customFormat="1" ht="15.75" hidden="1" x14ac:dyDescent="0.3">
      <c r="A685" s="36" t="str">
        <f xml:space="preserve"> IF( 'From SvanPC++'!A675= "", "", ('From SvanPC++'!A675))</f>
        <v/>
      </c>
      <c r="B685" s="35" t="s">
        <v>814</v>
      </c>
      <c r="C685" s="34">
        <v>43.4</v>
      </c>
      <c r="D685" s="36"/>
      <c r="E685" s="20">
        <v>44183</v>
      </c>
      <c r="F685" s="19">
        <v>0.55208333333333337</v>
      </c>
      <c r="H685" s="34">
        <v>43.4</v>
      </c>
      <c r="I685" s="19"/>
      <c r="L685" s="20">
        <v>44183</v>
      </c>
      <c r="M685" s="19">
        <v>0.55208333333333337</v>
      </c>
      <c r="N685" s="19"/>
      <c r="S685" s="36"/>
      <c r="T685" s="36"/>
    </row>
    <row r="686" spans="1:20" s="38" customFormat="1" ht="15.75" hidden="1" x14ac:dyDescent="0.3">
      <c r="A686" s="36" t="str">
        <f xml:space="preserve"> IF( 'From SvanPC++'!A676= "", "", ('From SvanPC++'!A676))</f>
        <v/>
      </c>
      <c r="B686" s="35" t="s">
        <v>815</v>
      </c>
      <c r="C686" s="34">
        <v>42.2</v>
      </c>
      <c r="D686" s="36"/>
      <c r="E686" s="20">
        <v>44183</v>
      </c>
      <c r="F686" s="19">
        <v>0.5625</v>
      </c>
      <c r="H686" s="34">
        <v>42.2</v>
      </c>
      <c r="I686" s="19"/>
      <c r="L686" s="20">
        <v>44183</v>
      </c>
      <c r="M686" s="19">
        <v>0.5625</v>
      </c>
      <c r="N686" s="19"/>
      <c r="S686" s="36"/>
      <c r="T686" s="36"/>
    </row>
    <row r="687" spans="1:20" s="38" customFormat="1" ht="15.75" hidden="1" x14ac:dyDescent="0.3">
      <c r="A687" s="36" t="str">
        <f xml:space="preserve"> IF( 'From SvanPC++'!A677= "", "", ('From SvanPC++'!A677))</f>
        <v/>
      </c>
      <c r="B687" s="35" t="s">
        <v>816</v>
      </c>
      <c r="C687" s="34">
        <v>43.8</v>
      </c>
      <c r="D687" s="36"/>
      <c r="E687" s="20">
        <v>44183</v>
      </c>
      <c r="F687" s="19">
        <v>0.57291666666666663</v>
      </c>
      <c r="H687" s="34">
        <v>43.8</v>
      </c>
      <c r="I687" s="19"/>
      <c r="L687" s="20">
        <v>44183</v>
      </c>
      <c r="M687" s="19">
        <v>0.57291666666666663</v>
      </c>
      <c r="N687" s="19"/>
      <c r="S687" s="36"/>
      <c r="T687" s="36"/>
    </row>
    <row r="688" spans="1:20" s="38" customFormat="1" ht="15.75" x14ac:dyDescent="0.3">
      <c r="A688" s="36" t="str">
        <f xml:space="preserve"> IF( 'From SvanPC++'!A678= "", "", ('From SvanPC++'!A678))</f>
        <v/>
      </c>
      <c r="B688" s="35" t="s">
        <v>817</v>
      </c>
      <c r="C688" s="34">
        <v>44.3</v>
      </c>
      <c r="D688" s="36"/>
      <c r="E688" s="20">
        <v>44183</v>
      </c>
      <c r="F688" s="19">
        <v>0.58333333333333337</v>
      </c>
      <c r="H688" s="34">
        <v>44.3</v>
      </c>
      <c r="I688" s="106">
        <f>AVERAGE(H685:H688)</f>
        <v>43.424999999999997</v>
      </c>
      <c r="L688" s="20">
        <v>44183</v>
      </c>
      <c r="M688" s="19">
        <v>0.58333333333333337</v>
      </c>
      <c r="N688" s="106">
        <v>43.424999999999997</v>
      </c>
      <c r="S688" s="36"/>
      <c r="T688" s="36"/>
    </row>
    <row r="689" spans="1:20" s="38" customFormat="1" ht="15.75" hidden="1" x14ac:dyDescent="0.3">
      <c r="A689" s="36" t="str">
        <f xml:space="preserve"> IF( 'From SvanPC++'!A679= "", "", ('From SvanPC++'!A679))</f>
        <v/>
      </c>
      <c r="B689" s="35" t="s">
        <v>818</v>
      </c>
      <c r="C689" s="34">
        <v>45.7</v>
      </c>
      <c r="D689" s="36"/>
      <c r="E689" s="20">
        <v>44183</v>
      </c>
      <c r="F689" s="19">
        <v>0.59375</v>
      </c>
      <c r="H689" s="34">
        <v>45.7</v>
      </c>
      <c r="I689" s="19"/>
      <c r="L689" s="20">
        <v>44183</v>
      </c>
      <c r="M689" s="19">
        <v>0.59375</v>
      </c>
      <c r="N689" s="19"/>
      <c r="S689" s="36"/>
      <c r="T689" s="36"/>
    </row>
    <row r="690" spans="1:20" s="38" customFormat="1" ht="15.75" hidden="1" x14ac:dyDescent="0.3">
      <c r="A690" s="36" t="str">
        <f xml:space="preserve"> IF( 'From SvanPC++'!A680= "", "", ('From SvanPC++'!A680))</f>
        <v/>
      </c>
      <c r="B690" s="35" t="s">
        <v>819</v>
      </c>
      <c r="C690" s="34">
        <v>44</v>
      </c>
      <c r="D690" s="36"/>
      <c r="E690" s="20">
        <v>44183</v>
      </c>
      <c r="F690" s="19">
        <v>0.60416666666666663</v>
      </c>
      <c r="H690" s="34">
        <v>44</v>
      </c>
      <c r="I690" s="19"/>
      <c r="L690" s="20">
        <v>44183</v>
      </c>
      <c r="M690" s="19">
        <v>0.60416666666666663</v>
      </c>
      <c r="N690" s="19"/>
      <c r="S690" s="36"/>
      <c r="T690" s="36"/>
    </row>
    <row r="691" spans="1:20" s="38" customFormat="1" ht="15.75" hidden="1" x14ac:dyDescent="0.3">
      <c r="A691" s="36" t="str">
        <f xml:space="preserve"> IF( 'From SvanPC++'!A681= "", "", ('From SvanPC++'!A681))</f>
        <v/>
      </c>
      <c r="B691" s="35" t="s">
        <v>820</v>
      </c>
      <c r="C691" s="34">
        <v>43.6</v>
      </c>
      <c r="D691" s="36"/>
      <c r="E691" s="20">
        <v>44183</v>
      </c>
      <c r="F691" s="19">
        <v>0.61458333333333337</v>
      </c>
      <c r="H691" s="34">
        <v>43.6</v>
      </c>
      <c r="I691" s="19"/>
      <c r="L691" s="20">
        <v>44183</v>
      </c>
      <c r="M691" s="19">
        <v>0.61458333333333337</v>
      </c>
      <c r="N691" s="19"/>
      <c r="S691" s="36"/>
      <c r="T691" s="36"/>
    </row>
    <row r="692" spans="1:20" s="38" customFormat="1" ht="15.75" x14ac:dyDescent="0.3">
      <c r="A692" s="36" t="str">
        <f xml:space="preserve"> IF( 'From SvanPC++'!A682= "", "", ('From SvanPC++'!A682))</f>
        <v/>
      </c>
      <c r="B692" s="35" t="s">
        <v>821</v>
      </c>
      <c r="C692" s="34">
        <v>43.5</v>
      </c>
      <c r="D692" s="36"/>
      <c r="E692" s="20">
        <v>44183</v>
      </c>
      <c r="F692" s="19">
        <v>0.625</v>
      </c>
      <c r="H692" s="34">
        <v>43.5</v>
      </c>
      <c r="I692" s="106">
        <f>AVERAGE(H689:H692)</f>
        <v>44.2</v>
      </c>
      <c r="L692" s="20">
        <v>44183</v>
      </c>
      <c r="M692" s="19">
        <v>0.625</v>
      </c>
      <c r="N692" s="106">
        <v>44.2</v>
      </c>
      <c r="S692" s="36"/>
      <c r="T692" s="36"/>
    </row>
    <row r="693" spans="1:20" s="38" customFormat="1" ht="15.75" hidden="1" x14ac:dyDescent="0.3">
      <c r="A693" s="36" t="str">
        <f xml:space="preserve"> IF( 'From SvanPC++'!A683= "", "", ('From SvanPC++'!A683))</f>
        <v/>
      </c>
      <c r="B693" s="35" t="s">
        <v>822</v>
      </c>
      <c r="C693" s="34">
        <v>44.1</v>
      </c>
      <c r="D693" s="36"/>
      <c r="E693" s="20">
        <v>44183</v>
      </c>
      <c r="F693" s="19">
        <v>0.63541666666666663</v>
      </c>
      <c r="H693" s="34">
        <v>44.1</v>
      </c>
      <c r="I693" s="19"/>
      <c r="L693" s="20">
        <v>44183</v>
      </c>
      <c r="M693" s="19">
        <v>0.63541666666666663</v>
      </c>
      <c r="N693" s="19"/>
      <c r="S693" s="36"/>
      <c r="T693" s="36"/>
    </row>
    <row r="694" spans="1:20" s="38" customFormat="1" ht="15.75" hidden="1" x14ac:dyDescent="0.3">
      <c r="A694" s="36" t="str">
        <f xml:space="preserve"> IF( 'From SvanPC++'!A684= "", "", ('From SvanPC++'!A684))</f>
        <v/>
      </c>
      <c r="B694" s="35" t="s">
        <v>823</v>
      </c>
      <c r="C694" s="34">
        <v>44</v>
      </c>
      <c r="D694" s="36"/>
      <c r="E694" s="20">
        <v>44183</v>
      </c>
      <c r="F694" s="19">
        <v>0.64583333333333337</v>
      </c>
      <c r="H694" s="34">
        <v>44</v>
      </c>
      <c r="I694" s="19"/>
      <c r="L694" s="20">
        <v>44183</v>
      </c>
      <c r="M694" s="19">
        <v>0.64583333333333337</v>
      </c>
      <c r="N694" s="19"/>
      <c r="S694" s="36"/>
      <c r="T694" s="36"/>
    </row>
    <row r="695" spans="1:20" s="38" customFormat="1" ht="15.75" hidden="1" x14ac:dyDescent="0.3">
      <c r="A695" s="36" t="str">
        <f xml:space="preserve"> IF( 'From SvanPC++'!A685= "", "", ('From SvanPC++'!A685))</f>
        <v/>
      </c>
      <c r="B695" s="35" t="s">
        <v>824</v>
      </c>
      <c r="C695" s="34">
        <v>44.3</v>
      </c>
      <c r="D695" s="36"/>
      <c r="E695" s="20">
        <v>44183</v>
      </c>
      <c r="F695" s="19">
        <v>0.65625</v>
      </c>
      <c r="H695" s="34">
        <v>44.3</v>
      </c>
      <c r="I695" s="19"/>
      <c r="L695" s="20">
        <v>44183</v>
      </c>
      <c r="M695" s="19">
        <v>0.65625</v>
      </c>
      <c r="N695" s="19"/>
      <c r="S695" s="36"/>
      <c r="T695" s="36"/>
    </row>
    <row r="696" spans="1:20" s="38" customFormat="1" ht="15.75" x14ac:dyDescent="0.3">
      <c r="A696" s="36" t="str">
        <f xml:space="preserve"> IF( 'From SvanPC++'!A686= "", "", ('From SvanPC++'!A686))</f>
        <v/>
      </c>
      <c r="B696" s="35" t="s">
        <v>825</v>
      </c>
      <c r="C696" s="34">
        <v>45.7</v>
      </c>
      <c r="D696" s="36"/>
      <c r="E696" s="20">
        <v>44183</v>
      </c>
      <c r="F696" s="19">
        <v>0.66666666666666663</v>
      </c>
      <c r="H696" s="34">
        <v>45.7</v>
      </c>
      <c r="I696" s="106">
        <f>AVERAGE(H693:H696)</f>
        <v>44.524999999999991</v>
      </c>
      <c r="L696" s="20">
        <v>44183</v>
      </c>
      <c r="M696" s="19">
        <v>0.66666666666666663</v>
      </c>
      <c r="N696" s="106">
        <v>44.524999999999991</v>
      </c>
      <c r="S696" s="36"/>
      <c r="T696" s="36"/>
    </row>
    <row r="697" spans="1:20" s="38" customFormat="1" ht="15.75" hidden="1" x14ac:dyDescent="0.3">
      <c r="A697" s="36" t="str">
        <f xml:space="preserve"> IF( 'From SvanPC++'!A687= "", "", ('From SvanPC++'!A687))</f>
        <v/>
      </c>
      <c r="B697" s="35" t="s">
        <v>826</v>
      </c>
      <c r="C697" s="34">
        <v>44.3</v>
      </c>
      <c r="D697" s="36"/>
      <c r="E697" s="20">
        <v>44183</v>
      </c>
      <c r="F697" s="19">
        <v>0.67708333333333337</v>
      </c>
      <c r="H697" s="34">
        <v>44.3</v>
      </c>
      <c r="I697" s="19"/>
      <c r="L697" s="20">
        <v>44183</v>
      </c>
      <c r="M697" s="19">
        <v>0.67708333333333337</v>
      </c>
      <c r="N697" s="19"/>
      <c r="S697" s="36"/>
      <c r="T697" s="36"/>
    </row>
    <row r="698" spans="1:20" s="38" customFormat="1" ht="15.75" hidden="1" x14ac:dyDescent="0.3">
      <c r="A698" s="36" t="str">
        <f xml:space="preserve"> IF( 'From SvanPC++'!A688= "", "", ('From SvanPC++'!A688))</f>
        <v/>
      </c>
      <c r="B698" s="35" t="s">
        <v>827</v>
      </c>
      <c r="C698" s="34">
        <v>45.6</v>
      </c>
      <c r="D698" s="36"/>
      <c r="E698" s="20">
        <v>44183</v>
      </c>
      <c r="F698" s="19">
        <v>0.6875</v>
      </c>
      <c r="H698" s="34">
        <v>45.6</v>
      </c>
      <c r="I698" s="19"/>
      <c r="L698" s="20">
        <v>44183</v>
      </c>
      <c r="M698" s="19">
        <v>0.6875</v>
      </c>
      <c r="N698" s="19"/>
      <c r="S698" s="36"/>
      <c r="T698" s="36"/>
    </row>
    <row r="699" spans="1:20" s="38" customFormat="1" ht="15.75" hidden="1" x14ac:dyDescent="0.3">
      <c r="A699" s="36" t="str">
        <f xml:space="preserve"> IF( 'From SvanPC++'!A689= "", "", ('From SvanPC++'!A689))</f>
        <v/>
      </c>
      <c r="B699" s="35" t="s">
        <v>828</v>
      </c>
      <c r="C699" s="34">
        <v>46.1</v>
      </c>
      <c r="D699" s="36"/>
      <c r="E699" s="20">
        <v>44183</v>
      </c>
      <c r="F699" s="19">
        <v>0.69791666666666663</v>
      </c>
      <c r="H699" s="34">
        <v>46.1</v>
      </c>
      <c r="I699" s="19"/>
      <c r="L699" s="20">
        <v>44183</v>
      </c>
      <c r="M699" s="19">
        <v>0.69791666666666663</v>
      </c>
      <c r="N699" s="19"/>
      <c r="S699" s="36"/>
      <c r="T699" s="36"/>
    </row>
    <row r="700" spans="1:20" s="38" customFormat="1" ht="15.75" x14ac:dyDescent="0.3">
      <c r="A700" s="36" t="str">
        <f xml:space="preserve"> IF( 'From SvanPC++'!A690= "", "", ('From SvanPC++'!A690))</f>
        <v/>
      </c>
      <c r="B700" s="35" t="s">
        <v>829</v>
      </c>
      <c r="C700" s="34">
        <v>44.1</v>
      </c>
      <c r="D700" s="36"/>
      <c r="E700" s="20">
        <v>44183</v>
      </c>
      <c r="F700" s="19">
        <v>0.70833333333333337</v>
      </c>
      <c r="H700" s="34">
        <v>44.1</v>
      </c>
      <c r="I700" s="106">
        <f>AVERAGE(H697:H700)</f>
        <v>45.024999999999999</v>
      </c>
      <c r="L700" s="20">
        <v>44183</v>
      </c>
      <c r="M700" s="19">
        <v>0.70833333333333337</v>
      </c>
      <c r="N700" s="106">
        <v>45.024999999999999</v>
      </c>
      <c r="S700" s="36"/>
      <c r="T700" s="36"/>
    </row>
    <row r="701" spans="1:20" s="38" customFormat="1" ht="15.75" hidden="1" x14ac:dyDescent="0.3">
      <c r="A701" s="36" t="str">
        <f xml:space="preserve"> IF( 'From SvanPC++'!A691= "", "", ('From SvanPC++'!A691))</f>
        <v/>
      </c>
      <c r="B701" s="35" t="s">
        <v>830</v>
      </c>
      <c r="C701" s="34">
        <v>46.1</v>
      </c>
      <c r="D701" s="36"/>
      <c r="E701" s="20">
        <v>44183</v>
      </c>
      <c r="F701" s="19">
        <v>0.71875</v>
      </c>
      <c r="H701" s="34">
        <v>46.1</v>
      </c>
      <c r="I701" s="19"/>
      <c r="L701" s="20">
        <v>44183</v>
      </c>
      <c r="M701" s="19">
        <v>0.71875</v>
      </c>
      <c r="N701" s="19"/>
      <c r="S701" s="36"/>
      <c r="T701" s="36"/>
    </row>
    <row r="702" spans="1:20" s="38" customFormat="1" ht="15.75" hidden="1" x14ac:dyDescent="0.3">
      <c r="A702" s="36" t="str">
        <f xml:space="preserve"> IF( 'From SvanPC++'!A692= "", "", ('From SvanPC++'!A692))</f>
        <v/>
      </c>
      <c r="B702" s="35" t="s">
        <v>831</v>
      </c>
      <c r="C702" s="34">
        <v>46.3</v>
      </c>
      <c r="D702" s="36"/>
      <c r="E702" s="20">
        <v>44183</v>
      </c>
      <c r="F702" s="19">
        <v>0.72916666666666663</v>
      </c>
      <c r="H702" s="34">
        <v>46.3</v>
      </c>
      <c r="I702" s="19"/>
      <c r="L702" s="20">
        <v>44183</v>
      </c>
      <c r="M702" s="19">
        <v>0.72916666666666663</v>
      </c>
      <c r="N702" s="19"/>
      <c r="S702" s="36"/>
      <c r="T702" s="36"/>
    </row>
    <row r="703" spans="1:20" s="38" customFormat="1" ht="15.75" hidden="1" x14ac:dyDescent="0.3">
      <c r="A703" s="36" t="str">
        <f xml:space="preserve"> IF( 'From SvanPC++'!A693= "", "", ('From SvanPC++'!A693))</f>
        <v/>
      </c>
      <c r="B703" s="35" t="s">
        <v>832</v>
      </c>
      <c r="C703" s="34">
        <v>45.3</v>
      </c>
      <c r="D703" s="36"/>
      <c r="E703" s="20">
        <v>44183</v>
      </c>
      <c r="F703" s="19">
        <v>0.73958333333333337</v>
      </c>
      <c r="H703" s="34">
        <v>45.3</v>
      </c>
      <c r="I703" s="19"/>
      <c r="L703" s="20">
        <v>44183</v>
      </c>
      <c r="M703" s="19">
        <v>0.73958333333333337</v>
      </c>
      <c r="N703" s="19"/>
      <c r="S703" s="36"/>
      <c r="T703" s="36"/>
    </row>
    <row r="704" spans="1:20" s="38" customFormat="1" ht="15.75" x14ac:dyDescent="0.3">
      <c r="A704" s="36" t="str">
        <f xml:space="preserve"> IF( 'From SvanPC++'!A694= "", "", ('From SvanPC++'!A694))</f>
        <v/>
      </c>
      <c r="B704" s="35" t="s">
        <v>833</v>
      </c>
      <c r="C704" s="34">
        <v>44</v>
      </c>
      <c r="D704" s="36"/>
      <c r="E704" s="20">
        <v>44183</v>
      </c>
      <c r="F704" s="19">
        <v>0.75</v>
      </c>
      <c r="H704" s="34">
        <v>44</v>
      </c>
      <c r="I704" s="106">
        <f>AVERAGE(H701:H704)</f>
        <v>45.424999999999997</v>
      </c>
      <c r="L704" s="20">
        <v>44183</v>
      </c>
      <c r="M704" s="19">
        <v>0.75</v>
      </c>
      <c r="N704" s="106">
        <v>45.424999999999997</v>
      </c>
      <c r="S704" s="36"/>
      <c r="T704" s="36"/>
    </row>
    <row r="705" spans="1:20" s="38" customFormat="1" ht="15.75" hidden="1" x14ac:dyDescent="0.3">
      <c r="A705" s="36" t="str">
        <f xml:space="preserve"> IF( 'From SvanPC++'!A695= "", "", ('From SvanPC++'!A695))</f>
        <v/>
      </c>
      <c r="B705" s="35" t="s">
        <v>834</v>
      </c>
      <c r="C705" s="34">
        <v>44.8</v>
      </c>
      <c r="D705" s="36"/>
      <c r="E705" s="20">
        <v>44183</v>
      </c>
      <c r="F705" s="19">
        <v>0.76041666666666663</v>
      </c>
      <c r="H705" s="34">
        <v>44.8</v>
      </c>
      <c r="I705" s="19"/>
      <c r="L705" s="20">
        <v>44183</v>
      </c>
      <c r="M705" s="19">
        <v>0.76041666666666663</v>
      </c>
      <c r="N705" s="19"/>
      <c r="S705" s="36"/>
      <c r="T705" s="36"/>
    </row>
    <row r="706" spans="1:20" s="38" customFormat="1" ht="15.75" hidden="1" x14ac:dyDescent="0.3">
      <c r="A706" s="36" t="str">
        <f xml:space="preserve"> IF( 'From SvanPC++'!A696= "", "", ('From SvanPC++'!A696))</f>
        <v/>
      </c>
      <c r="B706" s="35" t="s">
        <v>835</v>
      </c>
      <c r="C706" s="34">
        <v>43.4</v>
      </c>
      <c r="D706" s="36"/>
      <c r="E706" s="20">
        <v>44183</v>
      </c>
      <c r="F706" s="19">
        <v>0.77083333333333337</v>
      </c>
      <c r="H706" s="34">
        <v>43.4</v>
      </c>
      <c r="I706" s="19"/>
      <c r="L706" s="20">
        <v>44183</v>
      </c>
      <c r="M706" s="19">
        <v>0.77083333333333337</v>
      </c>
      <c r="N706" s="19"/>
      <c r="S706" s="36"/>
      <c r="T706" s="36"/>
    </row>
    <row r="707" spans="1:20" s="38" customFormat="1" ht="15.75" hidden="1" x14ac:dyDescent="0.3">
      <c r="A707" s="36" t="str">
        <f xml:space="preserve"> IF( 'From SvanPC++'!A697= "", "", ('From SvanPC++'!A697))</f>
        <v/>
      </c>
      <c r="B707" s="35" t="s">
        <v>836</v>
      </c>
      <c r="C707" s="34">
        <v>42</v>
      </c>
      <c r="D707" s="36"/>
      <c r="E707" s="20">
        <v>44183</v>
      </c>
      <c r="F707" s="19">
        <v>0.78125</v>
      </c>
      <c r="H707" s="34">
        <v>42</v>
      </c>
      <c r="I707" s="19"/>
      <c r="L707" s="20">
        <v>44183</v>
      </c>
      <c r="M707" s="19">
        <v>0.78125</v>
      </c>
      <c r="N707" s="19"/>
      <c r="S707" s="36"/>
      <c r="T707" s="36"/>
    </row>
    <row r="708" spans="1:20" s="38" customFormat="1" ht="15.75" x14ac:dyDescent="0.3">
      <c r="A708" s="36" t="str">
        <f xml:space="preserve"> IF( 'From SvanPC++'!A698= "", "", ('From SvanPC++'!A698))</f>
        <v/>
      </c>
      <c r="B708" s="35" t="s">
        <v>837</v>
      </c>
      <c r="C708" s="34">
        <v>42.4</v>
      </c>
      <c r="D708" s="36"/>
      <c r="E708" s="20">
        <v>44183</v>
      </c>
      <c r="F708" s="19">
        <v>0.79166666666666663</v>
      </c>
      <c r="H708" s="34">
        <v>42.4</v>
      </c>
      <c r="I708" s="106">
        <f>AVERAGE(H705:H708)</f>
        <v>43.15</v>
      </c>
      <c r="L708" s="20">
        <v>44183</v>
      </c>
      <c r="M708" s="19">
        <v>0.79166666666666663</v>
      </c>
      <c r="N708" s="106">
        <v>43.15</v>
      </c>
      <c r="S708" s="36"/>
      <c r="T708" s="36"/>
    </row>
    <row r="709" spans="1:20" s="38" customFormat="1" ht="15.75" hidden="1" x14ac:dyDescent="0.3">
      <c r="A709" s="36" t="str">
        <f xml:space="preserve"> IF( 'From SvanPC++'!A699= "", "", ('From SvanPC++'!A699))</f>
        <v/>
      </c>
      <c r="B709" s="35" t="s">
        <v>838</v>
      </c>
      <c r="C709" s="34">
        <v>42.2</v>
      </c>
      <c r="D709" s="36"/>
      <c r="E709" s="20">
        <v>44183</v>
      </c>
      <c r="F709" s="19">
        <v>0.80208333333333337</v>
      </c>
      <c r="H709" s="34">
        <v>42.2</v>
      </c>
      <c r="I709" s="19"/>
      <c r="L709" s="20">
        <v>44183</v>
      </c>
      <c r="M709" s="19">
        <v>0.80208333333333337</v>
      </c>
      <c r="N709" s="19"/>
      <c r="S709" s="36"/>
      <c r="T709" s="36"/>
    </row>
    <row r="710" spans="1:20" s="38" customFormat="1" ht="15.75" hidden="1" x14ac:dyDescent="0.3">
      <c r="A710" s="36" t="str">
        <f xml:space="preserve"> IF( 'From SvanPC++'!A700= "", "", ('From SvanPC++'!A700))</f>
        <v/>
      </c>
      <c r="B710" s="35" t="s">
        <v>839</v>
      </c>
      <c r="C710" s="34">
        <v>42.1</v>
      </c>
      <c r="D710" s="36"/>
      <c r="E710" s="20">
        <v>44183</v>
      </c>
      <c r="F710" s="19">
        <v>0.8125</v>
      </c>
      <c r="H710" s="34">
        <v>42.1</v>
      </c>
      <c r="I710" s="19"/>
      <c r="L710" s="20">
        <v>44183</v>
      </c>
      <c r="M710" s="19">
        <v>0.8125</v>
      </c>
      <c r="N710" s="19"/>
      <c r="S710" s="36"/>
      <c r="T710" s="36"/>
    </row>
    <row r="711" spans="1:20" s="38" customFormat="1" ht="15.75" hidden="1" x14ac:dyDescent="0.3">
      <c r="A711" s="36" t="str">
        <f xml:space="preserve"> IF( 'From SvanPC++'!A701= "", "", ('From SvanPC++'!A701))</f>
        <v/>
      </c>
      <c r="B711" s="35" t="s">
        <v>840</v>
      </c>
      <c r="C711" s="34">
        <v>41.1</v>
      </c>
      <c r="D711" s="36"/>
      <c r="E711" s="20">
        <v>44183</v>
      </c>
      <c r="F711" s="19">
        <v>0.82291666666666663</v>
      </c>
      <c r="H711" s="34">
        <v>41.1</v>
      </c>
      <c r="I711" s="19"/>
      <c r="L711" s="20">
        <v>44183</v>
      </c>
      <c r="M711" s="19">
        <v>0.82291666666666663</v>
      </c>
      <c r="N711" s="19"/>
      <c r="S711" s="36"/>
      <c r="T711" s="36"/>
    </row>
    <row r="712" spans="1:20" s="38" customFormat="1" ht="15.75" x14ac:dyDescent="0.3">
      <c r="A712" s="36" t="str">
        <f xml:space="preserve"> IF( 'From SvanPC++'!A702= "", "", ('From SvanPC++'!A702))</f>
        <v/>
      </c>
      <c r="B712" s="35" t="s">
        <v>841</v>
      </c>
      <c r="C712" s="34">
        <v>40.700000000000003</v>
      </c>
      <c r="D712" s="36"/>
      <c r="E712" s="20">
        <v>44183</v>
      </c>
      <c r="F712" s="19">
        <v>0.83333333333333337</v>
      </c>
      <c r="H712" s="34">
        <v>40.700000000000003</v>
      </c>
      <c r="I712" s="106">
        <f>AVERAGE(H709:H712)</f>
        <v>41.525000000000006</v>
      </c>
      <c r="L712" s="20">
        <v>44183</v>
      </c>
      <c r="M712" s="19">
        <v>0.83333333333333337</v>
      </c>
      <c r="N712" s="106">
        <v>41.525000000000006</v>
      </c>
      <c r="S712" s="36"/>
      <c r="T712" s="36"/>
    </row>
    <row r="713" spans="1:20" s="38" customFormat="1" ht="15.75" hidden="1" x14ac:dyDescent="0.3">
      <c r="A713" s="36" t="str">
        <f xml:space="preserve"> IF( 'From SvanPC++'!A703= "", "", ('From SvanPC++'!A703))</f>
        <v/>
      </c>
      <c r="B713" s="35" t="s">
        <v>842</v>
      </c>
      <c r="C713" s="34">
        <v>40.299999999999997</v>
      </c>
      <c r="D713" s="36"/>
      <c r="E713" s="20">
        <v>44183</v>
      </c>
      <c r="F713" s="19">
        <v>0.84375</v>
      </c>
      <c r="H713" s="34">
        <v>40.299999999999997</v>
      </c>
      <c r="I713" s="19"/>
      <c r="L713" s="20">
        <v>44183</v>
      </c>
      <c r="M713" s="19">
        <v>0.84375</v>
      </c>
      <c r="N713" s="19"/>
      <c r="S713" s="36"/>
      <c r="T713" s="36"/>
    </row>
    <row r="714" spans="1:20" s="38" customFormat="1" ht="15.75" hidden="1" x14ac:dyDescent="0.3">
      <c r="A714" s="36" t="str">
        <f xml:space="preserve"> IF( 'From SvanPC++'!A704= "", "", ('From SvanPC++'!A704))</f>
        <v/>
      </c>
      <c r="B714" s="35" t="s">
        <v>843</v>
      </c>
      <c r="C714" s="34">
        <v>38.6</v>
      </c>
      <c r="D714" s="36"/>
      <c r="E714" s="20">
        <v>44183</v>
      </c>
      <c r="F714" s="19">
        <v>0.85416666666666663</v>
      </c>
      <c r="H714" s="34">
        <v>38.6</v>
      </c>
      <c r="I714" s="19"/>
      <c r="L714" s="20">
        <v>44183</v>
      </c>
      <c r="M714" s="19">
        <v>0.85416666666666663</v>
      </c>
      <c r="N714" s="19"/>
      <c r="S714" s="36"/>
      <c r="T714" s="36"/>
    </row>
    <row r="715" spans="1:20" s="38" customFormat="1" ht="15.75" hidden="1" x14ac:dyDescent="0.3">
      <c r="A715" s="36" t="str">
        <f xml:space="preserve"> IF( 'From SvanPC++'!A705= "", "", ('From SvanPC++'!A705))</f>
        <v/>
      </c>
      <c r="B715" s="35" t="s">
        <v>844</v>
      </c>
      <c r="C715" s="34">
        <v>39.799999999999997</v>
      </c>
      <c r="D715" s="36"/>
      <c r="E715" s="20">
        <v>44183</v>
      </c>
      <c r="F715" s="19">
        <v>0.86458333333333337</v>
      </c>
      <c r="H715" s="34">
        <v>39.799999999999997</v>
      </c>
      <c r="I715" s="19"/>
      <c r="L715" s="20">
        <v>44183</v>
      </c>
      <c r="M715" s="19">
        <v>0.86458333333333337</v>
      </c>
      <c r="N715" s="19"/>
      <c r="S715" s="36"/>
      <c r="T715" s="36"/>
    </row>
    <row r="716" spans="1:20" s="38" customFormat="1" ht="15.75" x14ac:dyDescent="0.3">
      <c r="A716" s="36" t="str">
        <f xml:space="preserve"> IF( 'From SvanPC++'!A706= "", "", ('From SvanPC++'!A706))</f>
        <v/>
      </c>
      <c r="B716" s="35" t="s">
        <v>845</v>
      </c>
      <c r="C716" s="34">
        <v>39.9</v>
      </c>
      <c r="D716" s="36"/>
      <c r="E716" s="20">
        <v>44183</v>
      </c>
      <c r="F716" s="19">
        <v>0.875</v>
      </c>
      <c r="H716" s="34">
        <v>39.9</v>
      </c>
      <c r="I716" s="106">
        <f>AVERAGE(H713:H716)</f>
        <v>39.65</v>
      </c>
      <c r="L716" s="20">
        <v>44183</v>
      </c>
      <c r="M716" s="19">
        <v>0.875</v>
      </c>
      <c r="N716" s="106">
        <v>39.65</v>
      </c>
      <c r="S716" s="36"/>
      <c r="T716" s="36"/>
    </row>
    <row r="717" spans="1:20" s="38" customFormat="1" ht="15.75" hidden="1" x14ac:dyDescent="0.3">
      <c r="A717" s="36" t="str">
        <f xml:space="preserve"> IF( 'From SvanPC++'!A707= "", "", ('From SvanPC++'!A707))</f>
        <v/>
      </c>
      <c r="B717" s="35" t="s">
        <v>846</v>
      </c>
      <c r="C717" s="34">
        <v>40.1</v>
      </c>
      <c r="D717" s="36"/>
      <c r="E717" s="20">
        <v>44183</v>
      </c>
      <c r="F717" s="19">
        <v>0.88541666666666663</v>
      </c>
      <c r="H717" s="34">
        <v>40.1</v>
      </c>
      <c r="I717" s="19"/>
      <c r="L717" s="20">
        <v>44183</v>
      </c>
      <c r="M717" s="19">
        <v>0.88541666666666663</v>
      </c>
      <c r="N717" s="19"/>
      <c r="S717" s="36"/>
      <c r="T717" s="36"/>
    </row>
    <row r="718" spans="1:20" s="38" customFormat="1" ht="15.75" hidden="1" x14ac:dyDescent="0.3">
      <c r="A718" s="36" t="str">
        <f xml:space="preserve"> IF( 'From SvanPC++'!A708= "", "", ('From SvanPC++'!A708))</f>
        <v/>
      </c>
      <c r="B718" s="35" t="s">
        <v>847</v>
      </c>
      <c r="C718" s="34">
        <v>40</v>
      </c>
      <c r="D718" s="36"/>
      <c r="E718" s="20">
        <v>44183</v>
      </c>
      <c r="F718" s="19">
        <v>0.89583333333333337</v>
      </c>
      <c r="H718" s="34">
        <v>40</v>
      </c>
      <c r="I718" s="19"/>
      <c r="L718" s="20">
        <v>44183</v>
      </c>
      <c r="M718" s="19">
        <v>0.89583333333333337</v>
      </c>
      <c r="N718" s="19"/>
      <c r="S718" s="36"/>
      <c r="T718" s="36"/>
    </row>
    <row r="719" spans="1:20" s="38" customFormat="1" ht="15.75" hidden="1" x14ac:dyDescent="0.3">
      <c r="A719" s="36" t="str">
        <f xml:space="preserve"> IF( 'From SvanPC++'!A709= "", "", ('From SvanPC++'!A709))</f>
        <v/>
      </c>
      <c r="B719" s="35" t="s">
        <v>848</v>
      </c>
      <c r="C719" s="34">
        <v>40.1</v>
      </c>
      <c r="D719" s="36"/>
      <c r="E719" s="20">
        <v>44183</v>
      </c>
      <c r="F719" s="19">
        <v>0.90625</v>
      </c>
      <c r="H719" s="34">
        <v>40.1</v>
      </c>
      <c r="I719" s="19"/>
      <c r="L719" s="20">
        <v>44183</v>
      </c>
      <c r="M719" s="19">
        <v>0.90625</v>
      </c>
      <c r="N719" s="19"/>
      <c r="S719" s="36"/>
      <c r="T719" s="36"/>
    </row>
    <row r="720" spans="1:20" s="38" customFormat="1" ht="15.75" x14ac:dyDescent="0.3">
      <c r="A720" s="36" t="str">
        <f xml:space="preserve"> IF( 'From SvanPC++'!A710= "", "", ('From SvanPC++'!A710))</f>
        <v/>
      </c>
      <c r="B720" s="35" t="s">
        <v>849</v>
      </c>
      <c r="C720" s="34">
        <v>39.1</v>
      </c>
      <c r="D720" s="36"/>
      <c r="E720" s="20">
        <v>44183</v>
      </c>
      <c r="F720" s="19">
        <v>0.91666666666666663</v>
      </c>
      <c r="H720" s="34">
        <v>39.1</v>
      </c>
      <c r="I720" s="106">
        <f>AVERAGE(H717:H720)</f>
        <v>39.824999999999996</v>
      </c>
      <c r="L720" s="20">
        <v>44183</v>
      </c>
      <c r="M720" s="19">
        <v>0.91666666666666663</v>
      </c>
      <c r="N720" s="106">
        <v>39.824999999999996</v>
      </c>
      <c r="S720" s="36"/>
      <c r="T720" s="36"/>
    </row>
    <row r="721" spans="1:20" s="38" customFormat="1" ht="15.75" hidden="1" x14ac:dyDescent="0.3">
      <c r="A721" s="36" t="str">
        <f xml:space="preserve"> IF( 'From SvanPC++'!A711= "", "", ('From SvanPC++'!A711))</f>
        <v/>
      </c>
      <c r="B721" s="35" t="s">
        <v>850</v>
      </c>
      <c r="C721" s="34">
        <v>38.4</v>
      </c>
      <c r="D721" s="36"/>
      <c r="E721" s="20">
        <v>44183</v>
      </c>
      <c r="F721" s="19">
        <v>0.92708333333333337</v>
      </c>
      <c r="H721" s="34">
        <v>38.4</v>
      </c>
      <c r="I721" s="19"/>
      <c r="L721" s="20">
        <v>44183</v>
      </c>
      <c r="M721" s="19">
        <v>0.92708333333333337</v>
      </c>
      <c r="N721" s="19"/>
      <c r="S721" s="36"/>
      <c r="T721" s="36"/>
    </row>
    <row r="722" spans="1:20" s="38" customFormat="1" ht="15.75" hidden="1" x14ac:dyDescent="0.3">
      <c r="A722" s="36" t="str">
        <f xml:space="preserve"> IF( 'From SvanPC++'!A712= "", "", ('From SvanPC++'!A712))</f>
        <v/>
      </c>
      <c r="B722" s="35" t="s">
        <v>851</v>
      </c>
      <c r="C722" s="34">
        <v>38.5</v>
      </c>
      <c r="D722" s="36"/>
      <c r="E722" s="20">
        <v>44183</v>
      </c>
      <c r="F722" s="19">
        <v>0.9375</v>
      </c>
      <c r="H722" s="34">
        <v>38.5</v>
      </c>
      <c r="I722" s="19"/>
      <c r="L722" s="20">
        <v>44183</v>
      </c>
      <c r="M722" s="19">
        <v>0.9375</v>
      </c>
      <c r="N722" s="19"/>
      <c r="S722" s="36"/>
      <c r="T722" s="36"/>
    </row>
    <row r="723" spans="1:20" s="38" customFormat="1" ht="15.75" hidden="1" x14ac:dyDescent="0.3">
      <c r="A723" s="36" t="str">
        <f xml:space="preserve"> IF( 'From SvanPC++'!A713= "", "", ('From SvanPC++'!A713))</f>
        <v/>
      </c>
      <c r="B723" s="35" t="s">
        <v>852</v>
      </c>
      <c r="C723" s="34">
        <v>38.4</v>
      </c>
      <c r="D723" s="36"/>
      <c r="E723" s="20">
        <v>44183</v>
      </c>
      <c r="F723" s="19">
        <v>0.94791666666666663</v>
      </c>
      <c r="H723" s="34">
        <v>38.4</v>
      </c>
      <c r="I723" s="19"/>
      <c r="L723" s="20">
        <v>44183</v>
      </c>
      <c r="M723" s="19">
        <v>0.94791666666666663</v>
      </c>
      <c r="N723" s="19"/>
      <c r="S723" s="36"/>
      <c r="T723" s="36"/>
    </row>
    <row r="724" spans="1:20" s="38" customFormat="1" ht="15.75" x14ac:dyDescent="0.3">
      <c r="A724" s="36" t="str">
        <f xml:space="preserve"> IF( 'From SvanPC++'!A714= "", "", ('From SvanPC++'!A714))</f>
        <v/>
      </c>
      <c r="B724" s="35" t="s">
        <v>853</v>
      </c>
      <c r="C724" s="34">
        <v>35.700000000000003</v>
      </c>
      <c r="D724" s="36"/>
      <c r="E724" s="20">
        <v>44183</v>
      </c>
      <c r="F724" s="19">
        <v>0.95833333333333337</v>
      </c>
      <c r="H724" s="34">
        <v>35.700000000000003</v>
      </c>
      <c r="I724" s="106">
        <f>AVERAGE(H721:H724)</f>
        <v>37.75</v>
      </c>
      <c r="L724" s="20">
        <v>44183</v>
      </c>
      <c r="M724" s="19">
        <v>0.95833333333333337</v>
      </c>
      <c r="N724" s="106">
        <v>37.75</v>
      </c>
      <c r="S724" s="36"/>
      <c r="T724" s="36"/>
    </row>
    <row r="725" spans="1:20" s="38" customFormat="1" ht="15.75" hidden="1" x14ac:dyDescent="0.3">
      <c r="A725" s="36" t="str">
        <f xml:space="preserve"> IF( 'From SvanPC++'!A715= "", "", ('From SvanPC++'!A715))</f>
        <v/>
      </c>
      <c r="B725" s="35" t="s">
        <v>854</v>
      </c>
      <c r="C725" s="34">
        <v>36.299999999999997</v>
      </c>
      <c r="D725" s="36"/>
      <c r="E725" s="20">
        <v>44183</v>
      </c>
      <c r="F725" s="19">
        <v>0.96875</v>
      </c>
      <c r="H725" s="34">
        <v>36.299999999999997</v>
      </c>
      <c r="I725" s="19"/>
      <c r="L725" s="20">
        <v>44183</v>
      </c>
      <c r="M725" s="19">
        <v>0.96875</v>
      </c>
      <c r="N725" s="19"/>
      <c r="S725" s="36"/>
      <c r="T725" s="36"/>
    </row>
    <row r="726" spans="1:20" s="38" customFormat="1" ht="15.75" hidden="1" x14ac:dyDescent="0.3">
      <c r="A726" s="36" t="str">
        <f xml:space="preserve"> IF( 'From SvanPC++'!A716= "", "", ('From SvanPC++'!A716))</f>
        <v/>
      </c>
      <c r="B726" s="35" t="s">
        <v>855</v>
      </c>
      <c r="C726" s="34">
        <v>36.4</v>
      </c>
      <c r="D726" s="36"/>
      <c r="E726" s="20">
        <v>44183</v>
      </c>
      <c r="F726" s="19">
        <v>0.97916666666666663</v>
      </c>
      <c r="H726" s="34">
        <v>36.4</v>
      </c>
      <c r="I726" s="19"/>
      <c r="L726" s="20">
        <v>44183</v>
      </c>
      <c r="M726" s="19">
        <v>0.97916666666666663</v>
      </c>
      <c r="N726" s="19"/>
      <c r="S726" s="36"/>
      <c r="T726" s="36"/>
    </row>
    <row r="727" spans="1:20" s="38" customFormat="1" ht="15.75" hidden="1" x14ac:dyDescent="0.3">
      <c r="A727" s="36" t="str">
        <f xml:space="preserve"> IF( 'From SvanPC++'!A717= "", "", ('From SvanPC++'!A717))</f>
        <v/>
      </c>
      <c r="B727" s="35" t="s">
        <v>856</v>
      </c>
      <c r="C727" s="34">
        <v>35.700000000000003</v>
      </c>
      <c r="D727" s="36"/>
      <c r="E727" s="20">
        <v>44183</v>
      </c>
      <c r="F727" s="19">
        <v>0.98958333333333337</v>
      </c>
      <c r="H727" s="34">
        <v>35.700000000000003</v>
      </c>
      <c r="I727" s="19"/>
      <c r="L727" s="20">
        <v>44183</v>
      </c>
      <c r="M727" s="19">
        <v>0.98958333333333337</v>
      </c>
      <c r="N727" s="19"/>
      <c r="S727" s="36"/>
      <c r="T727" s="36"/>
    </row>
    <row r="728" spans="1:20" s="38" customFormat="1" ht="15.75" x14ac:dyDescent="0.3">
      <c r="A728" s="36" t="str">
        <f xml:space="preserve"> IF( 'From SvanPC++'!A718= "", "", ('From SvanPC++'!A718))</f>
        <v/>
      </c>
      <c r="B728" s="35" t="s">
        <v>857</v>
      </c>
      <c r="C728" s="34">
        <v>35.1</v>
      </c>
      <c r="D728" s="36"/>
      <c r="E728" s="20">
        <v>44184</v>
      </c>
      <c r="F728" s="19">
        <v>0</v>
      </c>
      <c r="H728" s="34">
        <v>35.1</v>
      </c>
      <c r="I728" s="106">
        <f>AVERAGE(H725:H728)</f>
        <v>35.875</v>
      </c>
      <c r="L728" s="20">
        <v>44184</v>
      </c>
      <c r="M728" s="19">
        <v>0</v>
      </c>
      <c r="N728" s="106">
        <v>35.875</v>
      </c>
      <c r="S728" s="36"/>
      <c r="T728" s="36"/>
    </row>
    <row r="729" spans="1:20" s="38" customFormat="1" ht="15.75" hidden="1" x14ac:dyDescent="0.3">
      <c r="A729" s="36" t="str">
        <f xml:space="preserve"> IF( 'From SvanPC++'!A719= "", "", ('From SvanPC++'!A719))</f>
        <v/>
      </c>
      <c r="B729" s="35" t="s">
        <v>858</v>
      </c>
      <c r="C729" s="34">
        <v>35</v>
      </c>
      <c r="D729" s="36"/>
      <c r="E729" s="20">
        <v>44184</v>
      </c>
      <c r="F729" s="19">
        <v>1.0416666666666666E-2</v>
      </c>
      <c r="H729" s="34">
        <v>35</v>
      </c>
      <c r="I729" s="19"/>
      <c r="L729" s="20">
        <v>44184</v>
      </c>
      <c r="M729" s="19">
        <v>1.0416666666666666E-2</v>
      </c>
      <c r="N729" s="19"/>
      <c r="S729" s="36"/>
      <c r="T729" s="36"/>
    </row>
    <row r="730" spans="1:20" s="38" customFormat="1" ht="15.75" hidden="1" x14ac:dyDescent="0.3">
      <c r="A730" s="36" t="str">
        <f xml:space="preserve"> IF( 'From SvanPC++'!A720= "", "", ('From SvanPC++'!A720))</f>
        <v/>
      </c>
      <c r="B730" s="35" t="s">
        <v>859</v>
      </c>
      <c r="C730" s="34">
        <v>33.299999999999997</v>
      </c>
      <c r="D730" s="36"/>
      <c r="E730" s="20">
        <v>44184</v>
      </c>
      <c r="F730" s="19">
        <v>2.0833333333333332E-2</v>
      </c>
      <c r="H730" s="34">
        <v>33.299999999999997</v>
      </c>
      <c r="I730" s="19"/>
      <c r="L730" s="20">
        <v>44184</v>
      </c>
      <c r="M730" s="19">
        <v>2.0833333333333332E-2</v>
      </c>
      <c r="N730" s="19"/>
      <c r="S730" s="36"/>
      <c r="T730" s="36"/>
    </row>
    <row r="731" spans="1:20" s="38" customFormat="1" ht="15.75" hidden="1" x14ac:dyDescent="0.3">
      <c r="A731" s="36" t="str">
        <f xml:space="preserve"> IF( 'From SvanPC++'!A721= "", "", ('From SvanPC++'!A721))</f>
        <v/>
      </c>
      <c r="B731" s="35" t="s">
        <v>860</v>
      </c>
      <c r="C731" s="34">
        <v>33.1</v>
      </c>
      <c r="D731" s="36"/>
      <c r="E731" s="20">
        <v>44184</v>
      </c>
      <c r="F731" s="19">
        <v>3.125E-2</v>
      </c>
      <c r="H731" s="34">
        <v>33.1</v>
      </c>
      <c r="I731" s="19"/>
      <c r="L731" s="20">
        <v>44184</v>
      </c>
      <c r="M731" s="19">
        <v>3.125E-2</v>
      </c>
      <c r="N731" s="19"/>
      <c r="S731" s="36"/>
      <c r="T731" s="36"/>
    </row>
    <row r="732" spans="1:20" s="38" customFormat="1" ht="15.75" x14ac:dyDescent="0.3">
      <c r="A732" s="36" t="str">
        <f xml:space="preserve"> IF( 'From SvanPC++'!A722= "", "", ('From SvanPC++'!A722))</f>
        <v/>
      </c>
      <c r="B732" s="35" t="s">
        <v>861</v>
      </c>
      <c r="C732" s="34">
        <v>31.9</v>
      </c>
      <c r="D732" s="36"/>
      <c r="E732" s="20">
        <v>44184</v>
      </c>
      <c r="F732" s="19">
        <v>4.1666666666666664E-2</v>
      </c>
      <c r="H732" s="34">
        <v>31.9</v>
      </c>
      <c r="I732" s="106">
        <f>AVERAGE(H729:H732)</f>
        <v>33.325000000000003</v>
      </c>
      <c r="L732" s="20">
        <v>44184</v>
      </c>
      <c r="M732" s="19">
        <v>4.1666666666666664E-2</v>
      </c>
      <c r="N732" s="106">
        <v>33.325000000000003</v>
      </c>
      <c r="S732" s="36"/>
      <c r="T732" s="36"/>
    </row>
    <row r="733" spans="1:20" s="38" customFormat="1" ht="15.75" hidden="1" x14ac:dyDescent="0.3">
      <c r="A733" s="36" t="str">
        <f xml:space="preserve"> IF( 'From SvanPC++'!A723= "", "", ('From SvanPC++'!A723))</f>
        <v/>
      </c>
      <c r="B733" s="35" t="s">
        <v>862</v>
      </c>
      <c r="C733" s="34">
        <v>30.8</v>
      </c>
      <c r="D733" s="36"/>
      <c r="E733" s="20">
        <v>44184</v>
      </c>
      <c r="F733" s="19">
        <v>5.2083333333333336E-2</v>
      </c>
      <c r="H733" s="34">
        <v>30.8</v>
      </c>
      <c r="I733" s="19"/>
      <c r="L733" s="20">
        <v>44184</v>
      </c>
      <c r="M733" s="19">
        <v>5.2083333333333336E-2</v>
      </c>
      <c r="N733" s="19"/>
      <c r="S733" s="36"/>
      <c r="T733" s="36"/>
    </row>
    <row r="734" spans="1:20" s="38" customFormat="1" ht="15.75" hidden="1" x14ac:dyDescent="0.3">
      <c r="A734" s="36" t="str">
        <f xml:space="preserve"> IF( 'From SvanPC++'!A724= "", "", ('From SvanPC++'!A724))</f>
        <v/>
      </c>
      <c r="B734" s="35" t="s">
        <v>863</v>
      </c>
      <c r="C734" s="34">
        <v>28.7</v>
      </c>
      <c r="D734" s="36"/>
      <c r="E734" s="20">
        <v>44184</v>
      </c>
      <c r="F734" s="19">
        <v>6.25E-2</v>
      </c>
      <c r="H734" s="34">
        <v>28.7</v>
      </c>
      <c r="I734" s="19"/>
      <c r="L734" s="20">
        <v>44184</v>
      </c>
      <c r="M734" s="19">
        <v>6.25E-2</v>
      </c>
      <c r="N734" s="19"/>
      <c r="S734" s="36"/>
      <c r="T734" s="36"/>
    </row>
    <row r="735" spans="1:20" s="38" customFormat="1" ht="15.75" hidden="1" x14ac:dyDescent="0.3">
      <c r="A735" s="36" t="str">
        <f xml:space="preserve"> IF( 'From SvanPC++'!A725= "", "", ('From SvanPC++'!A725))</f>
        <v/>
      </c>
      <c r="B735" s="35" t="s">
        <v>864</v>
      </c>
      <c r="C735" s="34">
        <v>27.3</v>
      </c>
      <c r="D735" s="36"/>
      <c r="E735" s="20">
        <v>44184</v>
      </c>
      <c r="F735" s="19">
        <v>7.2916666666666671E-2</v>
      </c>
      <c r="H735" s="34">
        <v>27.3</v>
      </c>
      <c r="I735" s="19"/>
      <c r="L735" s="20">
        <v>44184</v>
      </c>
      <c r="M735" s="19">
        <v>7.2916666666666671E-2</v>
      </c>
      <c r="N735" s="19"/>
      <c r="S735" s="36"/>
      <c r="T735" s="36"/>
    </row>
    <row r="736" spans="1:20" s="38" customFormat="1" ht="15.75" x14ac:dyDescent="0.3">
      <c r="A736" s="36" t="str">
        <f xml:space="preserve"> IF( 'From SvanPC++'!A726= "", "", ('From SvanPC++'!A726))</f>
        <v/>
      </c>
      <c r="B736" s="35" t="s">
        <v>865</v>
      </c>
      <c r="C736" s="34">
        <v>29.5</v>
      </c>
      <c r="D736" s="36"/>
      <c r="E736" s="20">
        <v>44184</v>
      </c>
      <c r="F736" s="19">
        <v>8.3333333333333329E-2</v>
      </c>
      <c r="H736" s="34">
        <v>29.5</v>
      </c>
      <c r="I736" s="106">
        <f>AVERAGE(H733:H736)</f>
        <v>29.074999999999999</v>
      </c>
      <c r="L736" s="20">
        <v>44184</v>
      </c>
      <c r="M736" s="19">
        <v>8.3333333333333329E-2</v>
      </c>
      <c r="N736" s="106">
        <v>29.074999999999999</v>
      </c>
      <c r="S736" s="36"/>
      <c r="T736" s="36"/>
    </row>
    <row r="737" spans="1:20" s="38" customFormat="1" ht="15.75" hidden="1" x14ac:dyDescent="0.3">
      <c r="A737" s="36" t="str">
        <f xml:space="preserve"> IF( 'From SvanPC++'!A727= "", "", ('From SvanPC++'!A727))</f>
        <v/>
      </c>
      <c r="B737" s="35" t="s">
        <v>866</v>
      </c>
      <c r="C737" s="34">
        <v>25.4</v>
      </c>
      <c r="D737" s="36"/>
      <c r="E737" s="20">
        <v>44184</v>
      </c>
      <c r="F737" s="19">
        <v>9.375E-2</v>
      </c>
      <c r="H737" s="34">
        <v>25.4</v>
      </c>
      <c r="I737" s="19"/>
      <c r="L737" s="20">
        <v>44184</v>
      </c>
      <c r="M737" s="19">
        <v>9.375E-2</v>
      </c>
      <c r="N737" s="19"/>
      <c r="S737" s="36"/>
      <c r="T737" s="36"/>
    </row>
    <row r="738" spans="1:20" s="38" customFormat="1" ht="15.75" hidden="1" x14ac:dyDescent="0.3">
      <c r="A738" s="36" t="str">
        <f xml:space="preserve"> IF( 'From SvanPC++'!A728= "", "", ('From SvanPC++'!A728))</f>
        <v/>
      </c>
      <c r="B738" s="35" t="s">
        <v>867</v>
      </c>
      <c r="C738" s="34">
        <v>26.8</v>
      </c>
      <c r="D738" s="36"/>
      <c r="E738" s="20">
        <v>44184</v>
      </c>
      <c r="F738" s="19">
        <v>0.10416666666666667</v>
      </c>
      <c r="H738" s="34">
        <v>26.8</v>
      </c>
      <c r="I738" s="19"/>
      <c r="L738" s="20">
        <v>44184</v>
      </c>
      <c r="M738" s="19">
        <v>0.10416666666666667</v>
      </c>
      <c r="N738" s="19"/>
      <c r="S738" s="36"/>
      <c r="T738" s="36"/>
    </row>
    <row r="739" spans="1:20" s="38" customFormat="1" ht="15.75" hidden="1" x14ac:dyDescent="0.3">
      <c r="A739" s="36" t="str">
        <f xml:space="preserve"> IF( 'From SvanPC++'!A729= "", "", ('From SvanPC++'!A729))</f>
        <v/>
      </c>
      <c r="B739" s="35" t="s">
        <v>868</v>
      </c>
      <c r="C739" s="34">
        <v>25.6</v>
      </c>
      <c r="D739" s="36"/>
      <c r="E739" s="20">
        <v>44184</v>
      </c>
      <c r="F739" s="19">
        <v>0.11458333333333333</v>
      </c>
      <c r="H739" s="34">
        <v>25.6</v>
      </c>
      <c r="I739" s="19"/>
      <c r="L739" s="20">
        <v>44184</v>
      </c>
      <c r="M739" s="19">
        <v>0.11458333333333333</v>
      </c>
      <c r="N739" s="19"/>
      <c r="S739" s="36"/>
      <c r="T739" s="36"/>
    </row>
    <row r="740" spans="1:20" s="38" customFormat="1" ht="15.75" x14ac:dyDescent="0.3">
      <c r="A740" s="36" t="str">
        <f xml:space="preserve"> IF( 'From SvanPC++'!A730= "", "", ('From SvanPC++'!A730))</f>
        <v/>
      </c>
      <c r="B740" s="35" t="s">
        <v>869</v>
      </c>
      <c r="C740" s="34">
        <v>26.8</v>
      </c>
      <c r="D740" s="36"/>
      <c r="E740" s="20">
        <v>44184</v>
      </c>
      <c r="F740" s="19">
        <v>0.125</v>
      </c>
      <c r="H740" s="34">
        <v>26.8</v>
      </c>
      <c r="I740" s="106">
        <f>AVERAGE(H737:H740)</f>
        <v>26.150000000000002</v>
      </c>
      <c r="L740" s="20">
        <v>44184</v>
      </c>
      <c r="M740" s="19">
        <v>0.125</v>
      </c>
      <c r="N740" s="106">
        <v>26.150000000000002</v>
      </c>
      <c r="S740" s="36"/>
      <c r="T740" s="36"/>
    </row>
    <row r="741" spans="1:20" s="38" customFormat="1" ht="15.75" hidden="1" x14ac:dyDescent="0.3">
      <c r="A741" s="36" t="str">
        <f xml:space="preserve"> IF( 'From SvanPC++'!A731= "", "", ('From SvanPC++'!A731))</f>
        <v/>
      </c>
      <c r="B741" s="35" t="s">
        <v>870</v>
      </c>
      <c r="C741" s="34">
        <v>23.9</v>
      </c>
      <c r="D741" s="36"/>
      <c r="E741" s="20">
        <v>44184</v>
      </c>
      <c r="F741" s="19">
        <v>0.13541666666666666</v>
      </c>
      <c r="H741" s="34">
        <v>23.9</v>
      </c>
      <c r="I741" s="19"/>
      <c r="L741" s="20">
        <v>44184</v>
      </c>
      <c r="M741" s="19">
        <v>0.13541666666666666</v>
      </c>
      <c r="N741" s="19"/>
      <c r="S741" s="36"/>
      <c r="T741" s="36"/>
    </row>
    <row r="742" spans="1:20" s="38" customFormat="1" ht="15.75" hidden="1" x14ac:dyDescent="0.3">
      <c r="A742" s="36" t="str">
        <f xml:space="preserve"> IF( 'From SvanPC++'!A732= "", "", ('From SvanPC++'!A732))</f>
        <v/>
      </c>
      <c r="B742" s="35" t="s">
        <v>871</v>
      </c>
      <c r="C742" s="34">
        <v>25</v>
      </c>
      <c r="D742" s="36"/>
      <c r="E742" s="20">
        <v>44184</v>
      </c>
      <c r="F742" s="19">
        <v>0.14583333333333334</v>
      </c>
      <c r="H742" s="34">
        <v>25</v>
      </c>
      <c r="I742" s="19"/>
      <c r="L742" s="20">
        <v>44184</v>
      </c>
      <c r="M742" s="19">
        <v>0.14583333333333334</v>
      </c>
      <c r="N742" s="19"/>
      <c r="S742" s="36"/>
      <c r="T742" s="36"/>
    </row>
    <row r="743" spans="1:20" s="38" customFormat="1" ht="15.75" hidden="1" x14ac:dyDescent="0.3">
      <c r="A743" s="36" t="str">
        <f xml:space="preserve"> IF( 'From SvanPC++'!A733= "", "", ('From SvanPC++'!A733))</f>
        <v/>
      </c>
      <c r="B743" s="35" t="s">
        <v>872</v>
      </c>
      <c r="C743" s="34">
        <v>25.3</v>
      </c>
      <c r="D743" s="36"/>
      <c r="E743" s="20">
        <v>44184</v>
      </c>
      <c r="F743" s="19">
        <v>0.15625</v>
      </c>
      <c r="H743" s="34">
        <v>25.3</v>
      </c>
      <c r="I743" s="19"/>
      <c r="L743" s="20">
        <v>44184</v>
      </c>
      <c r="M743" s="19">
        <v>0.15625</v>
      </c>
      <c r="N743" s="19"/>
      <c r="S743" s="36"/>
      <c r="T743" s="36"/>
    </row>
    <row r="744" spans="1:20" s="38" customFormat="1" ht="15.75" x14ac:dyDescent="0.3">
      <c r="A744" s="36" t="str">
        <f xml:space="preserve"> IF( 'From SvanPC++'!A734= "", "", ('From SvanPC++'!A734))</f>
        <v/>
      </c>
      <c r="B744" s="35" t="s">
        <v>873</v>
      </c>
      <c r="C744" s="34">
        <v>26.1</v>
      </c>
      <c r="D744" s="36"/>
      <c r="E744" s="20">
        <v>44184</v>
      </c>
      <c r="F744" s="19">
        <v>0.16666666666666666</v>
      </c>
      <c r="H744" s="34">
        <v>26.1</v>
      </c>
      <c r="I744" s="106">
        <f>AVERAGE(H741:H744)</f>
        <v>25.075000000000003</v>
      </c>
      <c r="L744" s="20">
        <v>44184</v>
      </c>
      <c r="M744" s="19">
        <v>0.16666666666666666</v>
      </c>
      <c r="N744" s="106">
        <v>25.075000000000003</v>
      </c>
      <c r="S744" s="36"/>
      <c r="T744" s="36"/>
    </row>
    <row r="745" spans="1:20" s="38" customFormat="1" ht="15.75" hidden="1" x14ac:dyDescent="0.3">
      <c r="A745" s="36" t="str">
        <f xml:space="preserve"> IF( 'From SvanPC++'!A735= "", "", ('From SvanPC++'!A735))</f>
        <v/>
      </c>
      <c r="B745" s="35" t="s">
        <v>874</v>
      </c>
      <c r="C745" s="34">
        <v>26.6</v>
      </c>
      <c r="D745" s="36"/>
      <c r="E745" s="20">
        <v>44184</v>
      </c>
      <c r="F745" s="19">
        <v>0.17708333333333334</v>
      </c>
      <c r="H745" s="34">
        <v>26.6</v>
      </c>
      <c r="I745" s="19"/>
      <c r="L745" s="20">
        <v>44184</v>
      </c>
      <c r="M745" s="19">
        <v>0.17708333333333334</v>
      </c>
      <c r="N745" s="19"/>
      <c r="S745" s="36"/>
      <c r="T745" s="36"/>
    </row>
    <row r="746" spans="1:20" s="38" customFormat="1" ht="15.75" hidden="1" x14ac:dyDescent="0.3">
      <c r="A746" s="36" t="str">
        <f xml:space="preserve"> IF( 'From SvanPC++'!A736= "", "", ('From SvanPC++'!A736))</f>
        <v/>
      </c>
      <c r="B746" s="35" t="s">
        <v>875</v>
      </c>
      <c r="C746" s="34">
        <v>26.8</v>
      </c>
      <c r="D746" s="36"/>
      <c r="E746" s="20">
        <v>44184</v>
      </c>
      <c r="F746" s="19">
        <v>0.1875</v>
      </c>
      <c r="H746" s="34">
        <v>26.8</v>
      </c>
      <c r="I746" s="19"/>
      <c r="L746" s="20">
        <v>44184</v>
      </c>
      <c r="M746" s="19">
        <v>0.1875</v>
      </c>
      <c r="N746" s="19"/>
      <c r="S746" s="36"/>
      <c r="T746" s="36"/>
    </row>
    <row r="747" spans="1:20" s="38" customFormat="1" ht="15.75" hidden="1" x14ac:dyDescent="0.3">
      <c r="A747" s="36" t="str">
        <f xml:space="preserve"> IF( 'From SvanPC++'!A737= "", "", ('From SvanPC++'!A737))</f>
        <v/>
      </c>
      <c r="B747" s="35" t="s">
        <v>876</v>
      </c>
      <c r="C747" s="34">
        <v>24.8</v>
      </c>
      <c r="D747" s="36"/>
      <c r="E747" s="20">
        <v>44184</v>
      </c>
      <c r="F747" s="19">
        <v>0.19791666666666666</v>
      </c>
      <c r="H747" s="34">
        <v>24.8</v>
      </c>
      <c r="I747" s="19"/>
      <c r="L747" s="20">
        <v>44184</v>
      </c>
      <c r="M747" s="19">
        <v>0.19791666666666666</v>
      </c>
      <c r="N747" s="19"/>
      <c r="S747" s="36"/>
      <c r="T747" s="36"/>
    </row>
    <row r="748" spans="1:20" s="38" customFormat="1" ht="15.75" x14ac:dyDescent="0.3">
      <c r="A748" s="36" t="str">
        <f xml:space="preserve"> IF( 'From SvanPC++'!A738= "", "", ('From SvanPC++'!A738))</f>
        <v/>
      </c>
      <c r="B748" s="35" t="s">
        <v>877</v>
      </c>
      <c r="C748" s="34">
        <v>24.7</v>
      </c>
      <c r="D748" s="36"/>
      <c r="E748" s="20">
        <v>44184</v>
      </c>
      <c r="F748" s="19">
        <v>0.20833333333333334</v>
      </c>
      <c r="H748" s="34">
        <v>24.7</v>
      </c>
      <c r="I748" s="106">
        <f>AVERAGE(H745:H748)</f>
        <v>25.725000000000001</v>
      </c>
      <c r="L748" s="20">
        <v>44184</v>
      </c>
      <c r="M748" s="19">
        <v>0.20833333333333334</v>
      </c>
      <c r="N748" s="106">
        <v>25.725000000000001</v>
      </c>
      <c r="S748" s="36"/>
      <c r="T748" s="36"/>
    </row>
    <row r="749" spans="1:20" s="38" customFormat="1" ht="15.75" hidden="1" x14ac:dyDescent="0.3">
      <c r="A749" s="36" t="str">
        <f xml:space="preserve"> IF( 'From SvanPC++'!A739= "", "", ('From SvanPC++'!A739))</f>
        <v/>
      </c>
      <c r="B749" s="35" t="s">
        <v>878</v>
      </c>
      <c r="C749" s="34">
        <v>27.4</v>
      </c>
      <c r="D749" s="36"/>
      <c r="E749" s="20">
        <v>44184</v>
      </c>
      <c r="F749" s="19">
        <v>0.21875</v>
      </c>
      <c r="H749" s="34">
        <v>27.4</v>
      </c>
      <c r="I749" s="19"/>
      <c r="L749" s="20">
        <v>44184</v>
      </c>
      <c r="M749" s="19">
        <v>0.21875</v>
      </c>
      <c r="N749" s="19"/>
      <c r="S749" s="36"/>
      <c r="T749" s="36"/>
    </row>
    <row r="750" spans="1:20" s="38" customFormat="1" ht="15.75" hidden="1" x14ac:dyDescent="0.3">
      <c r="A750" s="36" t="str">
        <f xml:space="preserve"> IF( 'From SvanPC++'!A740= "", "", ('From SvanPC++'!A740))</f>
        <v/>
      </c>
      <c r="B750" s="35" t="s">
        <v>879</v>
      </c>
      <c r="C750" s="34">
        <v>37.299999999999997</v>
      </c>
      <c r="D750" s="36"/>
      <c r="E750" s="20">
        <v>44184</v>
      </c>
      <c r="F750" s="19">
        <v>0.22916666666666666</v>
      </c>
      <c r="H750" s="34">
        <v>37.299999999999997</v>
      </c>
      <c r="I750" s="19"/>
      <c r="L750" s="20">
        <v>44184</v>
      </c>
      <c r="M750" s="19">
        <v>0.22916666666666666</v>
      </c>
      <c r="N750" s="19"/>
      <c r="S750" s="36"/>
      <c r="T750" s="36"/>
    </row>
    <row r="751" spans="1:20" s="38" customFormat="1" ht="15.75" hidden="1" x14ac:dyDescent="0.3">
      <c r="A751" s="36" t="str">
        <f xml:space="preserve"> IF( 'From SvanPC++'!A741= "", "", ('From SvanPC++'!A741))</f>
        <v/>
      </c>
      <c r="B751" s="35" t="s">
        <v>880</v>
      </c>
      <c r="C751" s="34">
        <v>36.200000000000003</v>
      </c>
      <c r="D751" s="36"/>
      <c r="E751" s="20">
        <v>44184</v>
      </c>
      <c r="F751" s="19">
        <v>0.23958333333333334</v>
      </c>
      <c r="H751" s="34">
        <v>36.200000000000003</v>
      </c>
      <c r="I751" s="19"/>
      <c r="L751" s="20">
        <v>44184</v>
      </c>
      <c r="M751" s="19">
        <v>0.23958333333333334</v>
      </c>
      <c r="N751" s="19"/>
      <c r="S751" s="36"/>
      <c r="T751" s="36"/>
    </row>
    <row r="752" spans="1:20" s="38" customFormat="1" ht="15.75" x14ac:dyDescent="0.3">
      <c r="A752" s="36" t="str">
        <f xml:space="preserve"> IF( 'From SvanPC++'!A742= "", "", ('From SvanPC++'!A742))</f>
        <v/>
      </c>
      <c r="B752" s="35" t="s">
        <v>881</v>
      </c>
      <c r="C752" s="34">
        <v>34.4</v>
      </c>
      <c r="D752" s="36"/>
      <c r="E752" s="20">
        <v>44184</v>
      </c>
      <c r="F752" s="19">
        <v>0.25</v>
      </c>
      <c r="H752" s="34">
        <v>34.4</v>
      </c>
      <c r="I752" s="106">
        <f>AVERAGE(H749:H752)</f>
        <v>33.824999999999996</v>
      </c>
      <c r="L752" s="20">
        <v>44184</v>
      </c>
      <c r="M752" s="19">
        <v>0.25</v>
      </c>
      <c r="N752" s="106">
        <v>33.824999999999996</v>
      </c>
      <c r="S752" s="36"/>
      <c r="T752" s="36"/>
    </row>
    <row r="753" spans="1:20" s="38" customFormat="1" ht="15.75" hidden="1" x14ac:dyDescent="0.3">
      <c r="A753" s="36" t="str">
        <f xml:space="preserve"> IF( 'From SvanPC++'!A743= "", "", ('From SvanPC++'!A743))</f>
        <v/>
      </c>
      <c r="B753" s="35" t="s">
        <v>882</v>
      </c>
      <c r="C753" s="34">
        <v>33.1</v>
      </c>
      <c r="D753" s="36"/>
      <c r="E753" s="20">
        <v>44184</v>
      </c>
      <c r="F753" s="19">
        <v>0.26041666666666669</v>
      </c>
      <c r="H753" s="34">
        <v>33.1</v>
      </c>
      <c r="I753" s="19"/>
      <c r="L753" s="20">
        <v>44184</v>
      </c>
      <c r="M753" s="19">
        <v>0.26041666666666669</v>
      </c>
      <c r="N753" s="19"/>
      <c r="S753" s="36"/>
      <c r="T753" s="36"/>
    </row>
    <row r="754" spans="1:20" s="38" customFormat="1" ht="15.75" hidden="1" x14ac:dyDescent="0.3">
      <c r="A754" s="36" t="str">
        <f xml:space="preserve"> IF( 'From SvanPC++'!A744= "", "", ('From SvanPC++'!A744))</f>
        <v/>
      </c>
      <c r="B754" s="35" t="s">
        <v>883</v>
      </c>
      <c r="C754" s="34">
        <v>36.6</v>
      </c>
      <c r="D754" s="36"/>
      <c r="E754" s="20">
        <v>44184</v>
      </c>
      <c r="F754" s="19">
        <v>0.27083333333333331</v>
      </c>
      <c r="H754" s="34">
        <v>36.6</v>
      </c>
      <c r="I754" s="19"/>
      <c r="L754" s="20">
        <v>44184</v>
      </c>
      <c r="M754" s="19">
        <v>0.27083333333333331</v>
      </c>
      <c r="N754" s="19"/>
      <c r="S754" s="36"/>
      <c r="T754" s="36"/>
    </row>
    <row r="755" spans="1:20" s="38" customFormat="1" ht="15.75" hidden="1" x14ac:dyDescent="0.3">
      <c r="A755" s="36" t="str">
        <f xml:space="preserve"> IF( 'From SvanPC++'!A745= "", "", ('From SvanPC++'!A745))</f>
        <v/>
      </c>
      <c r="B755" s="35" t="s">
        <v>884</v>
      </c>
      <c r="C755" s="34">
        <v>37.5</v>
      </c>
      <c r="D755" s="36"/>
      <c r="E755" s="20">
        <v>44184</v>
      </c>
      <c r="F755" s="19">
        <v>0.28125</v>
      </c>
      <c r="H755" s="34">
        <v>37.5</v>
      </c>
      <c r="I755" s="19"/>
      <c r="L755" s="20">
        <v>44184</v>
      </c>
      <c r="M755" s="19">
        <v>0.28125</v>
      </c>
      <c r="N755" s="19"/>
      <c r="S755" s="36"/>
      <c r="T755" s="36"/>
    </row>
    <row r="756" spans="1:20" s="38" customFormat="1" ht="15.75" x14ac:dyDescent="0.3">
      <c r="A756" s="36" t="str">
        <f xml:space="preserve"> IF( 'From SvanPC++'!A746= "", "", ('From SvanPC++'!A746))</f>
        <v/>
      </c>
      <c r="B756" s="35" t="s">
        <v>885</v>
      </c>
      <c r="C756" s="34">
        <v>36.6</v>
      </c>
      <c r="D756" s="36"/>
      <c r="E756" s="20">
        <v>44184</v>
      </c>
      <c r="F756" s="19">
        <v>0.29166666666666669</v>
      </c>
      <c r="H756" s="34">
        <v>36.6</v>
      </c>
      <c r="I756" s="106">
        <f>AVERAGE(H753:H756)</f>
        <v>35.950000000000003</v>
      </c>
      <c r="L756" s="20">
        <v>44184</v>
      </c>
      <c r="M756" s="19">
        <v>0.29166666666666669</v>
      </c>
      <c r="N756" s="106">
        <v>35.950000000000003</v>
      </c>
      <c r="S756" s="36"/>
      <c r="T756" s="36"/>
    </row>
    <row r="757" spans="1:20" s="38" customFormat="1" ht="15.75" hidden="1" x14ac:dyDescent="0.3">
      <c r="A757" s="36" t="str">
        <f xml:space="preserve"> IF( 'From SvanPC++'!A747= "", "", ('From SvanPC++'!A747))</f>
        <v/>
      </c>
      <c r="B757" s="35" t="s">
        <v>886</v>
      </c>
      <c r="C757" s="34">
        <v>37.700000000000003</v>
      </c>
      <c r="D757" s="36"/>
      <c r="E757" s="20">
        <v>44184</v>
      </c>
      <c r="F757" s="19">
        <v>0.30208333333333331</v>
      </c>
      <c r="H757" s="34">
        <v>37.700000000000003</v>
      </c>
      <c r="I757" s="19"/>
      <c r="L757" s="20">
        <v>44184</v>
      </c>
      <c r="M757" s="19">
        <v>0.30208333333333331</v>
      </c>
      <c r="N757" s="19"/>
      <c r="S757" s="36"/>
      <c r="T757" s="36"/>
    </row>
    <row r="758" spans="1:20" s="38" customFormat="1" ht="15.75" hidden="1" x14ac:dyDescent="0.3">
      <c r="A758" s="36" t="str">
        <f xml:space="preserve"> IF( 'From SvanPC++'!A748= "", "", ('From SvanPC++'!A748))</f>
        <v/>
      </c>
      <c r="B758" s="35" t="s">
        <v>887</v>
      </c>
      <c r="C758" s="34">
        <v>37</v>
      </c>
      <c r="D758" s="36"/>
      <c r="E758" s="20">
        <v>44184</v>
      </c>
      <c r="F758" s="19">
        <v>0.3125</v>
      </c>
      <c r="H758" s="34">
        <v>37</v>
      </c>
      <c r="I758" s="19"/>
      <c r="L758" s="20">
        <v>44184</v>
      </c>
      <c r="M758" s="19">
        <v>0.3125</v>
      </c>
      <c r="N758" s="19"/>
      <c r="S758" s="36"/>
      <c r="T758" s="36"/>
    </row>
    <row r="759" spans="1:20" s="38" customFormat="1" ht="15.75" hidden="1" x14ac:dyDescent="0.3">
      <c r="A759" s="36" t="str">
        <f xml:space="preserve"> IF( 'From SvanPC++'!A749= "", "", ('From SvanPC++'!A749))</f>
        <v/>
      </c>
      <c r="B759" s="35" t="s">
        <v>888</v>
      </c>
      <c r="C759" s="34">
        <v>38.299999999999997</v>
      </c>
      <c r="D759" s="36"/>
      <c r="E759" s="20">
        <v>44184</v>
      </c>
      <c r="F759" s="19">
        <v>0.32291666666666669</v>
      </c>
      <c r="H759" s="34">
        <v>38.299999999999997</v>
      </c>
      <c r="I759" s="19"/>
      <c r="L759" s="20">
        <v>44184</v>
      </c>
      <c r="M759" s="19">
        <v>0.32291666666666669</v>
      </c>
      <c r="N759" s="19"/>
      <c r="S759" s="36"/>
      <c r="T759" s="36"/>
    </row>
    <row r="760" spans="1:20" s="38" customFormat="1" ht="15.75" x14ac:dyDescent="0.3">
      <c r="A760" s="36" t="str">
        <f xml:space="preserve"> IF( 'From SvanPC++'!A750= "", "", ('From SvanPC++'!A750))</f>
        <v/>
      </c>
      <c r="B760" s="35" t="s">
        <v>889</v>
      </c>
      <c r="C760" s="34">
        <v>38.9</v>
      </c>
      <c r="D760" s="36"/>
      <c r="E760" s="20">
        <v>44184</v>
      </c>
      <c r="F760" s="19">
        <v>0.33333333333333331</v>
      </c>
      <c r="H760" s="34">
        <v>38.9</v>
      </c>
      <c r="I760" s="106">
        <f>AVERAGE(H757:H760)</f>
        <v>37.975000000000001</v>
      </c>
      <c r="L760" s="20">
        <v>44184</v>
      </c>
      <c r="M760" s="19">
        <v>0.33333333333333331</v>
      </c>
      <c r="N760" s="106">
        <v>37.975000000000001</v>
      </c>
      <c r="S760" s="36"/>
      <c r="T760" s="36"/>
    </row>
    <row r="761" spans="1:20" s="38" customFormat="1" ht="15.75" hidden="1" x14ac:dyDescent="0.3">
      <c r="A761" s="36" t="str">
        <f xml:space="preserve"> IF( 'From SvanPC++'!A751= "", "", ('From SvanPC++'!A751))</f>
        <v/>
      </c>
      <c r="B761" s="35" t="s">
        <v>890</v>
      </c>
      <c r="C761" s="34">
        <v>39</v>
      </c>
      <c r="D761" s="36"/>
      <c r="E761" s="20">
        <v>44184</v>
      </c>
      <c r="F761" s="19">
        <v>0.34375</v>
      </c>
      <c r="H761" s="34">
        <v>39</v>
      </c>
      <c r="I761" s="19"/>
      <c r="L761" s="20">
        <v>44184</v>
      </c>
      <c r="M761" s="19">
        <v>0.34375</v>
      </c>
      <c r="N761" s="19"/>
      <c r="S761" s="36"/>
      <c r="T761" s="36"/>
    </row>
    <row r="762" spans="1:20" s="38" customFormat="1" ht="15.75" hidden="1" x14ac:dyDescent="0.3">
      <c r="A762" s="36" t="str">
        <f xml:space="preserve"> IF( 'From SvanPC++'!A752= "", "", ('From SvanPC++'!A752))</f>
        <v/>
      </c>
      <c r="B762" s="35" t="s">
        <v>891</v>
      </c>
      <c r="C762" s="34">
        <v>39.200000000000003</v>
      </c>
      <c r="D762" s="36"/>
      <c r="E762" s="20">
        <v>44184</v>
      </c>
      <c r="F762" s="19">
        <v>0.35416666666666669</v>
      </c>
      <c r="H762" s="34">
        <v>39.200000000000003</v>
      </c>
      <c r="I762" s="19"/>
      <c r="L762" s="20">
        <v>44184</v>
      </c>
      <c r="M762" s="19">
        <v>0.35416666666666669</v>
      </c>
      <c r="N762" s="19"/>
      <c r="S762" s="36"/>
      <c r="T762" s="36"/>
    </row>
    <row r="763" spans="1:20" s="38" customFormat="1" ht="15.75" hidden="1" x14ac:dyDescent="0.3">
      <c r="A763" s="36" t="str">
        <f xml:space="preserve"> IF( 'From SvanPC++'!A753= "", "", ('From SvanPC++'!A753))</f>
        <v/>
      </c>
      <c r="B763" s="35" t="s">
        <v>892</v>
      </c>
      <c r="C763" s="34">
        <v>38.4</v>
      </c>
      <c r="D763" s="36"/>
      <c r="E763" s="20">
        <v>44184</v>
      </c>
      <c r="F763" s="19">
        <v>0.36458333333333331</v>
      </c>
      <c r="H763" s="34">
        <v>38.4</v>
      </c>
      <c r="I763" s="19"/>
      <c r="L763" s="20">
        <v>44184</v>
      </c>
      <c r="M763" s="19">
        <v>0.36458333333333331</v>
      </c>
      <c r="N763" s="19"/>
      <c r="S763" s="36"/>
      <c r="T763" s="36"/>
    </row>
    <row r="764" spans="1:20" s="38" customFormat="1" ht="15.75" x14ac:dyDescent="0.3">
      <c r="A764" s="36" t="str">
        <f xml:space="preserve"> IF( 'From SvanPC++'!A754= "", "", ('From SvanPC++'!A754))</f>
        <v/>
      </c>
      <c r="B764" s="35" t="s">
        <v>893</v>
      </c>
      <c r="C764" s="34">
        <v>39</v>
      </c>
      <c r="D764" s="36"/>
      <c r="E764" s="20">
        <v>44184</v>
      </c>
      <c r="F764" s="19">
        <v>0.375</v>
      </c>
      <c r="H764" s="34">
        <v>39</v>
      </c>
      <c r="I764" s="106">
        <f>AVERAGE(H761:H764)</f>
        <v>38.9</v>
      </c>
      <c r="L764" s="20">
        <v>44184</v>
      </c>
      <c r="M764" s="19">
        <v>0.375</v>
      </c>
      <c r="N764" s="106">
        <v>38.9</v>
      </c>
      <c r="S764" s="36"/>
      <c r="T764" s="36"/>
    </row>
    <row r="765" spans="1:20" s="38" customFormat="1" ht="15.75" hidden="1" x14ac:dyDescent="0.3">
      <c r="A765" s="36" t="str">
        <f xml:space="preserve"> IF( 'From SvanPC++'!A755= "", "", ('From SvanPC++'!A755))</f>
        <v/>
      </c>
      <c r="B765" s="35" t="s">
        <v>894</v>
      </c>
      <c r="C765" s="34">
        <v>38</v>
      </c>
      <c r="D765" s="36"/>
      <c r="E765" s="20">
        <v>44184</v>
      </c>
      <c r="F765" s="19">
        <v>0.38541666666666669</v>
      </c>
      <c r="H765" s="34">
        <v>38</v>
      </c>
      <c r="I765" s="19"/>
      <c r="L765" s="20">
        <v>44184</v>
      </c>
      <c r="M765" s="19">
        <v>0.38541666666666669</v>
      </c>
      <c r="N765" s="19"/>
      <c r="S765" s="36"/>
      <c r="T765" s="36"/>
    </row>
    <row r="766" spans="1:20" s="38" customFormat="1" ht="15.75" hidden="1" x14ac:dyDescent="0.3">
      <c r="A766" s="36" t="str">
        <f xml:space="preserve"> IF( 'From SvanPC++'!A756= "", "", ('From SvanPC++'!A756))</f>
        <v/>
      </c>
      <c r="B766" s="35" t="s">
        <v>895</v>
      </c>
      <c r="C766" s="34">
        <v>40.4</v>
      </c>
      <c r="D766" s="36"/>
      <c r="E766" s="20">
        <v>44184</v>
      </c>
      <c r="F766" s="19">
        <v>0.39583333333333331</v>
      </c>
      <c r="H766" s="34">
        <v>40.4</v>
      </c>
      <c r="I766" s="19"/>
      <c r="L766" s="20">
        <v>44184</v>
      </c>
      <c r="M766" s="19">
        <v>0.39583333333333331</v>
      </c>
      <c r="N766" s="19"/>
      <c r="S766" s="36"/>
      <c r="T766" s="36"/>
    </row>
    <row r="767" spans="1:20" s="38" customFormat="1" ht="15.75" hidden="1" x14ac:dyDescent="0.3">
      <c r="A767" s="36" t="str">
        <f xml:space="preserve"> IF( 'From SvanPC++'!A757= "", "", ('From SvanPC++'!A757))</f>
        <v/>
      </c>
      <c r="B767" s="35" t="s">
        <v>896</v>
      </c>
      <c r="C767" s="34">
        <v>40.200000000000003</v>
      </c>
      <c r="D767" s="36"/>
      <c r="E767" s="20">
        <v>44184</v>
      </c>
      <c r="F767" s="19">
        <v>0.40625</v>
      </c>
      <c r="H767" s="34">
        <v>40.200000000000003</v>
      </c>
      <c r="I767" s="19"/>
      <c r="L767" s="20">
        <v>44184</v>
      </c>
      <c r="M767" s="19">
        <v>0.40625</v>
      </c>
      <c r="N767" s="19"/>
      <c r="S767" s="36"/>
      <c r="T767" s="36"/>
    </row>
    <row r="768" spans="1:20" s="38" customFormat="1" ht="15.75" x14ac:dyDescent="0.3">
      <c r="A768" s="36" t="str">
        <f xml:space="preserve"> IF( 'From SvanPC++'!A758= "", "", ('From SvanPC++'!A758))</f>
        <v/>
      </c>
      <c r="B768" s="35" t="s">
        <v>897</v>
      </c>
      <c r="C768" s="34">
        <v>43</v>
      </c>
      <c r="D768" s="36"/>
      <c r="E768" s="20">
        <v>44184</v>
      </c>
      <c r="F768" s="19">
        <v>0.41666666666666669</v>
      </c>
      <c r="H768" s="34">
        <v>43</v>
      </c>
      <c r="I768" s="106">
        <f>AVERAGE(H765:H768)</f>
        <v>40.400000000000006</v>
      </c>
      <c r="L768" s="20">
        <v>44184</v>
      </c>
      <c r="M768" s="19">
        <v>0.41666666666666669</v>
      </c>
      <c r="N768" s="106">
        <v>40.400000000000006</v>
      </c>
      <c r="S768" s="36"/>
      <c r="T768" s="36"/>
    </row>
    <row r="769" spans="1:20" s="38" customFormat="1" ht="15.75" hidden="1" x14ac:dyDescent="0.3">
      <c r="A769" s="36" t="str">
        <f xml:space="preserve"> IF( 'From SvanPC++'!A759= "", "", ('From SvanPC++'!A759))</f>
        <v/>
      </c>
      <c r="B769" s="35" t="s">
        <v>898</v>
      </c>
      <c r="C769" s="34">
        <v>42.7</v>
      </c>
      <c r="D769" s="36"/>
      <c r="E769" s="20">
        <v>44184</v>
      </c>
      <c r="F769" s="19">
        <v>0.42708333333333331</v>
      </c>
      <c r="H769" s="34">
        <v>42.7</v>
      </c>
      <c r="I769" s="19"/>
      <c r="L769" s="20">
        <v>44184</v>
      </c>
      <c r="M769" s="19">
        <v>0.42708333333333331</v>
      </c>
      <c r="N769" s="19"/>
      <c r="S769" s="36"/>
      <c r="T769" s="36"/>
    </row>
    <row r="770" spans="1:20" s="38" customFormat="1" ht="15.75" hidden="1" x14ac:dyDescent="0.3">
      <c r="A770" s="36" t="str">
        <f xml:space="preserve"> IF( 'From SvanPC++'!A760= "", "", ('From SvanPC++'!A760))</f>
        <v/>
      </c>
      <c r="B770" s="35" t="s">
        <v>899</v>
      </c>
      <c r="C770" s="34">
        <v>43.4</v>
      </c>
      <c r="D770" s="36"/>
      <c r="E770" s="20">
        <v>44184</v>
      </c>
      <c r="F770" s="19">
        <v>0.4375</v>
      </c>
      <c r="H770" s="34">
        <v>43.4</v>
      </c>
      <c r="I770" s="19"/>
      <c r="L770" s="20">
        <v>44184</v>
      </c>
      <c r="M770" s="19">
        <v>0.4375</v>
      </c>
      <c r="N770" s="19"/>
      <c r="S770" s="36"/>
      <c r="T770" s="36"/>
    </row>
    <row r="771" spans="1:20" s="38" customFormat="1" ht="15.75" hidden="1" x14ac:dyDescent="0.3">
      <c r="A771" s="36" t="str">
        <f xml:space="preserve"> IF( 'From SvanPC++'!A761= "", "", ('From SvanPC++'!A761))</f>
        <v/>
      </c>
      <c r="B771" s="35" t="s">
        <v>900</v>
      </c>
      <c r="C771" s="34">
        <v>42.8</v>
      </c>
      <c r="D771" s="36"/>
      <c r="E771" s="20">
        <v>44184</v>
      </c>
      <c r="F771" s="19">
        <v>0.44791666666666669</v>
      </c>
      <c r="H771" s="34">
        <v>42.8</v>
      </c>
      <c r="I771" s="19"/>
      <c r="L771" s="20">
        <v>44184</v>
      </c>
      <c r="M771" s="19">
        <v>0.44791666666666669</v>
      </c>
      <c r="N771" s="19"/>
      <c r="S771" s="36"/>
      <c r="T771" s="36"/>
    </row>
    <row r="772" spans="1:20" s="38" customFormat="1" ht="15.75" x14ac:dyDescent="0.3">
      <c r="A772" s="36" t="str">
        <f xml:space="preserve"> IF( 'From SvanPC++'!A762= "", "", ('From SvanPC++'!A762))</f>
        <v/>
      </c>
      <c r="B772" s="35" t="s">
        <v>901</v>
      </c>
      <c r="C772" s="34">
        <v>40.9</v>
      </c>
      <c r="D772" s="36"/>
      <c r="E772" s="20">
        <v>44184</v>
      </c>
      <c r="F772" s="19">
        <v>0.45833333333333331</v>
      </c>
      <c r="H772" s="34">
        <v>40.9</v>
      </c>
      <c r="I772" s="106">
        <f>AVERAGE(H769:H772)</f>
        <v>42.449999999999996</v>
      </c>
      <c r="L772" s="20">
        <v>44184</v>
      </c>
      <c r="M772" s="19">
        <v>0.45833333333333331</v>
      </c>
      <c r="N772" s="106">
        <v>42.449999999999996</v>
      </c>
      <c r="S772" s="36"/>
      <c r="T772" s="36"/>
    </row>
    <row r="773" spans="1:20" s="38" customFormat="1" ht="15.75" hidden="1" x14ac:dyDescent="0.3">
      <c r="A773" s="36" t="str">
        <f xml:space="preserve"> IF( 'From SvanPC++'!A763= "", "", ('From SvanPC++'!A763))</f>
        <v/>
      </c>
      <c r="B773" s="35" t="s">
        <v>902</v>
      </c>
      <c r="C773" s="34">
        <v>40.9</v>
      </c>
      <c r="D773" s="36"/>
      <c r="E773" s="20">
        <v>44184</v>
      </c>
      <c r="F773" s="19">
        <v>0.46875</v>
      </c>
      <c r="H773" s="34">
        <v>40.9</v>
      </c>
      <c r="I773" s="19"/>
      <c r="L773" s="20">
        <v>44184</v>
      </c>
      <c r="M773" s="19">
        <v>0.46875</v>
      </c>
      <c r="N773" s="19"/>
      <c r="S773" s="36"/>
      <c r="T773" s="36"/>
    </row>
    <row r="774" spans="1:20" s="38" customFormat="1" ht="15.75" hidden="1" x14ac:dyDescent="0.3">
      <c r="A774" s="36" t="str">
        <f xml:space="preserve"> IF( 'From SvanPC++'!A764= "", "", ('From SvanPC++'!A764))</f>
        <v/>
      </c>
      <c r="B774" s="35" t="s">
        <v>903</v>
      </c>
      <c r="C774" s="34">
        <v>42.3</v>
      </c>
      <c r="D774" s="36"/>
      <c r="E774" s="20">
        <v>44184</v>
      </c>
      <c r="F774" s="19">
        <v>0.47916666666666669</v>
      </c>
      <c r="H774" s="34">
        <v>42.3</v>
      </c>
      <c r="I774" s="19"/>
      <c r="L774" s="20">
        <v>44184</v>
      </c>
      <c r="M774" s="19">
        <v>0.47916666666666669</v>
      </c>
      <c r="N774" s="19"/>
      <c r="S774" s="36"/>
      <c r="T774" s="36"/>
    </row>
    <row r="775" spans="1:20" s="38" customFormat="1" ht="15.75" hidden="1" x14ac:dyDescent="0.3">
      <c r="A775" s="36" t="str">
        <f xml:space="preserve"> IF( 'From SvanPC++'!A765= "", "", ('From SvanPC++'!A765))</f>
        <v/>
      </c>
      <c r="B775" s="35" t="s">
        <v>904</v>
      </c>
      <c r="C775" s="34">
        <v>41.3</v>
      </c>
      <c r="D775" s="36"/>
      <c r="E775" s="20">
        <v>44184</v>
      </c>
      <c r="F775" s="19">
        <v>0.48958333333333331</v>
      </c>
      <c r="H775" s="34">
        <v>41.3</v>
      </c>
      <c r="I775" s="19"/>
      <c r="L775" s="20">
        <v>44184</v>
      </c>
      <c r="M775" s="19">
        <v>0.48958333333333331</v>
      </c>
      <c r="N775" s="19"/>
      <c r="S775" s="36"/>
      <c r="T775" s="36"/>
    </row>
    <row r="776" spans="1:20" s="38" customFormat="1" ht="15.75" x14ac:dyDescent="0.3">
      <c r="A776" s="36" t="str">
        <f xml:space="preserve"> IF( 'From SvanPC++'!A766= "", "", ('From SvanPC++'!A766))</f>
        <v/>
      </c>
      <c r="B776" s="35" t="s">
        <v>905</v>
      </c>
      <c r="C776" s="34">
        <v>43.4</v>
      </c>
      <c r="D776" s="36"/>
      <c r="E776" s="20">
        <v>44184</v>
      </c>
      <c r="F776" s="19">
        <v>0.5</v>
      </c>
      <c r="H776" s="34">
        <v>43.4</v>
      </c>
      <c r="I776" s="106">
        <f>AVERAGE(H773:H776)</f>
        <v>41.974999999999994</v>
      </c>
      <c r="L776" s="20">
        <v>44184</v>
      </c>
      <c r="M776" s="19">
        <v>0.5</v>
      </c>
      <c r="N776" s="106">
        <v>41.974999999999994</v>
      </c>
      <c r="S776" s="36"/>
      <c r="T776" s="36"/>
    </row>
    <row r="777" spans="1:20" s="38" customFormat="1" ht="15.75" hidden="1" x14ac:dyDescent="0.3">
      <c r="A777" s="36" t="str">
        <f xml:space="preserve"> IF( 'From SvanPC++'!A767= "", "", ('From SvanPC++'!A767))</f>
        <v/>
      </c>
      <c r="B777" s="35" t="s">
        <v>906</v>
      </c>
      <c r="C777" s="34">
        <v>44.2</v>
      </c>
      <c r="D777" s="36"/>
      <c r="E777" s="20">
        <v>44184</v>
      </c>
      <c r="F777" s="19">
        <v>0.51041666666666663</v>
      </c>
      <c r="H777" s="34">
        <v>44.2</v>
      </c>
      <c r="I777" s="19"/>
      <c r="L777" s="20">
        <v>44184</v>
      </c>
      <c r="M777" s="19">
        <v>0.51041666666666663</v>
      </c>
      <c r="N777" s="19"/>
      <c r="S777" s="36"/>
      <c r="T777" s="36"/>
    </row>
    <row r="778" spans="1:20" s="38" customFormat="1" ht="15.75" hidden="1" x14ac:dyDescent="0.3">
      <c r="A778" s="36" t="str">
        <f xml:space="preserve"> IF( 'From SvanPC++'!A768= "", "", ('From SvanPC++'!A768))</f>
        <v/>
      </c>
      <c r="B778" s="35" t="s">
        <v>907</v>
      </c>
      <c r="C778" s="34">
        <v>43.8</v>
      </c>
      <c r="D778" s="36"/>
      <c r="E778" s="20">
        <v>44184</v>
      </c>
      <c r="F778" s="19">
        <v>0.52083333333333337</v>
      </c>
      <c r="H778" s="34">
        <v>43.8</v>
      </c>
      <c r="I778" s="19"/>
      <c r="L778" s="20">
        <v>44184</v>
      </c>
      <c r="M778" s="19">
        <v>0.52083333333333337</v>
      </c>
      <c r="N778" s="19"/>
      <c r="S778" s="36"/>
      <c r="T778" s="36"/>
    </row>
    <row r="779" spans="1:20" s="38" customFormat="1" ht="15.75" hidden="1" x14ac:dyDescent="0.3">
      <c r="A779" s="36" t="str">
        <f xml:space="preserve"> IF( 'From SvanPC++'!A769= "", "", ('From SvanPC++'!A769))</f>
        <v/>
      </c>
      <c r="B779" s="35" t="s">
        <v>908</v>
      </c>
      <c r="C779" s="34">
        <v>43.2</v>
      </c>
      <c r="D779" s="36"/>
      <c r="E779" s="20">
        <v>44184</v>
      </c>
      <c r="F779" s="19">
        <v>0.53125</v>
      </c>
      <c r="H779" s="34">
        <v>43.2</v>
      </c>
      <c r="I779" s="19"/>
      <c r="L779" s="20">
        <v>44184</v>
      </c>
      <c r="M779" s="19">
        <v>0.53125</v>
      </c>
      <c r="N779" s="19"/>
      <c r="S779" s="36"/>
      <c r="T779" s="36"/>
    </row>
    <row r="780" spans="1:20" s="38" customFormat="1" ht="15.75" x14ac:dyDescent="0.3">
      <c r="A780" s="36" t="str">
        <f xml:space="preserve"> IF( 'From SvanPC++'!A770= "", "", ('From SvanPC++'!A770))</f>
        <v/>
      </c>
      <c r="B780" s="35" t="s">
        <v>909</v>
      </c>
      <c r="C780" s="34">
        <v>42.9</v>
      </c>
      <c r="D780" s="36"/>
      <c r="E780" s="20">
        <v>44184</v>
      </c>
      <c r="F780" s="19">
        <v>0.54166666666666663</v>
      </c>
      <c r="H780" s="34">
        <v>42.9</v>
      </c>
      <c r="I780" s="106">
        <f>AVERAGE(H777:H780)</f>
        <v>43.524999999999999</v>
      </c>
      <c r="L780" s="20">
        <v>44184</v>
      </c>
      <c r="M780" s="19">
        <v>0.54166666666666663</v>
      </c>
      <c r="N780" s="106">
        <v>43.524999999999999</v>
      </c>
      <c r="S780" s="36"/>
      <c r="T780" s="36"/>
    </row>
    <row r="781" spans="1:20" s="38" customFormat="1" ht="15.75" hidden="1" x14ac:dyDescent="0.3">
      <c r="A781" s="36" t="str">
        <f xml:space="preserve"> IF( 'From SvanPC++'!A771= "", "", ('From SvanPC++'!A771))</f>
        <v/>
      </c>
      <c r="B781" s="35" t="s">
        <v>910</v>
      </c>
      <c r="C781" s="34">
        <v>44</v>
      </c>
      <c r="D781" s="36"/>
      <c r="E781" s="20">
        <v>44184</v>
      </c>
      <c r="F781" s="19">
        <v>0.55208333333333337</v>
      </c>
      <c r="H781" s="34">
        <v>44</v>
      </c>
      <c r="I781" s="19"/>
      <c r="L781" s="20">
        <v>44184</v>
      </c>
      <c r="M781" s="19">
        <v>0.55208333333333337</v>
      </c>
      <c r="N781" s="19"/>
      <c r="S781" s="36"/>
      <c r="T781" s="36"/>
    </row>
    <row r="782" spans="1:20" s="38" customFormat="1" ht="15.75" hidden="1" x14ac:dyDescent="0.3">
      <c r="A782" s="36" t="str">
        <f xml:space="preserve"> IF( 'From SvanPC++'!A772= "", "", ('From SvanPC++'!A772))</f>
        <v/>
      </c>
      <c r="B782" s="35" t="s">
        <v>911</v>
      </c>
      <c r="C782" s="34">
        <v>44</v>
      </c>
      <c r="D782" s="36"/>
      <c r="E782" s="20">
        <v>44184</v>
      </c>
      <c r="F782" s="19">
        <v>0.5625</v>
      </c>
      <c r="H782" s="34">
        <v>44</v>
      </c>
      <c r="I782" s="19"/>
      <c r="L782" s="20">
        <v>44184</v>
      </c>
      <c r="M782" s="19">
        <v>0.5625</v>
      </c>
      <c r="N782" s="19"/>
      <c r="S782" s="36"/>
      <c r="T782" s="36"/>
    </row>
    <row r="783" spans="1:20" s="38" customFormat="1" ht="15.75" hidden="1" x14ac:dyDescent="0.3">
      <c r="A783" s="36" t="str">
        <f xml:space="preserve"> IF( 'From SvanPC++'!A773= "", "", ('From SvanPC++'!A773))</f>
        <v/>
      </c>
      <c r="B783" s="35" t="s">
        <v>912</v>
      </c>
      <c r="C783" s="34">
        <v>44.6</v>
      </c>
      <c r="D783" s="36"/>
      <c r="E783" s="20">
        <v>44184</v>
      </c>
      <c r="F783" s="19">
        <v>0.57291666666666663</v>
      </c>
      <c r="H783" s="34">
        <v>44.6</v>
      </c>
      <c r="I783" s="19"/>
      <c r="L783" s="20">
        <v>44184</v>
      </c>
      <c r="M783" s="19">
        <v>0.57291666666666663</v>
      </c>
      <c r="N783" s="19"/>
      <c r="S783" s="36"/>
      <c r="T783" s="36"/>
    </row>
    <row r="784" spans="1:20" s="38" customFormat="1" ht="15.75" x14ac:dyDescent="0.3">
      <c r="A784" s="36" t="str">
        <f xml:space="preserve"> IF( 'From SvanPC++'!A774= "", "", ('From SvanPC++'!A774))</f>
        <v/>
      </c>
      <c r="B784" s="35" t="s">
        <v>913</v>
      </c>
      <c r="C784" s="34">
        <v>45.1</v>
      </c>
      <c r="D784" s="36"/>
      <c r="E784" s="20">
        <v>44184</v>
      </c>
      <c r="F784" s="19">
        <v>0.58333333333333337</v>
      </c>
      <c r="H784" s="34">
        <v>45.1</v>
      </c>
      <c r="I784" s="106">
        <f>AVERAGE(H781:H784)</f>
        <v>44.424999999999997</v>
      </c>
      <c r="L784" s="20">
        <v>44184</v>
      </c>
      <c r="M784" s="19">
        <v>0.58333333333333337</v>
      </c>
      <c r="N784" s="106">
        <v>44.424999999999997</v>
      </c>
      <c r="S784" s="36"/>
      <c r="T784" s="36"/>
    </row>
    <row r="785" spans="1:20" s="38" customFormat="1" ht="15.75" hidden="1" x14ac:dyDescent="0.3">
      <c r="A785" s="36" t="str">
        <f xml:space="preserve"> IF( 'From SvanPC++'!A775= "", "", ('From SvanPC++'!A775))</f>
        <v/>
      </c>
      <c r="B785" s="35" t="s">
        <v>914</v>
      </c>
      <c r="C785" s="34">
        <v>44.5</v>
      </c>
      <c r="D785" s="36"/>
      <c r="E785" s="20">
        <v>44184</v>
      </c>
      <c r="F785" s="19">
        <v>0.59375</v>
      </c>
      <c r="H785" s="34">
        <v>44.5</v>
      </c>
      <c r="I785" s="19"/>
      <c r="L785" s="20">
        <v>44184</v>
      </c>
      <c r="M785" s="19">
        <v>0.59375</v>
      </c>
      <c r="N785" s="19"/>
      <c r="S785" s="36"/>
      <c r="T785" s="36"/>
    </row>
    <row r="786" spans="1:20" s="38" customFormat="1" ht="15.75" hidden="1" x14ac:dyDescent="0.3">
      <c r="A786" s="36" t="str">
        <f xml:space="preserve"> IF( 'From SvanPC++'!A776= "", "", ('From SvanPC++'!A776))</f>
        <v/>
      </c>
      <c r="B786" s="35" t="s">
        <v>915</v>
      </c>
      <c r="C786" s="34">
        <v>43</v>
      </c>
      <c r="D786" s="36"/>
      <c r="E786" s="20">
        <v>44184</v>
      </c>
      <c r="F786" s="19">
        <v>0.60416666666666663</v>
      </c>
      <c r="H786" s="34">
        <v>43</v>
      </c>
      <c r="I786" s="19"/>
      <c r="L786" s="20">
        <v>44184</v>
      </c>
      <c r="M786" s="19">
        <v>0.60416666666666663</v>
      </c>
      <c r="N786" s="19"/>
      <c r="S786" s="36"/>
      <c r="T786" s="36"/>
    </row>
    <row r="787" spans="1:20" s="38" customFormat="1" ht="15.75" hidden="1" x14ac:dyDescent="0.3">
      <c r="A787" s="36" t="str">
        <f xml:space="preserve"> IF( 'From SvanPC++'!A777= "", "", ('From SvanPC++'!A777))</f>
        <v/>
      </c>
      <c r="B787" s="35" t="s">
        <v>916</v>
      </c>
      <c r="C787" s="34">
        <v>43.5</v>
      </c>
      <c r="D787" s="36"/>
      <c r="E787" s="20">
        <v>44184</v>
      </c>
      <c r="F787" s="19">
        <v>0.61458333333333337</v>
      </c>
      <c r="H787" s="34">
        <v>43.5</v>
      </c>
      <c r="I787" s="19"/>
      <c r="L787" s="20">
        <v>44184</v>
      </c>
      <c r="M787" s="19">
        <v>0.61458333333333337</v>
      </c>
      <c r="N787" s="19"/>
      <c r="S787" s="36"/>
      <c r="T787" s="36"/>
    </row>
    <row r="788" spans="1:20" s="38" customFormat="1" ht="15.75" x14ac:dyDescent="0.3">
      <c r="A788" s="36" t="str">
        <f xml:space="preserve"> IF( 'From SvanPC++'!A778= "", "", ('From SvanPC++'!A778))</f>
        <v/>
      </c>
      <c r="B788" s="35" t="s">
        <v>917</v>
      </c>
      <c r="C788" s="34">
        <v>43.1</v>
      </c>
      <c r="D788" s="36"/>
      <c r="E788" s="20">
        <v>44184</v>
      </c>
      <c r="F788" s="19">
        <v>0.625</v>
      </c>
      <c r="H788" s="34">
        <v>43.1</v>
      </c>
      <c r="I788" s="106">
        <f>AVERAGE(H785:H788)</f>
        <v>43.524999999999999</v>
      </c>
      <c r="L788" s="20">
        <v>44184</v>
      </c>
      <c r="M788" s="19">
        <v>0.625</v>
      </c>
      <c r="N788" s="106">
        <v>43.524999999999999</v>
      </c>
      <c r="S788" s="36"/>
      <c r="T788" s="36"/>
    </row>
    <row r="789" spans="1:20" s="38" customFormat="1" ht="15.75" hidden="1" x14ac:dyDescent="0.3">
      <c r="A789" s="36" t="str">
        <f xml:space="preserve"> IF( 'From SvanPC++'!A779= "", "", ('From SvanPC++'!A779))</f>
        <v/>
      </c>
      <c r="B789" s="35" t="s">
        <v>918</v>
      </c>
      <c r="C789" s="34">
        <v>43.3</v>
      </c>
      <c r="D789" s="36"/>
      <c r="E789" s="20">
        <v>44184</v>
      </c>
      <c r="F789" s="19">
        <v>0.63541666666666663</v>
      </c>
      <c r="H789" s="34">
        <v>43.3</v>
      </c>
      <c r="I789" s="19"/>
      <c r="L789" s="20">
        <v>44184</v>
      </c>
      <c r="M789" s="19">
        <v>0.63541666666666663</v>
      </c>
      <c r="N789" s="19"/>
      <c r="S789" s="36"/>
      <c r="T789" s="36"/>
    </row>
    <row r="790" spans="1:20" s="38" customFormat="1" ht="15.75" hidden="1" x14ac:dyDescent="0.3">
      <c r="A790" s="36" t="str">
        <f xml:space="preserve"> IF( 'From SvanPC++'!A780= "", "", ('From SvanPC++'!A780))</f>
        <v/>
      </c>
      <c r="B790" s="35" t="s">
        <v>919</v>
      </c>
      <c r="C790" s="34">
        <v>45.2</v>
      </c>
      <c r="D790" s="36"/>
      <c r="E790" s="20">
        <v>44184</v>
      </c>
      <c r="F790" s="19">
        <v>0.64583333333333337</v>
      </c>
      <c r="H790" s="34">
        <v>45.2</v>
      </c>
      <c r="I790" s="19"/>
      <c r="L790" s="20">
        <v>44184</v>
      </c>
      <c r="M790" s="19">
        <v>0.64583333333333337</v>
      </c>
      <c r="N790" s="19"/>
      <c r="S790" s="36"/>
      <c r="T790" s="36"/>
    </row>
    <row r="791" spans="1:20" s="38" customFormat="1" ht="15.75" hidden="1" x14ac:dyDescent="0.3">
      <c r="A791" s="36" t="str">
        <f xml:space="preserve"> IF( 'From SvanPC++'!A781= "", "", ('From SvanPC++'!A781))</f>
        <v/>
      </c>
      <c r="B791" s="35" t="s">
        <v>920</v>
      </c>
      <c r="C791" s="34">
        <v>44.4</v>
      </c>
      <c r="D791" s="36"/>
      <c r="E791" s="20">
        <v>44184</v>
      </c>
      <c r="F791" s="19">
        <v>0.65625</v>
      </c>
      <c r="H791" s="34">
        <v>44.4</v>
      </c>
      <c r="I791" s="19"/>
      <c r="L791" s="20">
        <v>44184</v>
      </c>
      <c r="M791" s="19">
        <v>0.65625</v>
      </c>
      <c r="N791" s="19"/>
      <c r="S791" s="36"/>
      <c r="T791" s="36"/>
    </row>
    <row r="792" spans="1:20" s="38" customFormat="1" ht="15.75" x14ac:dyDescent="0.3">
      <c r="A792" s="36" t="str">
        <f xml:space="preserve"> IF( 'From SvanPC++'!A782= "", "", ('From SvanPC++'!A782))</f>
        <v/>
      </c>
      <c r="B792" s="35" t="s">
        <v>921</v>
      </c>
      <c r="C792" s="34">
        <v>44.4</v>
      </c>
      <c r="D792" s="36"/>
      <c r="E792" s="20">
        <v>44184</v>
      </c>
      <c r="F792" s="19">
        <v>0.66666666666666663</v>
      </c>
      <c r="H792" s="34">
        <v>44.4</v>
      </c>
      <c r="I792" s="106">
        <f>AVERAGE(H789:H792)</f>
        <v>44.325000000000003</v>
      </c>
      <c r="L792" s="20">
        <v>44184</v>
      </c>
      <c r="M792" s="19">
        <v>0.66666666666666663</v>
      </c>
      <c r="N792" s="106">
        <v>44.325000000000003</v>
      </c>
      <c r="S792" s="36"/>
      <c r="T792" s="36"/>
    </row>
    <row r="793" spans="1:20" s="38" customFormat="1" hidden="1" x14ac:dyDescent="0.3">
      <c r="A793" s="36" t="str">
        <f xml:space="preserve"> IF( 'From SvanPC++'!A783= "", "", ('From SvanPC++'!A783))</f>
        <v/>
      </c>
      <c r="B793" s="36"/>
      <c r="C793" s="36"/>
      <c r="D793" s="36"/>
      <c r="E793" s="47"/>
      <c r="F793" s="19"/>
      <c r="I793" s="19"/>
      <c r="S793" s="36"/>
      <c r="T793" s="36"/>
    </row>
    <row r="794" spans="1:20" s="38" customFormat="1" hidden="1" x14ac:dyDescent="0.3">
      <c r="A794" s="36" t="str">
        <f xml:space="preserve"> IF( 'From SvanPC++'!A784= "", "", ('From SvanPC++'!A784))</f>
        <v/>
      </c>
      <c r="B794" s="36"/>
      <c r="C794" s="36"/>
      <c r="D794" s="36"/>
      <c r="E794" s="47"/>
      <c r="F794" s="19"/>
      <c r="I794" s="19"/>
      <c r="S794" s="36"/>
      <c r="T794" s="36"/>
    </row>
    <row r="795" spans="1:20" s="38" customFormat="1" hidden="1" x14ac:dyDescent="0.3">
      <c r="A795" s="36" t="str">
        <f xml:space="preserve"> IF( 'From SvanPC++'!A785= "", "", ('From SvanPC++'!A785))</f>
        <v/>
      </c>
      <c r="B795" s="36"/>
      <c r="C795" s="36"/>
      <c r="D795" s="36"/>
      <c r="E795" s="47"/>
      <c r="F795" s="19"/>
      <c r="I795" s="19"/>
      <c r="S795" s="36"/>
      <c r="T795" s="36"/>
    </row>
    <row r="796" spans="1:20" s="38" customFormat="1" hidden="1" x14ac:dyDescent="0.3">
      <c r="A796" s="36" t="str">
        <f xml:space="preserve"> IF( 'From SvanPC++'!A786= "", "", ('From SvanPC++'!A786))</f>
        <v/>
      </c>
      <c r="B796" s="36"/>
      <c r="C796" s="36"/>
      <c r="D796" s="36"/>
      <c r="E796" s="47"/>
      <c r="F796" s="19"/>
      <c r="I796" s="106"/>
      <c r="S796" s="36"/>
      <c r="T796" s="36"/>
    </row>
    <row r="797" spans="1:20" s="38" customFormat="1" hidden="1" x14ac:dyDescent="0.3">
      <c r="A797" s="36" t="str">
        <f xml:space="preserve"> IF( 'From SvanPC++'!A787= "", "", ('From SvanPC++'!A787))</f>
        <v/>
      </c>
      <c r="B797" s="36"/>
      <c r="C797" s="36"/>
      <c r="D797" s="36"/>
      <c r="E797" s="47"/>
      <c r="F797" s="19"/>
      <c r="I797" s="19"/>
      <c r="S797" s="36"/>
      <c r="T797" s="36"/>
    </row>
    <row r="798" spans="1:20" s="38" customFormat="1" hidden="1" x14ac:dyDescent="0.3">
      <c r="A798" s="36" t="str">
        <f xml:space="preserve"> IF( 'From SvanPC++'!A788= "", "", ('From SvanPC++'!A788))</f>
        <v/>
      </c>
      <c r="B798" s="36"/>
      <c r="C798" s="36"/>
      <c r="D798" s="36"/>
      <c r="E798" s="47"/>
      <c r="F798" s="19"/>
      <c r="I798" s="19"/>
      <c r="S798" s="36"/>
      <c r="T798" s="36"/>
    </row>
    <row r="799" spans="1:20" s="38" customFormat="1" hidden="1" x14ac:dyDescent="0.3">
      <c r="A799" s="36" t="str">
        <f xml:space="preserve"> IF( 'From SvanPC++'!A789= "", "", ('From SvanPC++'!A789))</f>
        <v/>
      </c>
      <c r="B799" s="36"/>
      <c r="C799" s="36"/>
      <c r="D799" s="36"/>
      <c r="E799" s="47"/>
      <c r="F799" s="19"/>
      <c r="I799" s="19"/>
      <c r="S799" s="36"/>
      <c r="T799" s="36"/>
    </row>
    <row r="800" spans="1:20" s="38" customFormat="1" hidden="1" x14ac:dyDescent="0.3">
      <c r="A800" s="36" t="str">
        <f xml:space="preserve"> IF( 'From SvanPC++'!A790= "", "", ('From SvanPC++'!A790))</f>
        <v/>
      </c>
      <c r="B800" s="36"/>
      <c r="C800" s="36"/>
      <c r="D800" s="36"/>
      <c r="E800" s="47"/>
      <c r="F800" s="19"/>
      <c r="I800" s="106"/>
      <c r="S800" s="36"/>
      <c r="T800" s="36"/>
    </row>
    <row r="801" spans="1:20" s="38" customFormat="1" hidden="1" x14ac:dyDescent="0.3">
      <c r="A801" s="36" t="str">
        <f xml:space="preserve"> IF( 'From SvanPC++'!A791= "", "", ('From SvanPC++'!A791))</f>
        <v/>
      </c>
      <c r="B801" s="36"/>
      <c r="C801" s="36"/>
      <c r="D801" s="36"/>
      <c r="E801" s="47"/>
      <c r="F801" s="19"/>
      <c r="I801" s="19"/>
      <c r="S801" s="36"/>
      <c r="T801" s="36"/>
    </row>
    <row r="802" spans="1:20" s="38" customFormat="1" hidden="1" x14ac:dyDescent="0.3">
      <c r="A802" s="36" t="str">
        <f xml:space="preserve"> IF( 'From SvanPC++'!A792= "", "", ('From SvanPC++'!A792))</f>
        <v/>
      </c>
      <c r="B802" s="36"/>
      <c r="C802" s="36"/>
      <c r="D802" s="36"/>
      <c r="E802" s="47"/>
      <c r="F802" s="19"/>
      <c r="I802" s="19"/>
      <c r="S802" s="36"/>
      <c r="T802" s="36"/>
    </row>
    <row r="803" spans="1:20" s="38" customFormat="1" hidden="1" x14ac:dyDescent="0.3">
      <c r="A803" s="36" t="str">
        <f xml:space="preserve"> IF( 'From SvanPC++'!A793= "", "", ('From SvanPC++'!A793))</f>
        <v/>
      </c>
      <c r="B803" s="36"/>
      <c r="C803" s="36"/>
      <c r="D803" s="36"/>
      <c r="E803" s="47"/>
      <c r="F803" s="19"/>
      <c r="I803" s="19"/>
      <c r="S803" s="36"/>
      <c r="T803" s="36"/>
    </row>
    <row r="804" spans="1:20" s="38" customFormat="1" hidden="1" x14ac:dyDescent="0.3">
      <c r="A804" s="36" t="str">
        <f xml:space="preserve"> IF( 'From SvanPC++'!A794= "", "", ('From SvanPC++'!A794))</f>
        <v/>
      </c>
      <c r="B804" s="36"/>
      <c r="C804" s="36"/>
      <c r="D804" s="36"/>
      <c r="E804" s="47"/>
      <c r="F804" s="19"/>
      <c r="I804" s="106"/>
      <c r="S804" s="36"/>
      <c r="T804" s="36"/>
    </row>
    <row r="805" spans="1:20" s="38" customFormat="1" hidden="1" x14ac:dyDescent="0.3">
      <c r="A805" s="36" t="str">
        <f xml:space="preserve"> IF( 'From SvanPC++'!A795= "", "", ('From SvanPC++'!A795))</f>
        <v/>
      </c>
      <c r="B805" s="36"/>
      <c r="C805" s="36"/>
      <c r="D805" s="36"/>
      <c r="E805" s="47"/>
      <c r="F805" s="19"/>
      <c r="I805" s="19"/>
      <c r="S805" s="36"/>
      <c r="T805" s="36"/>
    </row>
    <row r="806" spans="1:20" s="38" customFormat="1" hidden="1" x14ac:dyDescent="0.3">
      <c r="A806" s="36" t="str">
        <f xml:space="preserve"> IF( 'From SvanPC++'!A796= "", "", ('From SvanPC++'!A796))</f>
        <v/>
      </c>
      <c r="B806" s="36"/>
      <c r="C806" s="36"/>
      <c r="D806" s="36"/>
      <c r="E806" s="47"/>
      <c r="F806" s="19"/>
      <c r="I806" s="19"/>
      <c r="S806" s="36"/>
      <c r="T806" s="36"/>
    </row>
    <row r="807" spans="1:20" s="38" customFormat="1" hidden="1" x14ac:dyDescent="0.3">
      <c r="A807" s="36" t="str">
        <f xml:space="preserve"> IF( 'From SvanPC++'!A797= "", "", ('From SvanPC++'!A797))</f>
        <v/>
      </c>
      <c r="B807" s="36"/>
      <c r="C807" s="36"/>
      <c r="D807" s="36"/>
      <c r="E807" s="47"/>
      <c r="F807" s="19"/>
      <c r="I807" s="19"/>
      <c r="S807" s="36"/>
      <c r="T807" s="36"/>
    </row>
    <row r="808" spans="1:20" s="38" customFormat="1" hidden="1" x14ac:dyDescent="0.3">
      <c r="A808" s="36" t="str">
        <f xml:space="preserve"> IF( 'From SvanPC++'!A798= "", "", ('From SvanPC++'!A798))</f>
        <v/>
      </c>
      <c r="B808" s="36"/>
      <c r="C808" s="36"/>
      <c r="D808" s="36"/>
      <c r="E808" s="47"/>
      <c r="F808" s="19"/>
      <c r="I808" s="106"/>
      <c r="S808" s="36"/>
      <c r="T808" s="36"/>
    </row>
    <row r="809" spans="1:20" s="38" customFormat="1" hidden="1" x14ac:dyDescent="0.3">
      <c r="A809" s="36" t="str">
        <f xml:space="preserve"> IF( 'From SvanPC++'!A799= "", "", ('From SvanPC++'!A799))</f>
        <v/>
      </c>
      <c r="B809" s="36"/>
      <c r="C809" s="36"/>
      <c r="D809" s="36"/>
      <c r="E809" s="47"/>
      <c r="F809" s="19"/>
      <c r="I809" s="19"/>
      <c r="S809" s="36"/>
      <c r="T809" s="36"/>
    </row>
    <row r="810" spans="1:20" s="38" customFormat="1" hidden="1" x14ac:dyDescent="0.3">
      <c r="A810" s="36" t="str">
        <f xml:space="preserve"> IF( 'From SvanPC++'!A800= "", "", ('From SvanPC++'!A800))</f>
        <v/>
      </c>
      <c r="B810" s="36"/>
      <c r="C810" s="36"/>
      <c r="D810" s="36"/>
      <c r="E810" s="47"/>
      <c r="F810" s="19"/>
      <c r="I810" s="19"/>
      <c r="S810" s="36"/>
      <c r="T810" s="36"/>
    </row>
    <row r="811" spans="1:20" s="38" customFormat="1" hidden="1" x14ac:dyDescent="0.3">
      <c r="A811" s="36" t="str">
        <f xml:space="preserve"> IF( 'From SvanPC++'!A801= "", "", ('From SvanPC++'!A801))</f>
        <v/>
      </c>
      <c r="B811" s="36"/>
      <c r="C811" s="36"/>
      <c r="D811" s="36"/>
      <c r="E811" s="47"/>
      <c r="F811" s="19"/>
      <c r="I811" s="19"/>
      <c r="S811" s="36"/>
      <c r="T811" s="36"/>
    </row>
    <row r="812" spans="1:20" s="38" customFormat="1" hidden="1" x14ac:dyDescent="0.3">
      <c r="A812" s="36" t="str">
        <f xml:space="preserve"> IF( 'From SvanPC++'!A802= "", "", ('From SvanPC++'!A802))</f>
        <v/>
      </c>
      <c r="B812" s="36"/>
      <c r="C812" s="36"/>
      <c r="D812" s="36"/>
      <c r="E812" s="47"/>
      <c r="F812" s="19"/>
      <c r="I812" s="106"/>
      <c r="S812" s="36"/>
      <c r="T812" s="36"/>
    </row>
    <row r="813" spans="1:20" s="38" customFormat="1" hidden="1" x14ac:dyDescent="0.3">
      <c r="A813" s="36" t="str">
        <f xml:space="preserve"> IF( 'From SvanPC++'!A803= "", "", ('From SvanPC++'!A803))</f>
        <v/>
      </c>
      <c r="B813" s="36"/>
      <c r="C813" s="36"/>
      <c r="D813" s="36"/>
      <c r="E813" s="47"/>
      <c r="F813" s="19"/>
      <c r="I813" s="19"/>
      <c r="S813" s="36"/>
      <c r="T813" s="36"/>
    </row>
    <row r="814" spans="1:20" s="38" customFormat="1" hidden="1" x14ac:dyDescent="0.3">
      <c r="A814" s="36" t="str">
        <f xml:space="preserve"> IF( 'From SvanPC++'!A804= "", "", ('From SvanPC++'!A804))</f>
        <v/>
      </c>
      <c r="B814" s="36"/>
      <c r="C814" s="36"/>
      <c r="D814" s="36"/>
      <c r="E814" s="47"/>
      <c r="F814" s="19"/>
      <c r="I814" s="19"/>
      <c r="S814" s="36"/>
      <c r="T814" s="36"/>
    </row>
    <row r="815" spans="1:20" s="38" customFormat="1" hidden="1" x14ac:dyDescent="0.3">
      <c r="A815" s="36" t="str">
        <f xml:space="preserve"> IF( 'From SvanPC++'!A805= "", "", ('From SvanPC++'!A805))</f>
        <v/>
      </c>
      <c r="B815" s="36"/>
      <c r="C815" s="36"/>
      <c r="D815" s="36"/>
      <c r="E815" s="47"/>
      <c r="F815" s="19"/>
      <c r="I815" s="19"/>
      <c r="S815" s="36"/>
      <c r="T815" s="36"/>
    </row>
    <row r="816" spans="1:20" s="38" customFormat="1" hidden="1" x14ac:dyDescent="0.3">
      <c r="A816" s="36" t="str">
        <f xml:space="preserve"> IF( 'From SvanPC++'!A806= "", "", ('From SvanPC++'!A806))</f>
        <v/>
      </c>
      <c r="B816" s="36"/>
      <c r="C816" s="36"/>
      <c r="D816" s="36"/>
      <c r="E816" s="47"/>
      <c r="F816" s="19"/>
      <c r="I816" s="106"/>
      <c r="S816" s="36"/>
      <c r="T816" s="36"/>
    </row>
    <row r="817" spans="1:20" s="38" customFormat="1" hidden="1" x14ac:dyDescent="0.3">
      <c r="A817" s="36" t="str">
        <f xml:space="preserve"> IF( 'From SvanPC++'!A807= "", "", ('From SvanPC++'!A807))</f>
        <v/>
      </c>
      <c r="B817" s="36"/>
      <c r="C817" s="36"/>
      <c r="D817" s="36"/>
      <c r="E817" s="47"/>
      <c r="F817" s="19"/>
      <c r="I817" s="19"/>
      <c r="S817" s="36"/>
      <c r="T817" s="36"/>
    </row>
    <row r="818" spans="1:20" s="38" customFormat="1" hidden="1" x14ac:dyDescent="0.3">
      <c r="A818" s="36" t="str">
        <f xml:space="preserve"> IF( 'From SvanPC++'!A808= "", "", ('From SvanPC++'!A808))</f>
        <v/>
      </c>
      <c r="B818" s="36"/>
      <c r="C818" s="36"/>
      <c r="D818" s="36"/>
      <c r="E818" s="47"/>
      <c r="F818" s="19"/>
      <c r="I818" s="19"/>
      <c r="S818" s="36"/>
      <c r="T818" s="36"/>
    </row>
    <row r="819" spans="1:20" s="38" customFormat="1" hidden="1" x14ac:dyDescent="0.3">
      <c r="A819" s="36" t="str">
        <f xml:space="preserve"> IF( 'From SvanPC++'!A809= "", "", ('From SvanPC++'!A809))</f>
        <v/>
      </c>
      <c r="B819" s="36"/>
      <c r="C819" s="36"/>
      <c r="D819" s="36"/>
      <c r="E819" s="47"/>
      <c r="F819" s="19"/>
      <c r="I819" s="19"/>
      <c r="S819" s="36"/>
      <c r="T819" s="36"/>
    </row>
    <row r="820" spans="1:20" s="38" customFormat="1" hidden="1" x14ac:dyDescent="0.3">
      <c r="A820" s="36" t="str">
        <f xml:space="preserve"> IF( 'From SvanPC++'!A810= "", "", ('From SvanPC++'!A810))</f>
        <v/>
      </c>
      <c r="B820" s="36"/>
      <c r="C820" s="36"/>
      <c r="D820" s="36"/>
      <c r="E820" s="47"/>
      <c r="F820" s="19"/>
      <c r="I820" s="106"/>
      <c r="S820" s="36"/>
      <c r="T820" s="36"/>
    </row>
    <row r="821" spans="1:20" s="38" customFormat="1" hidden="1" x14ac:dyDescent="0.3">
      <c r="A821" s="36" t="str">
        <f xml:space="preserve"> IF( 'From SvanPC++'!A811= "", "", ('From SvanPC++'!A811))</f>
        <v/>
      </c>
      <c r="B821" s="36"/>
      <c r="C821" s="36"/>
      <c r="D821" s="36"/>
      <c r="E821" s="47"/>
      <c r="F821" s="19"/>
      <c r="I821" s="19"/>
      <c r="S821" s="36"/>
      <c r="T821" s="36"/>
    </row>
    <row r="822" spans="1:20" s="38" customFormat="1" hidden="1" x14ac:dyDescent="0.3">
      <c r="A822" s="36" t="str">
        <f xml:space="preserve"> IF( 'From SvanPC++'!A812= "", "", ('From SvanPC++'!A812))</f>
        <v/>
      </c>
      <c r="B822" s="36"/>
      <c r="C822" s="36"/>
      <c r="D822" s="36"/>
      <c r="E822" s="47"/>
      <c r="F822" s="19"/>
      <c r="I822" s="19"/>
      <c r="S822" s="36"/>
      <c r="T822" s="36"/>
    </row>
    <row r="823" spans="1:20" s="38" customFormat="1" hidden="1" x14ac:dyDescent="0.3">
      <c r="A823" s="36" t="str">
        <f xml:space="preserve"> IF( 'From SvanPC++'!A813= "", "", ('From SvanPC++'!A813))</f>
        <v/>
      </c>
      <c r="B823" s="36"/>
      <c r="C823" s="36"/>
      <c r="D823" s="36"/>
      <c r="E823" s="47"/>
      <c r="F823" s="19"/>
      <c r="I823" s="19"/>
      <c r="S823" s="36"/>
      <c r="T823" s="36"/>
    </row>
    <row r="824" spans="1:20" s="38" customFormat="1" hidden="1" x14ac:dyDescent="0.3">
      <c r="A824" s="36" t="str">
        <f xml:space="preserve"> IF( 'From SvanPC++'!A814= "", "", ('From SvanPC++'!A814))</f>
        <v/>
      </c>
      <c r="B824" s="36"/>
      <c r="C824" s="36"/>
      <c r="D824" s="36"/>
      <c r="E824" s="47"/>
      <c r="F824" s="19"/>
      <c r="I824" s="106"/>
      <c r="S824" s="36"/>
      <c r="T824" s="36"/>
    </row>
    <row r="825" spans="1:20" s="38" customFormat="1" hidden="1" x14ac:dyDescent="0.3">
      <c r="A825" s="36" t="str">
        <f xml:space="preserve"> IF( 'From SvanPC++'!A815= "", "", ('From SvanPC++'!A815))</f>
        <v/>
      </c>
      <c r="B825" s="36"/>
      <c r="C825" s="36"/>
      <c r="D825" s="36"/>
      <c r="E825" s="47"/>
      <c r="F825" s="19"/>
      <c r="I825" s="19"/>
      <c r="S825" s="36"/>
      <c r="T825" s="36"/>
    </row>
    <row r="826" spans="1:20" s="38" customFormat="1" hidden="1" x14ac:dyDescent="0.3">
      <c r="A826" s="36" t="str">
        <f xml:space="preserve"> IF( 'From SvanPC++'!A816= "", "", ('From SvanPC++'!A816))</f>
        <v/>
      </c>
      <c r="B826" s="36"/>
      <c r="C826" s="36"/>
      <c r="D826" s="36"/>
      <c r="E826" s="47"/>
      <c r="F826" s="19"/>
      <c r="I826" s="19"/>
      <c r="S826" s="36"/>
      <c r="T826" s="36"/>
    </row>
    <row r="827" spans="1:20" s="38" customFormat="1" hidden="1" x14ac:dyDescent="0.3">
      <c r="A827" s="36" t="str">
        <f xml:space="preserve"> IF( 'From SvanPC++'!A817= "", "", ('From SvanPC++'!A817))</f>
        <v/>
      </c>
      <c r="B827" s="36"/>
      <c r="C827" s="36"/>
      <c r="D827" s="36"/>
      <c r="E827" s="47"/>
      <c r="F827" s="19"/>
      <c r="I827" s="19"/>
      <c r="S827" s="36"/>
      <c r="T827" s="36"/>
    </row>
    <row r="828" spans="1:20" s="38" customFormat="1" hidden="1" x14ac:dyDescent="0.3">
      <c r="A828" s="36" t="str">
        <f xml:space="preserve"> IF( 'From SvanPC++'!A818= "", "", ('From SvanPC++'!A818))</f>
        <v/>
      </c>
      <c r="B828" s="36"/>
      <c r="C828" s="36"/>
      <c r="D828" s="36"/>
      <c r="E828" s="47"/>
      <c r="F828" s="19"/>
      <c r="I828" s="106"/>
      <c r="S828" s="36"/>
      <c r="T828" s="36"/>
    </row>
    <row r="829" spans="1:20" s="38" customFormat="1" hidden="1" x14ac:dyDescent="0.3">
      <c r="A829" s="36" t="str">
        <f xml:space="preserve"> IF( 'From SvanPC++'!A819= "", "", ('From SvanPC++'!A819))</f>
        <v/>
      </c>
      <c r="B829" s="36"/>
      <c r="C829" s="36"/>
      <c r="D829" s="36"/>
      <c r="E829" s="47"/>
      <c r="F829" s="19"/>
      <c r="I829" s="19"/>
      <c r="S829" s="36"/>
      <c r="T829" s="36"/>
    </row>
    <row r="830" spans="1:20" s="38" customFormat="1" hidden="1" x14ac:dyDescent="0.3">
      <c r="A830" s="36" t="str">
        <f xml:space="preserve"> IF( 'From SvanPC++'!A820= "", "", ('From SvanPC++'!A820))</f>
        <v/>
      </c>
      <c r="B830" s="36"/>
      <c r="C830" s="36"/>
      <c r="D830" s="36"/>
      <c r="E830" s="47"/>
      <c r="F830" s="19"/>
      <c r="I830" s="19"/>
      <c r="S830" s="36"/>
      <c r="T830" s="36"/>
    </row>
    <row r="831" spans="1:20" s="38" customFormat="1" hidden="1" x14ac:dyDescent="0.3">
      <c r="A831" s="36" t="str">
        <f xml:space="preserve"> IF( 'From SvanPC++'!A821= "", "", ('From SvanPC++'!A821))</f>
        <v/>
      </c>
      <c r="B831" s="36"/>
      <c r="C831" s="36"/>
      <c r="D831" s="36"/>
      <c r="E831" s="47"/>
      <c r="F831" s="19"/>
      <c r="I831" s="19"/>
      <c r="S831" s="36"/>
      <c r="T831" s="36"/>
    </row>
    <row r="832" spans="1:20" s="38" customFormat="1" hidden="1" x14ac:dyDescent="0.3">
      <c r="A832" s="36" t="str">
        <f xml:space="preserve"> IF( 'From SvanPC++'!A822= "", "", ('From SvanPC++'!A822))</f>
        <v/>
      </c>
      <c r="B832" s="36"/>
      <c r="C832" s="36"/>
      <c r="D832" s="36"/>
      <c r="E832" s="47"/>
      <c r="F832" s="19"/>
      <c r="I832" s="106"/>
      <c r="S832" s="36"/>
      <c r="T832" s="36"/>
    </row>
    <row r="833" spans="1:20" s="38" customFormat="1" hidden="1" x14ac:dyDescent="0.3">
      <c r="A833" s="36" t="str">
        <f xml:space="preserve"> IF( 'From SvanPC++'!A823= "", "", ('From SvanPC++'!A823))</f>
        <v/>
      </c>
      <c r="B833" s="36"/>
      <c r="C833" s="36"/>
      <c r="D833" s="36"/>
      <c r="E833" s="47"/>
      <c r="F833" s="19"/>
      <c r="I833" s="19"/>
      <c r="S833" s="36"/>
      <c r="T833" s="36"/>
    </row>
    <row r="834" spans="1:20" s="38" customFormat="1" hidden="1" x14ac:dyDescent="0.3">
      <c r="A834" s="36" t="str">
        <f xml:space="preserve"> IF( 'From SvanPC++'!A824= "", "", ('From SvanPC++'!A824))</f>
        <v/>
      </c>
      <c r="B834" s="36"/>
      <c r="C834" s="36"/>
      <c r="D834" s="36"/>
      <c r="E834" s="47"/>
      <c r="F834" s="19"/>
      <c r="I834" s="19"/>
      <c r="S834" s="36"/>
      <c r="T834" s="36"/>
    </row>
    <row r="835" spans="1:20" s="38" customFormat="1" hidden="1" x14ac:dyDescent="0.3">
      <c r="A835" s="36" t="str">
        <f xml:space="preserve"> IF( 'From SvanPC++'!A825= "", "", ('From SvanPC++'!A825))</f>
        <v/>
      </c>
      <c r="B835" s="36"/>
      <c r="C835" s="36"/>
      <c r="D835" s="36"/>
      <c r="E835" s="47"/>
      <c r="F835" s="19"/>
      <c r="I835" s="19"/>
      <c r="S835" s="36"/>
      <c r="T835" s="36"/>
    </row>
    <row r="836" spans="1:20" s="38" customFormat="1" hidden="1" x14ac:dyDescent="0.3">
      <c r="A836" s="36" t="str">
        <f xml:space="preserve"> IF( 'From SvanPC++'!A826= "", "", ('From SvanPC++'!A826))</f>
        <v/>
      </c>
      <c r="B836" s="36"/>
      <c r="C836" s="36"/>
      <c r="D836" s="36"/>
      <c r="E836" s="47"/>
      <c r="F836" s="19"/>
      <c r="I836" s="106"/>
      <c r="S836" s="36"/>
      <c r="T836" s="36"/>
    </row>
    <row r="837" spans="1:20" s="38" customFormat="1" hidden="1" x14ac:dyDescent="0.3">
      <c r="A837" s="36" t="str">
        <f xml:space="preserve"> IF( 'From SvanPC++'!A827= "", "", ('From SvanPC++'!A827))</f>
        <v/>
      </c>
      <c r="B837" s="36"/>
      <c r="C837" s="36"/>
      <c r="D837" s="36"/>
      <c r="E837" s="47"/>
      <c r="F837" s="19"/>
      <c r="I837" s="19"/>
      <c r="S837" s="36"/>
      <c r="T837" s="36"/>
    </row>
    <row r="838" spans="1:20" s="38" customFormat="1" hidden="1" x14ac:dyDescent="0.3">
      <c r="A838" s="36" t="str">
        <f xml:space="preserve"> IF( 'From SvanPC++'!A828= "", "", ('From SvanPC++'!A828))</f>
        <v/>
      </c>
      <c r="B838" s="36"/>
      <c r="C838" s="36"/>
      <c r="D838" s="36"/>
      <c r="E838" s="47"/>
      <c r="F838" s="19"/>
      <c r="I838" s="19"/>
      <c r="S838" s="36"/>
      <c r="T838" s="36"/>
    </row>
    <row r="839" spans="1:20" s="38" customFormat="1" hidden="1" x14ac:dyDescent="0.3">
      <c r="A839" s="36" t="str">
        <f xml:space="preserve"> IF( 'From SvanPC++'!A829= "", "", ('From SvanPC++'!A829))</f>
        <v/>
      </c>
      <c r="B839" s="36"/>
      <c r="C839" s="36"/>
      <c r="D839" s="36"/>
      <c r="E839" s="47"/>
      <c r="F839" s="19"/>
      <c r="I839" s="19"/>
      <c r="S839" s="36"/>
      <c r="T839" s="36"/>
    </row>
    <row r="840" spans="1:20" s="38" customFormat="1" hidden="1" x14ac:dyDescent="0.3">
      <c r="A840" s="36" t="str">
        <f xml:space="preserve"> IF( 'From SvanPC++'!A830= "", "", ('From SvanPC++'!A830))</f>
        <v/>
      </c>
      <c r="B840" s="36"/>
      <c r="C840" s="36"/>
      <c r="D840" s="36"/>
      <c r="E840" s="47"/>
      <c r="F840" s="19"/>
      <c r="I840" s="106"/>
      <c r="S840" s="36"/>
      <c r="T840" s="36"/>
    </row>
    <row r="841" spans="1:20" s="38" customFormat="1" hidden="1" x14ac:dyDescent="0.3">
      <c r="A841" s="36" t="str">
        <f xml:space="preserve"> IF( 'From SvanPC++'!A831= "", "", ('From SvanPC++'!A831))</f>
        <v/>
      </c>
      <c r="B841" s="36"/>
      <c r="C841" s="36"/>
      <c r="D841" s="36"/>
      <c r="E841" s="47"/>
      <c r="F841" s="19"/>
      <c r="I841" s="19"/>
      <c r="S841" s="36"/>
      <c r="T841" s="36"/>
    </row>
    <row r="842" spans="1:20" s="38" customFormat="1" hidden="1" x14ac:dyDescent="0.3">
      <c r="A842" s="36" t="str">
        <f xml:space="preserve"> IF( 'From SvanPC++'!A832= "", "", ('From SvanPC++'!A832))</f>
        <v/>
      </c>
      <c r="B842" s="36"/>
      <c r="C842" s="36"/>
      <c r="D842" s="36"/>
      <c r="E842" s="47"/>
      <c r="F842" s="19"/>
      <c r="I842" s="19"/>
      <c r="S842" s="36"/>
      <c r="T842" s="36"/>
    </row>
    <row r="843" spans="1:20" s="38" customFormat="1" hidden="1" x14ac:dyDescent="0.3">
      <c r="A843" s="36" t="str">
        <f xml:space="preserve"> IF( 'From SvanPC++'!A833= "", "", ('From SvanPC++'!A833))</f>
        <v/>
      </c>
      <c r="B843" s="36"/>
      <c r="C843" s="36"/>
      <c r="D843" s="36"/>
      <c r="E843" s="47"/>
      <c r="F843" s="19"/>
      <c r="I843" s="19"/>
      <c r="S843" s="36"/>
      <c r="T843" s="36"/>
    </row>
    <row r="844" spans="1:20" s="38" customFormat="1" hidden="1" x14ac:dyDescent="0.3">
      <c r="A844" s="36" t="str">
        <f xml:space="preserve"> IF( 'From SvanPC++'!A834= "", "", ('From SvanPC++'!A834))</f>
        <v/>
      </c>
      <c r="B844" s="36"/>
      <c r="C844" s="36"/>
      <c r="D844" s="36"/>
      <c r="E844" s="47"/>
      <c r="F844" s="19"/>
      <c r="I844" s="106"/>
      <c r="S844" s="36"/>
      <c r="T844" s="36"/>
    </row>
    <row r="845" spans="1:20" s="38" customFormat="1" hidden="1" x14ac:dyDescent="0.3">
      <c r="A845" s="36" t="str">
        <f xml:space="preserve"> IF( 'From SvanPC++'!A835= "", "", ('From SvanPC++'!A835))</f>
        <v/>
      </c>
      <c r="B845" s="36"/>
      <c r="C845" s="36"/>
      <c r="D845" s="36"/>
      <c r="E845" s="47"/>
      <c r="F845" s="19"/>
      <c r="I845" s="19"/>
      <c r="S845" s="36"/>
      <c r="T845" s="36"/>
    </row>
    <row r="846" spans="1:20" s="38" customFormat="1" hidden="1" x14ac:dyDescent="0.3">
      <c r="A846" s="36" t="str">
        <f xml:space="preserve"> IF( 'From SvanPC++'!A836= "", "", ('From SvanPC++'!A836))</f>
        <v/>
      </c>
      <c r="B846" s="36"/>
      <c r="C846" s="36"/>
      <c r="D846" s="36"/>
      <c r="E846" s="47"/>
      <c r="F846" s="19"/>
      <c r="I846" s="19"/>
      <c r="S846" s="36"/>
      <c r="T846" s="36"/>
    </row>
    <row r="847" spans="1:20" s="38" customFormat="1" hidden="1" x14ac:dyDescent="0.3">
      <c r="A847" s="36" t="str">
        <f xml:space="preserve"> IF( 'From SvanPC++'!A837= "", "", ('From SvanPC++'!A837))</f>
        <v/>
      </c>
      <c r="B847" s="36"/>
      <c r="C847" s="36"/>
      <c r="D847" s="36"/>
      <c r="E847" s="47"/>
      <c r="F847" s="19"/>
      <c r="I847" s="19"/>
      <c r="S847" s="36"/>
      <c r="T847" s="36"/>
    </row>
    <row r="848" spans="1:20" s="38" customFormat="1" hidden="1" x14ac:dyDescent="0.3">
      <c r="A848" s="36" t="str">
        <f xml:space="preserve"> IF( 'From SvanPC++'!A838= "", "", ('From SvanPC++'!A838))</f>
        <v/>
      </c>
      <c r="B848" s="36"/>
      <c r="C848" s="36"/>
      <c r="D848" s="36"/>
      <c r="E848" s="47"/>
      <c r="F848" s="19"/>
      <c r="I848" s="106"/>
      <c r="S848" s="36"/>
      <c r="T848" s="36"/>
    </row>
    <row r="849" spans="1:20" s="38" customFormat="1" hidden="1" x14ac:dyDescent="0.3">
      <c r="A849" s="36" t="str">
        <f xml:space="preserve"> IF( 'From SvanPC++'!A839= "", "", ('From SvanPC++'!A839))</f>
        <v/>
      </c>
      <c r="B849" s="36"/>
      <c r="C849" s="36"/>
      <c r="D849" s="36"/>
      <c r="E849" s="47"/>
      <c r="F849" s="19"/>
      <c r="I849" s="19"/>
      <c r="S849" s="36"/>
      <c r="T849" s="36"/>
    </row>
    <row r="850" spans="1:20" s="38" customFormat="1" hidden="1" x14ac:dyDescent="0.3">
      <c r="A850" s="36" t="str">
        <f xml:space="preserve"> IF( 'From SvanPC++'!A840= "", "", ('From SvanPC++'!A840))</f>
        <v/>
      </c>
      <c r="B850" s="36"/>
      <c r="C850" s="36"/>
      <c r="D850" s="36"/>
      <c r="E850" s="47"/>
      <c r="F850" s="19"/>
      <c r="I850" s="19"/>
      <c r="S850" s="36"/>
      <c r="T850" s="36"/>
    </row>
    <row r="851" spans="1:20" s="38" customFormat="1" hidden="1" x14ac:dyDescent="0.3">
      <c r="A851" s="36" t="str">
        <f xml:space="preserve"> IF( 'From SvanPC++'!A841= "", "", ('From SvanPC++'!A841))</f>
        <v/>
      </c>
      <c r="B851" s="36"/>
      <c r="C851" s="36"/>
      <c r="D851" s="36"/>
      <c r="E851" s="47"/>
      <c r="F851" s="19"/>
      <c r="I851" s="19"/>
      <c r="S851" s="36"/>
      <c r="T851" s="36"/>
    </row>
    <row r="852" spans="1:20" s="38" customFormat="1" hidden="1" x14ac:dyDescent="0.3">
      <c r="A852" s="36" t="str">
        <f xml:space="preserve"> IF( 'From SvanPC++'!A842= "", "", ('From SvanPC++'!A842))</f>
        <v/>
      </c>
      <c r="B852" s="36"/>
      <c r="C852" s="36"/>
      <c r="D852" s="36"/>
      <c r="E852" s="47"/>
      <c r="F852" s="19"/>
      <c r="I852" s="106"/>
      <c r="S852" s="36"/>
      <c r="T852" s="36"/>
    </row>
    <row r="853" spans="1:20" s="38" customFormat="1" hidden="1" x14ac:dyDescent="0.3">
      <c r="A853" s="36" t="str">
        <f xml:space="preserve"> IF( 'From SvanPC++'!A843= "", "", ('From SvanPC++'!A843))</f>
        <v/>
      </c>
      <c r="B853" s="36"/>
      <c r="C853" s="36"/>
      <c r="D853" s="36"/>
      <c r="E853" s="47"/>
      <c r="F853" s="19"/>
      <c r="I853" s="19"/>
      <c r="S853" s="36"/>
      <c r="T853" s="36"/>
    </row>
    <row r="854" spans="1:20" s="38" customFormat="1" hidden="1" x14ac:dyDescent="0.3">
      <c r="A854" s="36" t="str">
        <f xml:space="preserve"> IF( 'From SvanPC++'!A844= "", "", ('From SvanPC++'!A844))</f>
        <v/>
      </c>
      <c r="B854" s="36"/>
      <c r="C854" s="36"/>
      <c r="D854" s="36"/>
      <c r="E854" s="47"/>
      <c r="F854" s="19"/>
      <c r="I854" s="19"/>
      <c r="S854" s="36"/>
      <c r="T854" s="36"/>
    </row>
    <row r="855" spans="1:20" s="38" customFormat="1" hidden="1" x14ac:dyDescent="0.3">
      <c r="A855" s="36" t="str">
        <f xml:space="preserve"> IF( 'From SvanPC++'!A845= "", "", ('From SvanPC++'!A845))</f>
        <v/>
      </c>
      <c r="B855" s="36"/>
      <c r="C855" s="36"/>
      <c r="D855" s="36"/>
      <c r="E855" s="47"/>
      <c r="F855" s="19"/>
      <c r="I855" s="19"/>
      <c r="S855" s="36"/>
      <c r="T855" s="36"/>
    </row>
    <row r="856" spans="1:20" s="38" customFormat="1" hidden="1" x14ac:dyDescent="0.3">
      <c r="A856" s="36" t="str">
        <f xml:space="preserve"> IF( 'From SvanPC++'!A846= "", "", ('From SvanPC++'!A846))</f>
        <v/>
      </c>
      <c r="B856" s="36"/>
      <c r="C856" s="36"/>
      <c r="D856" s="36"/>
      <c r="E856" s="47"/>
      <c r="F856" s="19"/>
      <c r="I856" s="19"/>
      <c r="S856" s="36"/>
      <c r="T856" s="36"/>
    </row>
    <row r="857" spans="1:20" s="38" customFormat="1" hidden="1" x14ac:dyDescent="0.3">
      <c r="A857" s="36" t="str">
        <f xml:space="preserve"> IF( 'From SvanPC++'!A847= "", "", ('From SvanPC++'!A847))</f>
        <v/>
      </c>
      <c r="B857" s="36"/>
      <c r="C857" s="36"/>
      <c r="D857" s="36"/>
      <c r="E857" s="47"/>
      <c r="F857" s="19"/>
      <c r="I857" s="19"/>
      <c r="S857" s="36"/>
      <c r="T857" s="36"/>
    </row>
    <row r="858" spans="1:20" s="38" customFormat="1" hidden="1" x14ac:dyDescent="0.3">
      <c r="A858" s="36" t="str">
        <f xml:space="preserve"> IF( 'From SvanPC++'!A848= "", "", ('From SvanPC++'!A848))</f>
        <v/>
      </c>
      <c r="B858" s="36"/>
      <c r="C858" s="36"/>
      <c r="D858" s="36"/>
      <c r="E858" s="47"/>
      <c r="F858" s="19"/>
      <c r="I858" s="19"/>
      <c r="S858" s="36"/>
      <c r="T858" s="36"/>
    </row>
    <row r="859" spans="1:20" s="38" customFormat="1" hidden="1" x14ac:dyDescent="0.3">
      <c r="A859" s="36" t="str">
        <f xml:space="preserve"> IF( 'From SvanPC++'!A849= "", "", ('From SvanPC++'!A849))</f>
        <v/>
      </c>
      <c r="B859" s="36"/>
      <c r="C859" s="36"/>
      <c r="D859" s="36"/>
      <c r="E859" s="47"/>
      <c r="F859" s="19"/>
      <c r="I859" s="19"/>
      <c r="S859" s="36"/>
      <c r="T859" s="36"/>
    </row>
    <row r="860" spans="1:20" s="38" customFormat="1" hidden="1" x14ac:dyDescent="0.3">
      <c r="A860" s="36" t="str">
        <f xml:space="preserve"> IF( 'From SvanPC++'!A850= "", "", ('From SvanPC++'!A850))</f>
        <v/>
      </c>
      <c r="B860" s="36"/>
      <c r="C860" s="36"/>
      <c r="D860" s="36"/>
      <c r="E860" s="47"/>
      <c r="F860" s="19"/>
      <c r="I860" s="19"/>
      <c r="S860" s="36"/>
      <c r="T860" s="36"/>
    </row>
    <row r="861" spans="1:20" s="38" customFormat="1" hidden="1" x14ac:dyDescent="0.3">
      <c r="A861" s="36" t="str">
        <f xml:space="preserve"> IF( 'From SvanPC++'!A851= "", "", ('From SvanPC++'!A851))</f>
        <v/>
      </c>
      <c r="B861" s="36"/>
      <c r="C861" s="36"/>
      <c r="D861" s="36"/>
      <c r="E861" s="47"/>
      <c r="F861" s="19"/>
      <c r="I861" s="19"/>
      <c r="S861" s="36"/>
      <c r="T861" s="36"/>
    </row>
    <row r="862" spans="1:20" s="38" customFormat="1" hidden="1" x14ac:dyDescent="0.3">
      <c r="A862" s="36" t="str">
        <f xml:space="preserve"> IF( 'From SvanPC++'!A852= "", "", ('From SvanPC++'!A852))</f>
        <v/>
      </c>
      <c r="B862" s="36"/>
      <c r="C862" s="36"/>
      <c r="D862" s="36"/>
      <c r="E862" s="47"/>
      <c r="F862" s="19"/>
      <c r="I862" s="19"/>
      <c r="S862" s="36"/>
      <c r="T862" s="36"/>
    </row>
    <row r="863" spans="1:20" s="38" customFormat="1" hidden="1" x14ac:dyDescent="0.3">
      <c r="A863" s="36" t="str">
        <f xml:space="preserve"> IF( 'From SvanPC++'!A853= "", "", ('From SvanPC++'!A853))</f>
        <v/>
      </c>
      <c r="B863" s="36"/>
      <c r="C863" s="36"/>
      <c r="D863" s="36"/>
      <c r="E863" s="47"/>
      <c r="F863" s="19"/>
      <c r="I863" s="19"/>
      <c r="S863" s="36"/>
      <c r="T863" s="36"/>
    </row>
    <row r="864" spans="1:20" s="38" customFormat="1" hidden="1" x14ac:dyDescent="0.3">
      <c r="A864" s="36" t="str">
        <f xml:space="preserve"> IF( 'From SvanPC++'!A854= "", "", ('From SvanPC++'!A854))</f>
        <v/>
      </c>
      <c r="B864" s="36"/>
      <c r="C864" s="36"/>
      <c r="D864" s="36"/>
      <c r="E864" s="47"/>
      <c r="F864" s="19"/>
      <c r="I864" s="19"/>
      <c r="S864" s="36"/>
      <c r="T864" s="36"/>
    </row>
    <row r="865" spans="1:20" s="38" customFormat="1" hidden="1" x14ac:dyDescent="0.3">
      <c r="A865" s="36" t="str">
        <f xml:space="preserve"> IF( 'From SvanPC++'!A855= "", "", ('From SvanPC++'!A855))</f>
        <v/>
      </c>
      <c r="B865" s="36"/>
      <c r="C865" s="36"/>
      <c r="D865" s="36"/>
      <c r="E865" s="47"/>
      <c r="F865" s="19"/>
      <c r="I865" s="19"/>
      <c r="S865" s="36"/>
      <c r="T865" s="36"/>
    </row>
    <row r="866" spans="1:20" s="38" customFormat="1" hidden="1" x14ac:dyDescent="0.3">
      <c r="A866" s="36" t="str">
        <f xml:space="preserve"> IF( 'From SvanPC++'!A856= "", "", ('From SvanPC++'!A856))</f>
        <v/>
      </c>
      <c r="B866" s="36"/>
      <c r="C866" s="36"/>
      <c r="D866" s="36"/>
      <c r="E866" s="47"/>
      <c r="F866" s="19"/>
      <c r="I866" s="19"/>
      <c r="S866" s="36"/>
      <c r="T866" s="36"/>
    </row>
    <row r="867" spans="1:20" s="38" customFormat="1" hidden="1" x14ac:dyDescent="0.3">
      <c r="A867" s="36" t="str">
        <f xml:space="preserve"> IF( 'From SvanPC++'!A857= "", "", ('From SvanPC++'!A857))</f>
        <v/>
      </c>
      <c r="B867" s="36"/>
      <c r="C867" s="36"/>
      <c r="D867" s="36"/>
      <c r="E867" s="47"/>
      <c r="F867" s="19"/>
      <c r="I867" s="19"/>
      <c r="S867" s="36"/>
      <c r="T867" s="36"/>
    </row>
    <row r="868" spans="1:20" s="38" customFormat="1" hidden="1" x14ac:dyDescent="0.3">
      <c r="A868" s="36" t="str">
        <f xml:space="preserve"> IF( 'From SvanPC++'!A858= "", "", ('From SvanPC++'!A858))</f>
        <v/>
      </c>
      <c r="B868" s="36"/>
      <c r="C868" s="36"/>
      <c r="D868" s="36"/>
      <c r="E868" s="47"/>
      <c r="F868" s="19"/>
      <c r="I868" s="19"/>
      <c r="S868" s="36"/>
      <c r="T868" s="36"/>
    </row>
    <row r="869" spans="1:20" s="38" customFormat="1" hidden="1" x14ac:dyDescent="0.3">
      <c r="A869" s="36" t="str">
        <f xml:space="preserve"> IF( 'From SvanPC++'!A859= "", "", ('From SvanPC++'!A859))</f>
        <v/>
      </c>
      <c r="B869" s="36"/>
      <c r="C869" s="36"/>
      <c r="D869" s="36"/>
      <c r="E869" s="47"/>
      <c r="F869" s="19"/>
      <c r="I869" s="19"/>
      <c r="S869" s="36"/>
      <c r="T869" s="36"/>
    </row>
    <row r="870" spans="1:20" s="38" customFormat="1" hidden="1" x14ac:dyDescent="0.3">
      <c r="A870" s="36" t="str">
        <f xml:space="preserve"> IF( 'From SvanPC++'!A860= "", "", ('From SvanPC++'!A860))</f>
        <v/>
      </c>
      <c r="B870" s="36"/>
      <c r="C870" s="36"/>
      <c r="D870" s="36"/>
      <c r="E870" s="47"/>
      <c r="F870" s="19"/>
      <c r="I870" s="19"/>
      <c r="S870" s="36"/>
      <c r="T870" s="36"/>
    </row>
    <row r="871" spans="1:20" s="38" customFormat="1" hidden="1" x14ac:dyDescent="0.3">
      <c r="A871" s="36" t="str">
        <f xml:space="preserve"> IF( 'From SvanPC++'!A861= "", "", ('From SvanPC++'!A861))</f>
        <v/>
      </c>
      <c r="B871" s="36"/>
      <c r="C871" s="36"/>
      <c r="D871" s="36"/>
      <c r="E871" s="47"/>
      <c r="F871" s="19"/>
      <c r="I871" s="19"/>
      <c r="S871" s="36"/>
      <c r="T871" s="36"/>
    </row>
    <row r="872" spans="1:20" s="38" customFormat="1" hidden="1" x14ac:dyDescent="0.3">
      <c r="A872" s="36" t="str">
        <f xml:space="preserve"> IF( 'From SvanPC++'!A862= "", "", ('From SvanPC++'!A862))</f>
        <v/>
      </c>
      <c r="B872" s="36"/>
      <c r="C872" s="36"/>
      <c r="D872" s="36"/>
      <c r="E872" s="47"/>
      <c r="F872" s="19"/>
      <c r="I872" s="19"/>
      <c r="S872" s="36"/>
      <c r="T872" s="36"/>
    </row>
    <row r="873" spans="1:20" s="38" customFormat="1" hidden="1" x14ac:dyDescent="0.3">
      <c r="A873" s="36" t="str">
        <f xml:space="preserve"> IF( 'From SvanPC++'!A863= "", "", ('From SvanPC++'!A863))</f>
        <v/>
      </c>
      <c r="B873" s="36"/>
      <c r="C873" s="36"/>
      <c r="D873" s="36"/>
      <c r="E873" s="47"/>
      <c r="F873" s="19"/>
      <c r="I873" s="19"/>
      <c r="S873" s="36"/>
      <c r="T873" s="36"/>
    </row>
    <row r="874" spans="1:20" s="38" customFormat="1" hidden="1" x14ac:dyDescent="0.3">
      <c r="A874" s="36" t="str">
        <f xml:space="preserve"> IF( 'From SvanPC++'!A864= "", "", ('From SvanPC++'!A864))</f>
        <v/>
      </c>
      <c r="B874" s="36"/>
      <c r="C874" s="36"/>
      <c r="D874" s="36"/>
      <c r="E874" s="47"/>
      <c r="F874" s="19"/>
      <c r="I874" s="19"/>
      <c r="S874" s="36"/>
      <c r="T874" s="36"/>
    </row>
    <row r="875" spans="1:20" s="38" customFormat="1" hidden="1" x14ac:dyDescent="0.3">
      <c r="A875" s="36" t="str">
        <f xml:space="preserve"> IF( 'From SvanPC++'!A865= "", "", ('From SvanPC++'!A865))</f>
        <v/>
      </c>
      <c r="B875" s="36"/>
      <c r="C875" s="36"/>
      <c r="D875" s="36"/>
      <c r="E875" s="47"/>
      <c r="F875" s="19"/>
      <c r="I875" s="19"/>
      <c r="S875" s="36"/>
      <c r="T875" s="36"/>
    </row>
    <row r="876" spans="1:20" s="38" customFormat="1" hidden="1" x14ac:dyDescent="0.3">
      <c r="A876" s="36" t="str">
        <f xml:space="preserve"> IF( 'From SvanPC++'!A866= "", "", ('From SvanPC++'!A866))</f>
        <v/>
      </c>
      <c r="B876" s="36"/>
      <c r="C876" s="36"/>
      <c r="D876" s="36"/>
      <c r="E876" s="47"/>
      <c r="F876" s="19"/>
      <c r="I876" s="19"/>
      <c r="S876" s="36"/>
      <c r="T876" s="36"/>
    </row>
    <row r="877" spans="1:20" s="38" customFormat="1" hidden="1" x14ac:dyDescent="0.3">
      <c r="A877" s="36" t="str">
        <f xml:space="preserve"> IF( 'From SvanPC++'!A867= "", "", ('From SvanPC++'!A867))</f>
        <v/>
      </c>
      <c r="B877" s="36"/>
      <c r="C877" s="36"/>
      <c r="D877" s="36"/>
      <c r="E877" s="47"/>
      <c r="F877" s="19"/>
      <c r="I877" s="19"/>
      <c r="S877" s="36"/>
      <c r="T877" s="36"/>
    </row>
    <row r="878" spans="1:20" s="38" customFormat="1" hidden="1" x14ac:dyDescent="0.3">
      <c r="A878" s="36" t="str">
        <f xml:space="preserve"> IF( 'From SvanPC++'!A868= "", "", ('From SvanPC++'!A868))</f>
        <v/>
      </c>
      <c r="B878" s="36"/>
      <c r="C878" s="36"/>
      <c r="D878" s="36"/>
      <c r="E878" s="47"/>
      <c r="F878" s="19"/>
      <c r="I878" s="19"/>
      <c r="S878" s="36"/>
      <c r="T878" s="36"/>
    </row>
    <row r="879" spans="1:20" s="38" customFormat="1" hidden="1" x14ac:dyDescent="0.3">
      <c r="A879" s="36" t="str">
        <f xml:space="preserve"> IF( 'From SvanPC++'!A869= "", "", ('From SvanPC++'!A869))</f>
        <v/>
      </c>
      <c r="B879" s="36"/>
      <c r="C879" s="36"/>
      <c r="D879" s="36"/>
      <c r="E879" s="47"/>
      <c r="F879" s="19"/>
      <c r="I879" s="19"/>
      <c r="S879" s="36"/>
      <c r="T879" s="36"/>
    </row>
    <row r="880" spans="1:20" s="38" customFormat="1" hidden="1" x14ac:dyDescent="0.3">
      <c r="A880" s="36" t="str">
        <f xml:space="preserve"> IF( 'From SvanPC++'!A870= "", "", ('From SvanPC++'!A870))</f>
        <v/>
      </c>
      <c r="B880" s="36"/>
      <c r="C880" s="36"/>
      <c r="D880" s="36"/>
      <c r="E880" s="47"/>
      <c r="F880" s="19"/>
      <c r="I880" s="19"/>
      <c r="S880" s="36"/>
      <c r="T880" s="36"/>
    </row>
    <row r="881" spans="1:20" s="38" customFormat="1" hidden="1" x14ac:dyDescent="0.3">
      <c r="A881" s="36" t="str">
        <f xml:space="preserve"> IF( 'From SvanPC++'!A871= "", "", ('From SvanPC++'!A871))</f>
        <v/>
      </c>
      <c r="B881" s="36"/>
      <c r="C881" s="36"/>
      <c r="D881" s="36"/>
      <c r="E881" s="47"/>
      <c r="F881" s="19"/>
      <c r="I881" s="19"/>
      <c r="S881" s="36"/>
      <c r="T881" s="36"/>
    </row>
    <row r="882" spans="1:20" s="38" customFormat="1" hidden="1" x14ac:dyDescent="0.3">
      <c r="A882" s="36" t="str">
        <f xml:space="preserve"> IF( 'From SvanPC++'!A872= "", "", ('From SvanPC++'!A872))</f>
        <v/>
      </c>
      <c r="B882" s="36"/>
      <c r="C882" s="36"/>
      <c r="D882" s="36"/>
      <c r="E882" s="47"/>
      <c r="F882" s="19"/>
      <c r="I882" s="19"/>
      <c r="S882" s="36"/>
      <c r="T882" s="36"/>
    </row>
    <row r="883" spans="1:20" s="38" customFormat="1" hidden="1" x14ac:dyDescent="0.3">
      <c r="A883" s="36" t="str">
        <f xml:space="preserve"> IF( 'From SvanPC++'!A873= "", "", ('From SvanPC++'!A873))</f>
        <v/>
      </c>
      <c r="B883" s="36"/>
      <c r="C883" s="36"/>
      <c r="D883" s="36"/>
      <c r="E883" s="47"/>
      <c r="F883" s="19"/>
      <c r="I883" s="19"/>
      <c r="S883" s="36"/>
      <c r="T883" s="36"/>
    </row>
    <row r="884" spans="1:20" s="38" customFormat="1" hidden="1" x14ac:dyDescent="0.3">
      <c r="A884" s="36" t="str">
        <f xml:space="preserve"> IF( 'From SvanPC++'!A874= "", "", ('From SvanPC++'!A874))</f>
        <v/>
      </c>
      <c r="B884" s="36"/>
      <c r="C884" s="36"/>
      <c r="D884" s="36"/>
      <c r="E884" s="47"/>
      <c r="F884" s="19"/>
      <c r="I884" s="19"/>
      <c r="S884" s="36"/>
      <c r="T884" s="36"/>
    </row>
    <row r="885" spans="1:20" s="38" customFormat="1" hidden="1" x14ac:dyDescent="0.3">
      <c r="A885" s="36" t="str">
        <f xml:space="preserve"> IF( 'From SvanPC++'!A875= "", "", ('From SvanPC++'!A875))</f>
        <v/>
      </c>
      <c r="B885" s="36"/>
      <c r="C885" s="36"/>
      <c r="D885" s="36"/>
      <c r="E885" s="47"/>
      <c r="F885" s="19"/>
      <c r="I885" s="19"/>
      <c r="S885" s="36"/>
      <c r="T885" s="36"/>
    </row>
    <row r="886" spans="1:20" s="38" customFormat="1" hidden="1" x14ac:dyDescent="0.3">
      <c r="A886" s="36" t="str">
        <f xml:space="preserve"> IF( 'From SvanPC++'!A876= "", "", ('From SvanPC++'!A876))</f>
        <v/>
      </c>
      <c r="B886" s="36"/>
      <c r="C886" s="36"/>
      <c r="D886" s="36"/>
      <c r="E886" s="47"/>
      <c r="F886" s="19"/>
      <c r="I886" s="19"/>
      <c r="S886" s="36"/>
      <c r="T886" s="36"/>
    </row>
    <row r="887" spans="1:20" s="38" customFormat="1" hidden="1" x14ac:dyDescent="0.3">
      <c r="A887" s="36" t="str">
        <f xml:space="preserve"> IF( 'From SvanPC++'!A877= "", "", ('From SvanPC++'!A877))</f>
        <v/>
      </c>
      <c r="B887" s="36"/>
      <c r="C887" s="36"/>
      <c r="D887" s="36"/>
      <c r="E887" s="47"/>
      <c r="F887" s="19"/>
      <c r="I887" s="19"/>
      <c r="S887" s="36"/>
      <c r="T887" s="36"/>
    </row>
    <row r="888" spans="1:20" s="38" customFormat="1" hidden="1" x14ac:dyDescent="0.3">
      <c r="A888" s="36" t="str">
        <f xml:space="preserve"> IF( 'From SvanPC++'!A878= "", "", ('From SvanPC++'!A878))</f>
        <v/>
      </c>
      <c r="B888" s="36"/>
      <c r="C888" s="36"/>
      <c r="D888" s="36"/>
      <c r="E888" s="47"/>
      <c r="F888" s="19"/>
      <c r="I888" s="19"/>
      <c r="S888" s="36"/>
      <c r="T888" s="36"/>
    </row>
    <row r="889" spans="1:20" s="38" customFormat="1" hidden="1" x14ac:dyDescent="0.3">
      <c r="A889" s="36" t="str">
        <f xml:space="preserve"> IF( 'From SvanPC++'!A879= "", "", ('From SvanPC++'!A879))</f>
        <v/>
      </c>
      <c r="B889" s="36"/>
      <c r="C889" s="36"/>
      <c r="D889" s="36"/>
      <c r="E889" s="47"/>
      <c r="F889" s="19"/>
      <c r="I889" s="19"/>
      <c r="S889" s="36"/>
      <c r="T889" s="36"/>
    </row>
    <row r="890" spans="1:20" s="38" customFormat="1" hidden="1" x14ac:dyDescent="0.3">
      <c r="A890" s="36" t="str">
        <f xml:space="preserve"> IF( 'From SvanPC++'!A880= "", "", ('From SvanPC++'!A880))</f>
        <v/>
      </c>
      <c r="B890" s="36"/>
      <c r="C890" s="36"/>
      <c r="D890" s="36"/>
      <c r="E890" s="47"/>
      <c r="F890" s="19"/>
      <c r="I890" s="19"/>
      <c r="S890" s="36"/>
      <c r="T890" s="36"/>
    </row>
    <row r="891" spans="1:20" s="38" customFormat="1" hidden="1" x14ac:dyDescent="0.3">
      <c r="A891" s="36" t="str">
        <f xml:space="preserve"> IF( 'From SvanPC++'!A881= "", "", ('From SvanPC++'!A881))</f>
        <v/>
      </c>
      <c r="B891" s="36"/>
      <c r="C891" s="36"/>
      <c r="D891" s="36"/>
      <c r="E891" s="47"/>
      <c r="F891" s="19"/>
      <c r="I891" s="19"/>
      <c r="S891" s="36"/>
      <c r="T891" s="36"/>
    </row>
    <row r="892" spans="1:20" s="38" customFormat="1" hidden="1" x14ac:dyDescent="0.3">
      <c r="A892" s="36" t="str">
        <f xml:space="preserve"> IF( 'From SvanPC++'!A882= "", "", ('From SvanPC++'!A882))</f>
        <v/>
      </c>
      <c r="B892" s="36"/>
      <c r="C892" s="36"/>
      <c r="D892" s="36"/>
      <c r="E892" s="47"/>
      <c r="F892" s="19"/>
      <c r="I892" s="19"/>
      <c r="S892" s="36"/>
      <c r="T892" s="36"/>
    </row>
    <row r="893" spans="1:20" s="38" customFormat="1" hidden="1" x14ac:dyDescent="0.3">
      <c r="A893" s="36" t="str">
        <f xml:space="preserve"> IF( 'From SvanPC++'!A883= "", "", ('From SvanPC++'!A883))</f>
        <v/>
      </c>
      <c r="B893" s="36"/>
      <c r="C893" s="36"/>
      <c r="D893" s="36"/>
      <c r="E893" s="47"/>
      <c r="F893" s="19"/>
      <c r="I893" s="19"/>
      <c r="S893" s="36"/>
      <c r="T893" s="36"/>
    </row>
    <row r="894" spans="1:20" s="38" customFormat="1" hidden="1" x14ac:dyDescent="0.3">
      <c r="A894" s="36" t="str">
        <f xml:space="preserve"> IF( 'From SvanPC++'!A884= "", "", ('From SvanPC++'!A884))</f>
        <v/>
      </c>
      <c r="B894" s="36"/>
      <c r="C894" s="36"/>
      <c r="D894" s="36"/>
      <c r="E894" s="47"/>
      <c r="F894" s="19"/>
      <c r="I894" s="19"/>
      <c r="S894" s="36"/>
      <c r="T894" s="36"/>
    </row>
    <row r="895" spans="1:20" s="38" customFormat="1" hidden="1" x14ac:dyDescent="0.3">
      <c r="A895" s="36" t="str">
        <f xml:space="preserve"> IF( 'From SvanPC++'!A885= "", "", ('From SvanPC++'!A885))</f>
        <v/>
      </c>
      <c r="B895" s="36"/>
      <c r="C895" s="36"/>
      <c r="D895" s="36"/>
      <c r="E895" s="47"/>
      <c r="F895" s="19"/>
      <c r="I895" s="19"/>
      <c r="S895" s="36"/>
      <c r="T895" s="36"/>
    </row>
    <row r="896" spans="1:20" s="38" customFormat="1" hidden="1" x14ac:dyDescent="0.3">
      <c r="A896" s="36" t="str">
        <f xml:space="preserve"> IF( 'From SvanPC++'!A886= "", "", ('From SvanPC++'!A886))</f>
        <v/>
      </c>
      <c r="B896" s="36"/>
      <c r="C896" s="36"/>
      <c r="D896" s="36"/>
      <c r="E896" s="47"/>
      <c r="F896" s="19"/>
      <c r="I896" s="19"/>
      <c r="S896" s="36"/>
      <c r="T896" s="36"/>
    </row>
    <row r="897" spans="1:20" s="38" customFormat="1" hidden="1" x14ac:dyDescent="0.3">
      <c r="A897" s="36" t="str">
        <f xml:space="preserve"> IF( 'From SvanPC++'!A887= "", "", ('From SvanPC++'!A887))</f>
        <v/>
      </c>
      <c r="B897" s="36"/>
      <c r="C897" s="36"/>
      <c r="D897" s="36"/>
      <c r="E897" s="47"/>
      <c r="F897" s="19"/>
      <c r="I897" s="19"/>
      <c r="S897" s="36"/>
      <c r="T897" s="36"/>
    </row>
    <row r="898" spans="1:20" s="38" customFormat="1" hidden="1" x14ac:dyDescent="0.3">
      <c r="A898" s="36" t="str">
        <f xml:space="preserve"> IF( 'From SvanPC++'!A888= "", "", ('From SvanPC++'!A888))</f>
        <v/>
      </c>
      <c r="B898" s="36"/>
      <c r="C898" s="36"/>
      <c r="D898" s="36"/>
      <c r="E898" s="47"/>
      <c r="F898" s="19"/>
      <c r="I898" s="19"/>
      <c r="S898" s="36"/>
      <c r="T898" s="36"/>
    </row>
    <row r="899" spans="1:20" s="38" customFormat="1" hidden="1" x14ac:dyDescent="0.3">
      <c r="A899" s="36" t="str">
        <f xml:space="preserve"> IF( 'From SvanPC++'!A889= "", "", ('From SvanPC++'!A889))</f>
        <v/>
      </c>
      <c r="B899" s="36"/>
      <c r="C899" s="36"/>
      <c r="D899" s="36"/>
      <c r="E899" s="47"/>
      <c r="F899" s="19"/>
      <c r="I899" s="19"/>
      <c r="S899" s="36"/>
      <c r="T899" s="36"/>
    </row>
    <row r="900" spans="1:20" s="38" customFormat="1" hidden="1" x14ac:dyDescent="0.3">
      <c r="A900" s="36" t="str">
        <f xml:space="preserve"> IF( 'From SvanPC++'!A890= "", "", ('From SvanPC++'!A890))</f>
        <v/>
      </c>
      <c r="B900" s="36"/>
      <c r="C900" s="36"/>
      <c r="D900" s="36"/>
      <c r="E900" s="47"/>
      <c r="F900" s="19"/>
      <c r="I900" s="19"/>
      <c r="S900" s="36"/>
      <c r="T900" s="36"/>
    </row>
    <row r="901" spans="1:20" s="38" customFormat="1" hidden="1" x14ac:dyDescent="0.3">
      <c r="A901" s="36" t="str">
        <f xml:space="preserve"> IF( 'From SvanPC++'!A891= "", "", ('From SvanPC++'!A891))</f>
        <v/>
      </c>
      <c r="B901" s="36"/>
      <c r="C901" s="36"/>
      <c r="D901" s="36"/>
      <c r="E901" s="47"/>
      <c r="F901" s="19"/>
      <c r="I901" s="19"/>
      <c r="S901" s="36"/>
      <c r="T901" s="36"/>
    </row>
    <row r="902" spans="1:20" s="38" customFormat="1" hidden="1" x14ac:dyDescent="0.3">
      <c r="A902" s="36" t="str">
        <f xml:space="preserve"> IF( 'From SvanPC++'!A892= "", "", ('From SvanPC++'!A892))</f>
        <v/>
      </c>
      <c r="B902" s="36"/>
      <c r="C902" s="36"/>
      <c r="D902" s="36"/>
      <c r="E902" s="47"/>
      <c r="F902" s="19"/>
      <c r="I902" s="19"/>
      <c r="S902" s="36"/>
      <c r="T902" s="36"/>
    </row>
    <row r="903" spans="1:20" s="38" customFormat="1" hidden="1" x14ac:dyDescent="0.3">
      <c r="A903" s="36" t="str">
        <f xml:space="preserve"> IF( 'From SvanPC++'!A893= "", "", ('From SvanPC++'!A893))</f>
        <v/>
      </c>
      <c r="B903" s="36"/>
      <c r="C903" s="36"/>
      <c r="D903" s="36"/>
      <c r="E903" s="47"/>
      <c r="F903" s="19"/>
      <c r="I903" s="19"/>
      <c r="S903" s="36"/>
      <c r="T903" s="36"/>
    </row>
    <row r="904" spans="1:20" s="38" customFormat="1" hidden="1" x14ac:dyDescent="0.3">
      <c r="A904" s="36" t="str">
        <f xml:space="preserve"> IF( 'From SvanPC++'!A894= "", "", ('From SvanPC++'!A894))</f>
        <v/>
      </c>
      <c r="B904" s="36"/>
      <c r="C904" s="36"/>
      <c r="D904" s="36"/>
      <c r="E904" s="47"/>
      <c r="F904" s="19"/>
      <c r="I904" s="19"/>
      <c r="S904" s="36"/>
      <c r="T904" s="36"/>
    </row>
    <row r="905" spans="1:20" s="38" customFormat="1" hidden="1" x14ac:dyDescent="0.3">
      <c r="A905" s="36" t="str">
        <f xml:space="preserve"> IF( 'From SvanPC++'!A895= "", "", ('From SvanPC++'!A895))</f>
        <v/>
      </c>
      <c r="B905" s="36"/>
      <c r="C905" s="36"/>
      <c r="D905" s="36"/>
      <c r="E905" s="47"/>
      <c r="F905" s="19"/>
      <c r="I905" s="19"/>
      <c r="S905" s="36"/>
      <c r="T905" s="36"/>
    </row>
    <row r="906" spans="1:20" s="38" customFormat="1" hidden="1" x14ac:dyDescent="0.3">
      <c r="A906" s="36" t="str">
        <f xml:space="preserve"> IF( 'From SvanPC++'!A896= "", "", ('From SvanPC++'!A896))</f>
        <v/>
      </c>
      <c r="B906" s="36"/>
      <c r="C906" s="36"/>
      <c r="D906" s="36"/>
      <c r="E906" s="47"/>
      <c r="F906" s="19"/>
      <c r="I906" s="19"/>
      <c r="S906" s="36"/>
      <c r="T906" s="36"/>
    </row>
    <row r="907" spans="1:20" s="38" customFormat="1" hidden="1" x14ac:dyDescent="0.3">
      <c r="A907" s="36" t="str">
        <f xml:space="preserve"> IF( 'From SvanPC++'!A897= "", "", ('From SvanPC++'!A897))</f>
        <v/>
      </c>
      <c r="B907" s="36"/>
      <c r="C907" s="36"/>
      <c r="D907" s="36"/>
      <c r="E907" s="47"/>
      <c r="F907" s="19"/>
      <c r="I907" s="19"/>
      <c r="S907" s="36"/>
      <c r="T907" s="36"/>
    </row>
    <row r="908" spans="1:20" s="38" customFormat="1" hidden="1" x14ac:dyDescent="0.3">
      <c r="A908" s="36" t="str">
        <f xml:space="preserve"> IF( 'From SvanPC++'!A898= "", "", ('From SvanPC++'!A898))</f>
        <v/>
      </c>
      <c r="B908" s="36"/>
      <c r="C908" s="36"/>
      <c r="D908" s="36"/>
      <c r="E908" s="47"/>
      <c r="F908" s="19"/>
      <c r="I908" s="19"/>
      <c r="S908" s="36"/>
      <c r="T908" s="36"/>
    </row>
    <row r="909" spans="1:20" s="38" customFormat="1" hidden="1" x14ac:dyDescent="0.3">
      <c r="A909" s="36" t="str">
        <f xml:space="preserve"> IF( 'From SvanPC++'!A899= "", "", ('From SvanPC++'!A899))</f>
        <v/>
      </c>
      <c r="B909" s="36"/>
      <c r="C909" s="36"/>
      <c r="D909" s="36"/>
      <c r="E909" s="47"/>
      <c r="F909" s="19"/>
      <c r="I909" s="19"/>
      <c r="S909" s="36"/>
      <c r="T909" s="36"/>
    </row>
    <row r="910" spans="1:20" s="38" customFormat="1" hidden="1" x14ac:dyDescent="0.3">
      <c r="A910" s="36" t="str">
        <f xml:space="preserve"> IF( 'From SvanPC++'!A900= "", "", ('From SvanPC++'!A900))</f>
        <v/>
      </c>
      <c r="B910" s="36"/>
      <c r="C910" s="36"/>
      <c r="D910" s="36"/>
      <c r="E910" s="47"/>
      <c r="F910" s="19"/>
      <c r="I910" s="19"/>
      <c r="S910" s="36"/>
      <c r="T910" s="36"/>
    </row>
    <row r="911" spans="1:20" s="38" customFormat="1" hidden="1" x14ac:dyDescent="0.3">
      <c r="A911" s="36" t="str">
        <f xml:space="preserve"> IF( 'From SvanPC++'!A901= "", "", ('From SvanPC++'!A901))</f>
        <v/>
      </c>
      <c r="B911" s="36"/>
      <c r="C911" s="36"/>
      <c r="D911" s="36"/>
      <c r="E911" s="47"/>
      <c r="F911" s="19"/>
      <c r="I911" s="19"/>
      <c r="S911" s="36"/>
      <c r="T911" s="36"/>
    </row>
    <row r="912" spans="1:20" s="38" customFormat="1" hidden="1" x14ac:dyDescent="0.3">
      <c r="A912" s="36" t="str">
        <f xml:space="preserve"> IF( 'From SvanPC++'!A902= "", "", ('From SvanPC++'!A902))</f>
        <v/>
      </c>
      <c r="B912" s="36"/>
      <c r="C912" s="36"/>
      <c r="D912" s="36"/>
      <c r="E912" s="47"/>
      <c r="F912" s="19"/>
      <c r="I912" s="19"/>
      <c r="S912" s="36"/>
      <c r="T912" s="36"/>
    </row>
    <row r="913" spans="1:20" s="38" customFormat="1" hidden="1" x14ac:dyDescent="0.3">
      <c r="A913" s="36" t="str">
        <f xml:space="preserve"> IF( 'From SvanPC++'!A903= "", "", ('From SvanPC++'!A903))</f>
        <v/>
      </c>
      <c r="B913" s="36"/>
      <c r="C913" s="36"/>
      <c r="D913" s="36"/>
      <c r="E913" s="47"/>
      <c r="F913" s="19"/>
      <c r="I913" s="19"/>
      <c r="S913" s="36"/>
      <c r="T913" s="36"/>
    </row>
    <row r="914" spans="1:20" s="38" customFormat="1" hidden="1" x14ac:dyDescent="0.3">
      <c r="A914" s="36" t="str">
        <f xml:space="preserve"> IF( 'From SvanPC++'!A904= "", "", ('From SvanPC++'!A904))</f>
        <v/>
      </c>
      <c r="B914" s="36"/>
      <c r="C914" s="36"/>
      <c r="D914" s="36"/>
      <c r="E914" s="47"/>
      <c r="F914" s="19"/>
      <c r="I914" s="19"/>
      <c r="S914" s="36"/>
      <c r="T914" s="36"/>
    </row>
    <row r="915" spans="1:20" s="38" customFormat="1" hidden="1" x14ac:dyDescent="0.3">
      <c r="A915" s="36" t="str">
        <f xml:space="preserve"> IF( 'From SvanPC++'!A905= "", "", ('From SvanPC++'!A905))</f>
        <v/>
      </c>
      <c r="B915" s="36"/>
      <c r="C915" s="36"/>
      <c r="D915" s="36"/>
      <c r="E915" s="47"/>
      <c r="F915" s="19"/>
      <c r="I915" s="19"/>
      <c r="S915" s="36"/>
      <c r="T915" s="36"/>
    </row>
    <row r="916" spans="1:20" s="38" customFormat="1" hidden="1" x14ac:dyDescent="0.3">
      <c r="A916" s="36" t="str">
        <f xml:space="preserve"> IF( 'From SvanPC++'!A906= "", "", ('From SvanPC++'!A906))</f>
        <v/>
      </c>
      <c r="B916" s="36"/>
      <c r="C916" s="36"/>
      <c r="D916" s="36"/>
      <c r="E916" s="47"/>
      <c r="F916" s="19"/>
      <c r="I916" s="19"/>
      <c r="S916" s="36"/>
      <c r="T916" s="36"/>
    </row>
    <row r="917" spans="1:20" s="38" customFormat="1" hidden="1" x14ac:dyDescent="0.3">
      <c r="A917" s="36" t="str">
        <f xml:space="preserve"> IF( 'From SvanPC++'!A907= "", "", ('From SvanPC++'!A907))</f>
        <v/>
      </c>
      <c r="B917" s="36"/>
      <c r="C917" s="36"/>
      <c r="D917" s="36"/>
      <c r="E917" s="47"/>
      <c r="F917" s="19"/>
      <c r="I917" s="19"/>
      <c r="S917" s="36"/>
      <c r="T917" s="36"/>
    </row>
    <row r="918" spans="1:20" s="38" customFormat="1" hidden="1" x14ac:dyDescent="0.3">
      <c r="A918" s="36" t="str">
        <f xml:space="preserve"> IF( 'From SvanPC++'!A908= "", "", ('From SvanPC++'!A908))</f>
        <v/>
      </c>
      <c r="B918" s="36"/>
      <c r="C918" s="36"/>
      <c r="D918" s="36"/>
      <c r="E918" s="47"/>
      <c r="F918" s="19"/>
      <c r="I918" s="19"/>
      <c r="S918" s="36"/>
      <c r="T918" s="36"/>
    </row>
    <row r="919" spans="1:20" s="38" customFormat="1" hidden="1" x14ac:dyDescent="0.3">
      <c r="A919" s="36" t="str">
        <f xml:space="preserve"> IF( 'From SvanPC++'!A909= "", "", ('From SvanPC++'!A909))</f>
        <v/>
      </c>
      <c r="B919" s="36"/>
      <c r="C919" s="36"/>
      <c r="D919" s="36"/>
      <c r="E919" s="47"/>
      <c r="F919" s="19"/>
      <c r="I919" s="19"/>
      <c r="S919" s="36"/>
      <c r="T919" s="36"/>
    </row>
    <row r="920" spans="1:20" s="38" customFormat="1" hidden="1" x14ac:dyDescent="0.3">
      <c r="A920" s="36" t="str">
        <f xml:space="preserve"> IF( 'From SvanPC++'!A910= "", "", ('From SvanPC++'!A910))</f>
        <v/>
      </c>
      <c r="B920" s="36"/>
      <c r="C920" s="36"/>
      <c r="D920" s="36"/>
      <c r="E920" s="47"/>
      <c r="F920" s="19"/>
      <c r="I920" s="19"/>
      <c r="S920" s="36"/>
      <c r="T920" s="36"/>
    </row>
    <row r="921" spans="1:20" s="38" customFormat="1" hidden="1" x14ac:dyDescent="0.3">
      <c r="A921" s="36" t="str">
        <f xml:space="preserve"> IF( 'From SvanPC++'!A911= "", "", ('From SvanPC++'!A911))</f>
        <v/>
      </c>
      <c r="B921" s="36"/>
      <c r="C921" s="36"/>
      <c r="D921" s="36"/>
      <c r="E921" s="47"/>
      <c r="F921" s="19"/>
      <c r="I921" s="19"/>
      <c r="S921" s="36"/>
      <c r="T921" s="36"/>
    </row>
    <row r="922" spans="1:20" s="38" customFormat="1" hidden="1" x14ac:dyDescent="0.3">
      <c r="A922" s="36" t="str">
        <f xml:space="preserve"> IF( 'From SvanPC++'!A912= "", "", ('From SvanPC++'!A912))</f>
        <v/>
      </c>
      <c r="B922" s="36"/>
      <c r="C922" s="36"/>
      <c r="D922" s="36"/>
      <c r="E922" s="47"/>
      <c r="F922" s="19"/>
      <c r="I922" s="19"/>
      <c r="S922" s="36"/>
      <c r="T922" s="36"/>
    </row>
    <row r="923" spans="1:20" s="38" customFormat="1" hidden="1" x14ac:dyDescent="0.3">
      <c r="A923" s="36" t="str">
        <f xml:space="preserve"> IF( 'From SvanPC++'!A913= "", "", ('From SvanPC++'!A913))</f>
        <v/>
      </c>
      <c r="B923" s="36"/>
      <c r="C923" s="36"/>
      <c r="D923" s="36"/>
      <c r="E923" s="47"/>
      <c r="F923" s="19"/>
      <c r="I923" s="19"/>
      <c r="S923" s="36"/>
      <c r="T923" s="36"/>
    </row>
    <row r="924" spans="1:20" s="38" customFormat="1" hidden="1" x14ac:dyDescent="0.3">
      <c r="A924" s="36" t="str">
        <f xml:space="preserve"> IF( 'From SvanPC++'!A914= "", "", ('From SvanPC++'!A914))</f>
        <v/>
      </c>
      <c r="B924" s="36"/>
      <c r="C924" s="36"/>
      <c r="D924" s="36"/>
      <c r="E924" s="47"/>
      <c r="F924" s="19"/>
      <c r="I924" s="19"/>
      <c r="S924" s="36"/>
      <c r="T924" s="36"/>
    </row>
    <row r="925" spans="1:20" s="38" customFormat="1" hidden="1" x14ac:dyDescent="0.3">
      <c r="A925" s="36" t="str">
        <f xml:space="preserve"> IF( 'From SvanPC++'!A915= "", "", ('From SvanPC++'!A915))</f>
        <v/>
      </c>
      <c r="B925" s="36"/>
      <c r="C925" s="36"/>
      <c r="D925" s="36"/>
      <c r="E925" s="47"/>
      <c r="F925" s="19"/>
      <c r="I925" s="19"/>
      <c r="S925" s="36"/>
      <c r="T925" s="36"/>
    </row>
    <row r="926" spans="1:20" s="38" customFormat="1" hidden="1" x14ac:dyDescent="0.3">
      <c r="A926" s="36" t="str">
        <f xml:space="preserve"> IF( 'From SvanPC++'!A916= "", "", ('From SvanPC++'!A916))</f>
        <v/>
      </c>
      <c r="B926" s="36"/>
      <c r="C926" s="36"/>
      <c r="D926" s="36"/>
      <c r="E926" s="47"/>
      <c r="F926" s="19"/>
      <c r="I926" s="19"/>
      <c r="S926" s="36"/>
      <c r="T926" s="36"/>
    </row>
    <row r="927" spans="1:20" s="38" customFormat="1" hidden="1" x14ac:dyDescent="0.3">
      <c r="A927" s="36" t="str">
        <f xml:space="preserve"> IF( 'From SvanPC++'!A917= "", "", ('From SvanPC++'!A917))</f>
        <v/>
      </c>
      <c r="B927" s="36"/>
      <c r="C927" s="36"/>
      <c r="D927" s="36"/>
      <c r="E927" s="47"/>
      <c r="F927" s="19"/>
      <c r="I927" s="19"/>
      <c r="S927" s="36"/>
      <c r="T927" s="36"/>
    </row>
    <row r="928" spans="1:20" s="38" customFormat="1" hidden="1" x14ac:dyDescent="0.3">
      <c r="A928" s="36" t="str">
        <f xml:space="preserve"> IF( 'From SvanPC++'!A918= "", "", ('From SvanPC++'!A918))</f>
        <v/>
      </c>
      <c r="B928" s="36"/>
      <c r="C928" s="36"/>
      <c r="D928" s="36"/>
      <c r="E928" s="47"/>
      <c r="F928" s="19"/>
      <c r="I928" s="19"/>
      <c r="S928" s="36"/>
      <c r="T928" s="36"/>
    </row>
    <row r="929" spans="1:20" s="38" customFormat="1" hidden="1" x14ac:dyDescent="0.3">
      <c r="A929" s="36" t="str">
        <f xml:space="preserve"> IF( 'From SvanPC++'!A919= "", "", ('From SvanPC++'!A919))</f>
        <v/>
      </c>
      <c r="B929" s="36"/>
      <c r="C929" s="36"/>
      <c r="D929" s="36"/>
      <c r="E929" s="47"/>
      <c r="F929" s="19"/>
      <c r="I929" s="19"/>
      <c r="S929" s="36"/>
      <c r="T929" s="36"/>
    </row>
    <row r="930" spans="1:20" s="38" customFormat="1" hidden="1" x14ac:dyDescent="0.3">
      <c r="A930" s="36" t="str">
        <f xml:space="preserve"> IF( 'From SvanPC++'!A920= "", "", ('From SvanPC++'!A920))</f>
        <v/>
      </c>
      <c r="B930" s="36"/>
      <c r="C930" s="36"/>
      <c r="D930" s="36"/>
      <c r="E930" s="47"/>
      <c r="F930" s="19"/>
      <c r="I930" s="19"/>
      <c r="S930" s="36"/>
      <c r="T930" s="36"/>
    </row>
    <row r="931" spans="1:20" s="38" customFormat="1" hidden="1" x14ac:dyDescent="0.3">
      <c r="A931" s="36" t="str">
        <f xml:space="preserve"> IF( 'From SvanPC++'!A921= "", "", ('From SvanPC++'!A921))</f>
        <v/>
      </c>
      <c r="B931" s="36"/>
      <c r="C931" s="36"/>
      <c r="D931" s="36"/>
      <c r="E931" s="47"/>
      <c r="F931" s="19"/>
      <c r="I931" s="19"/>
      <c r="S931" s="36"/>
      <c r="T931" s="36"/>
    </row>
    <row r="932" spans="1:20" s="38" customFormat="1" hidden="1" x14ac:dyDescent="0.3">
      <c r="A932" s="36" t="str">
        <f xml:space="preserve"> IF( 'From SvanPC++'!A922= "", "", ('From SvanPC++'!A922))</f>
        <v/>
      </c>
      <c r="B932" s="36"/>
      <c r="C932" s="36"/>
      <c r="D932" s="36"/>
      <c r="E932" s="47"/>
      <c r="F932" s="19"/>
      <c r="I932" s="19"/>
      <c r="S932" s="36"/>
      <c r="T932" s="36"/>
    </row>
    <row r="933" spans="1:20" s="38" customFormat="1" hidden="1" x14ac:dyDescent="0.3">
      <c r="A933" s="36" t="str">
        <f xml:space="preserve"> IF( 'From SvanPC++'!A923= "", "", ('From SvanPC++'!A923))</f>
        <v/>
      </c>
      <c r="B933" s="36"/>
      <c r="C933" s="36"/>
      <c r="D933" s="36"/>
      <c r="E933" s="47"/>
      <c r="F933" s="19"/>
      <c r="I933" s="19"/>
      <c r="S933" s="36"/>
      <c r="T933" s="36"/>
    </row>
    <row r="934" spans="1:20" s="38" customFormat="1" hidden="1" x14ac:dyDescent="0.3">
      <c r="A934" s="36" t="str">
        <f xml:space="preserve"> IF( 'From SvanPC++'!A924= "", "", ('From SvanPC++'!A924))</f>
        <v/>
      </c>
      <c r="B934" s="36"/>
      <c r="C934" s="36"/>
      <c r="D934" s="36"/>
      <c r="E934" s="47"/>
      <c r="F934" s="19"/>
      <c r="I934" s="19"/>
      <c r="S934" s="36"/>
      <c r="T934" s="36"/>
    </row>
    <row r="935" spans="1:20" s="38" customFormat="1" hidden="1" x14ac:dyDescent="0.3">
      <c r="A935" s="36" t="str">
        <f xml:space="preserve"> IF( 'From SvanPC++'!A925= "", "", ('From SvanPC++'!A925))</f>
        <v/>
      </c>
      <c r="B935" s="36"/>
      <c r="C935" s="36"/>
      <c r="D935" s="36"/>
      <c r="E935" s="47"/>
      <c r="F935" s="19"/>
      <c r="I935" s="19"/>
      <c r="S935" s="36"/>
      <c r="T935" s="36"/>
    </row>
    <row r="936" spans="1:20" s="38" customFormat="1" hidden="1" x14ac:dyDescent="0.3">
      <c r="A936" s="36" t="str">
        <f xml:space="preserve"> IF( 'From SvanPC++'!A926= "", "", ('From SvanPC++'!A926))</f>
        <v/>
      </c>
      <c r="B936" s="36"/>
      <c r="C936" s="36"/>
      <c r="D936" s="36"/>
      <c r="E936" s="47"/>
      <c r="F936" s="19"/>
      <c r="I936" s="19"/>
      <c r="S936" s="36"/>
      <c r="T936" s="36"/>
    </row>
    <row r="937" spans="1:20" s="38" customFormat="1" hidden="1" x14ac:dyDescent="0.3">
      <c r="A937" s="36" t="str">
        <f xml:space="preserve"> IF( 'From SvanPC++'!A927= "", "", ('From SvanPC++'!A927))</f>
        <v/>
      </c>
      <c r="B937" s="36"/>
      <c r="C937" s="36"/>
      <c r="D937" s="36"/>
      <c r="E937" s="47"/>
      <c r="F937" s="19"/>
      <c r="I937" s="19"/>
      <c r="S937" s="36"/>
      <c r="T937" s="36"/>
    </row>
    <row r="938" spans="1:20" s="38" customFormat="1" hidden="1" x14ac:dyDescent="0.3">
      <c r="A938" s="36" t="str">
        <f xml:space="preserve"> IF( 'From SvanPC++'!A928= "", "", ('From SvanPC++'!A928))</f>
        <v/>
      </c>
      <c r="B938" s="36"/>
      <c r="C938" s="36"/>
      <c r="D938" s="36"/>
      <c r="E938" s="47"/>
      <c r="F938" s="19"/>
      <c r="I938" s="19"/>
      <c r="S938" s="36"/>
      <c r="T938" s="36"/>
    </row>
    <row r="939" spans="1:20" s="38" customFormat="1" hidden="1" x14ac:dyDescent="0.3">
      <c r="A939" s="36" t="str">
        <f xml:space="preserve"> IF( 'From SvanPC++'!A929= "", "", ('From SvanPC++'!A929))</f>
        <v/>
      </c>
      <c r="B939" s="36"/>
      <c r="C939" s="36"/>
      <c r="D939" s="36"/>
      <c r="E939" s="47"/>
      <c r="F939" s="19"/>
      <c r="I939" s="19"/>
      <c r="S939" s="36"/>
      <c r="T939" s="36"/>
    </row>
    <row r="940" spans="1:20" s="38" customFormat="1" hidden="1" x14ac:dyDescent="0.3">
      <c r="A940" s="36" t="str">
        <f xml:space="preserve"> IF( 'From SvanPC++'!A930= "", "", ('From SvanPC++'!A930))</f>
        <v/>
      </c>
      <c r="B940" s="36"/>
      <c r="C940" s="36"/>
      <c r="D940" s="36"/>
      <c r="E940" s="47"/>
      <c r="F940" s="19"/>
      <c r="I940" s="19"/>
      <c r="S940" s="36"/>
      <c r="T940" s="36"/>
    </row>
    <row r="941" spans="1:20" s="38" customFormat="1" hidden="1" x14ac:dyDescent="0.3">
      <c r="A941" s="36" t="str">
        <f xml:space="preserve"> IF( 'From SvanPC++'!A931= "", "", ('From SvanPC++'!A931))</f>
        <v/>
      </c>
      <c r="B941" s="36"/>
      <c r="C941" s="36"/>
      <c r="D941" s="36"/>
      <c r="E941" s="47"/>
      <c r="F941" s="19"/>
      <c r="I941" s="19"/>
      <c r="S941" s="36"/>
      <c r="T941" s="36"/>
    </row>
    <row r="942" spans="1:20" s="38" customFormat="1" hidden="1" x14ac:dyDescent="0.3">
      <c r="A942" s="36" t="str">
        <f xml:space="preserve"> IF( 'From SvanPC++'!A932= "", "", ('From SvanPC++'!A932))</f>
        <v/>
      </c>
      <c r="B942" s="36"/>
      <c r="C942" s="36"/>
      <c r="D942" s="36"/>
      <c r="E942" s="47"/>
      <c r="F942" s="19"/>
      <c r="I942" s="19"/>
      <c r="S942" s="36"/>
      <c r="T942" s="36"/>
    </row>
    <row r="943" spans="1:20" s="38" customFormat="1" hidden="1" x14ac:dyDescent="0.3">
      <c r="A943" s="36" t="str">
        <f xml:space="preserve"> IF( 'From SvanPC++'!A933= "", "", ('From SvanPC++'!A933))</f>
        <v/>
      </c>
      <c r="B943" s="36"/>
      <c r="C943" s="36"/>
      <c r="D943" s="36"/>
      <c r="E943" s="47"/>
      <c r="F943" s="19"/>
      <c r="I943" s="19"/>
      <c r="S943" s="36"/>
      <c r="T943" s="36"/>
    </row>
    <row r="944" spans="1:20" s="38" customFormat="1" hidden="1" x14ac:dyDescent="0.3">
      <c r="A944" s="36" t="str">
        <f xml:space="preserve"> IF( 'From SvanPC++'!A934= "", "", ('From SvanPC++'!A934))</f>
        <v/>
      </c>
      <c r="B944" s="36"/>
      <c r="C944" s="36"/>
      <c r="D944" s="36"/>
      <c r="E944" s="47"/>
      <c r="F944" s="19"/>
      <c r="I944" s="19"/>
      <c r="S944" s="36"/>
      <c r="T944" s="36"/>
    </row>
    <row r="945" spans="1:20" s="38" customFormat="1" hidden="1" x14ac:dyDescent="0.3">
      <c r="A945" s="36" t="str">
        <f xml:space="preserve"> IF( 'From SvanPC++'!A935= "", "", ('From SvanPC++'!A935))</f>
        <v/>
      </c>
      <c r="B945" s="36"/>
      <c r="C945" s="36"/>
      <c r="D945" s="36"/>
      <c r="E945" s="47"/>
      <c r="F945" s="19"/>
      <c r="I945" s="19"/>
      <c r="S945" s="36"/>
      <c r="T945" s="36"/>
    </row>
    <row r="946" spans="1:20" s="38" customFormat="1" hidden="1" x14ac:dyDescent="0.3">
      <c r="A946" s="36" t="str">
        <f xml:space="preserve"> IF( 'From SvanPC++'!A936= "", "", ('From SvanPC++'!A936))</f>
        <v/>
      </c>
      <c r="B946" s="36"/>
      <c r="C946" s="36"/>
      <c r="D946" s="36"/>
      <c r="E946" s="47"/>
      <c r="F946" s="19"/>
      <c r="I946" s="19"/>
      <c r="S946" s="36"/>
      <c r="T946" s="36"/>
    </row>
    <row r="947" spans="1:20" s="38" customFormat="1" hidden="1" x14ac:dyDescent="0.3">
      <c r="A947" s="36" t="str">
        <f xml:space="preserve"> IF( 'From SvanPC++'!A937= "", "", ('From SvanPC++'!A937))</f>
        <v/>
      </c>
      <c r="B947" s="36"/>
      <c r="C947" s="36"/>
      <c r="D947" s="36"/>
      <c r="E947" s="47"/>
      <c r="F947" s="19"/>
      <c r="I947" s="19"/>
      <c r="S947" s="36"/>
      <c r="T947" s="36"/>
    </row>
    <row r="948" spans="1:20" s="38" customFormat="1" hidden="1" x14ac:dyDescent="0.3">
      <c r="A948" s="36" t="str">
        <f xml:space="preserve"> IF( 'From SvanPC++'!A938= "", "", ('From SvanPC++'!A938))</f>
        <v/>
      </c>
      <c r="B948" s="36"/>
      <c r="C948" s="36"/>
      <c r="D948" s="36"/>
      <c r="E948" s="47"/>
      <c r="F948" s="19"/>
      <c r="I948" s="19"/>
      <c r="S948" s="36"/>
      <c r="T948" s="36"/>
    </row>
    <row r="949" spans="1:20" s="38" customFormat="1" hidden="1" x14ac:dyDescent="0.3">
      <c r="A949" s="36" t="str">
        <f xml:space="preserve"> IF( 'From SvanPC++'!A939= "", "", ('From SvanPC++'!A939))</f>
        <v/>
      </c>
      <c r="B949" s="36"/>
      <c r="C949" s="36"/>
      <c r="D949" s="36"/>
      <c r="E949" s="47"/>
      <c r="F949" s="19"/>
      <c r="I949" s="19"/>
      <c r="S949" s="36"/>
      <c r="T949" s="36"/>
    </row>
    <row r="950" spans="1:20" s="38" customFormat="1" hidden="1" x14ac:dyDescent="0.3">
      <c r="A950" s="36" t="str">
        <f xml:space="preserve"> IF( 'From SvanPC++'!A940= "", "", ('From SvanPC++'!A940))</f>
        <v/>
      </c>
      <c r="B950" s="36"/>
      <c r="C950" s="36"/>
      <c r="D950" s="36"/>
      <c r="E950" s="47"/>
      <c r="F950" s="19"/>
      <c r="I950" s="19"/>
      <c r="S950" s="36"/>
      <c r="T950" s="36"/>
    </row>
    <row r="951" spans="1:20" s="38" customFormat="1" hidden="1" x14ac:dyDescent="0.3">
      <c r="A951" s="36" t="str">
        <f xml:space="preserve"> IF( 'From SvanPC++'!A941= "", "", ('From SvanPC++'!A941))</f>
        <v/>
      </c>
      <c r="B951" s="36"/>
      <c r="C951" s="36"/>
      <c r="D951" s="36"/>
      <c r="E951" s="47"/>
      <c r="F951" s="19"/>
      <c r="I951" s="19"/>
      <c r="S951" s="36"/>
      <c r="T951" s="36"/>
    </row>
    <row r="952" spans="1:20" s="38" customFormat="1" hidden="1" x14ac:dyDescent="0.3">
      <c r="A952" s="36" t="str">
        <f xml:space="preserve"> IF( 'From SvanPC++'!A942= "", "", ('From SvanPC++'!A942))</f>
        <v/>
      </c>
      <c r="B952" s="36"/>
      <c r="C952" s="36"/>
      <c r="D952" s="36"/>
      <c r="E952" s="47"/>
      <c r="F952" s="19"/>
      <c r="I952" s="19"/>
      <c r="S952" s="36"/>
      <c r="T952" s="36"/>
    </row>
    <row r="953" spans="1:20" s="38" customFormat="1" hidden="1" x14ac:dyDescent="0.3">
      <c r="A953" s="36" t="str">
        <f xml:space="preserve"> IF( 'From SvanPC++'!A943= "", "", ('From SvanPC++'!A943))</f>
        <v/>
      </c>
      <c r="B953" s="36"/>
      <c r="C953" s="36"/>
      <c r="D953" s="36"/>
      <c r="E953" s="47"/>
      <c r="F953" s="19"/>
      <c r="I953" s="19"/>
      <c r="S953" s="36"/>
      <c r="T953" s="36"/>
    </row>
    <row r="954" spans="1:20" s="38" customFormat="1" hidden="1" x14ac:dyDescent="0.3">
      <c r="A954" s="36" t="str">
        <f xml:space="preserve"> IF( 'From SvanPC++'!A944= "", "", ('From SvanPC++'!A944))</f>
        <v/>
      </c>
      <c r="B954" s="36"/>
      <c r="C954" s="36"/>
      <c r="D954" s="36"/>
      <c r="E954" s="47"/>
      <c r="F954" s="19"/>
      <c r="I954" s="19"/>
      <c r="S954" s="36"/>
      <c r="T954" s="36"/>
    </row>
    <row r="955" spans="1:20" s="38" customFormat="1" hidden="1" x14ac:dyDescent="0.3">
      <c r="A955" s="36" t="str">
        <f xml:space="preserve"> IF( 'From SvanPC++'!A945= "", "", ('From SvanPC++'!A945))</f>
        <v/>
      </c>
      <c r="B955" s="36"/>
      <c r="C955" s="36"/>
      <c r="D955" s="36"/>
      <c r="E955" s="47"/>
      <c r="F955" s="19"/>
      <c r="I955" s="19"/>
      <c r="S955" s="36"/>
      <c r="T955" s="36"/>
    </row>
    <row r="956" spans="1:20" s="38" customFormat="1" hidden="1" x14ac:dyDescent="0.3">
      <c r="A956" s="36" t="str">
        <f xml:space="preserve"> IF( 'From SvanPC++'!A946= "", "", ('From SvanPC++'!A946))</f>
        <v/>
      </c>
      <c r="B956" s="36"/>
      <c r="C956" s="36"/>
      <c r="D956" s="36"/>
      <c r="E956" s="47"/>
      <c r="F956" s="19"/>
      <c r="I956" s="19"/>
      <c r="S956" s="36"/>
      <c r="T956" s="36"/>
    </row>
    <row r="957" spans="1:20" s="38" customFormat="1" hidden="1" x14ac:dyDescent="0.3">
      <c r="A957" s="36" t="str">
        <f xml:space="preserve"> IF( 'From SvanPC++'!A947= "", "", ('From SvanPC++'!A947))</f>
        <v/>
      </c>
      <c r="B957" s="36"/>
      <c r="C957" s="36"/>
      <c r="D957" s="36"/>
      <c r="E957" s="47"/>
      <c r="F957" s="19"/>
      <c r="I957" s="19"/>
      <c r="S957" s="36"/>
      <c r="T957" s="36"/>
    </row>
    <row r="958" spans="1:20" s="38" customFormat="1" hidden="1" x14ac:dyDescent="0.3">
      <c r="A958" s="36" t="str">
        <f xml:space="preserve"> IF( 'From SvanPC++'!A948= "", "", ('From SvanPC++'!A948))</f>
        <v/>
      </c>
      <c r="B958" s="36"/>
      <c r="C958" s="36"/>
      <c r="D958" s="36"/>
      <c r="E958" s="47"/>
      <c r="F958" s="19"/>
      <c r="I958" s="19"/>
      <c r="S958" s="36"/>
      <c r="T958" s="36"/>
    </row>
    <row r="959" spans="1:20" s="38" customFormat="1" hidden="1" x14ac:dyDescent="0.3">
      <c r="A959" s="36" t="str">
        <f xml:space="preserve"> IF( 'From SvanPC++'!A949= "", "", ('From SvanPC++'!A949))</f>
        <v/>
      </c>
      <c r="B959" s="36"/>
      <c r="C959" s="36"/>
      <c r="D959" s="36"/>
      <c r="E959" s="47"/>
      <c r="F959" s="19"/>
      <c r="I959" s="19"/>
      <c r="S959" s="36"/>
      <c r="T959" s="36"/>
    </row>
    <row r="960" spans="1:20" s="38" customFormat="1" hidden="1" x14ac:dyDescent="0.3">
      <c r="A960" s="36" t="str">
        <f xml:space="preserve"> IF( 'From SvanPC++'!A950= "", "", ('From SvanPC++'!A950))</f>
        <v/>
      </c>
      <c r="B960" s="36"/>
      <c r="C960" s="36"/>
      <c r="D960" s="36"/>
      <c r="E960" s="47"/>
      <c r="F960" s="19"/>
      <c r="I960" s="19"/>
      <c r="S960" s="36"/>
      <c r="T960" s="36"/>
    </row>
    <row r="961" spans="1:20" s="38" customFormat="1" hidden="1" x14ac:dyDescent="0.3">
      <c r="A961" s="36" t="str">
        <f xml:space="preserve"> IF( 'From SvanPC++'!A951= "", "", ('From SvanPC++'!A951))</f>
        <v/>
      </c>
      <c r="B961" s="36"/>
      <c r="C961" s="36"/>
      <c r="D961" s="36"/>
      <c r="E961" s="47"/>
      <c r="F961" s="19"/>
      <c r="I961" s="19"/>
      <c r="S961" s="36"/>
      <c r="T961" s="36"/>
    </row>
    <row r="962" spans="1:20" s="38" customFormat="1" hidden="1" x14ac:dyDescent="0.3">
      <c r="A962" s="36" t="str">
        <f xml:space="preserve"> IF( 'From SvanPC++'!A952= "", "", ('From SvanPC++'!A952))</f>
        <v/>
      </c>
      <c r="B962" s="36"/>
      <c r="C962" s="36"/>
      <c r="D962" s="36"/>
      <c r="E962" s="47"/>
      <c r="F962" s="19"/>
      <c r="I962" s="19"/>
      <c r="S962" s="36"/>
      <c r="T962" s="36"/>
    </row>
    <row r="963" spans="1:20" s="38" customFormat="1" hidden="1" x14ac:dyDescent="0.3">
      <c r="A963" s="36" t="str">
        <f xml:space="preserve"> IF( 'From SvanPC++'!A953= "", "", ('From SvanPC++'!A953))</f>
        <v/>
      </c>
      <c r="B963" s="36"/>
      <c r="C963" s="36"/>
      <c r="D963" s="36"/>
      <c r="E963" s="47"/>
      <c r="F963" s="19"/>
      <c r="I963" s="19"/>
      <c r="S963" s="36"/>
      <c r="T963" s="36"/>
    </row>
    <row r="964" spans="1:20" s="38" customFormat="1" hidden="1" x14ac:dyDescent="0.3">
      <c r="A964" s="36" t="str">
        <f xml:space="preserve"> IF( 'From SvanPC++'!A954= "", "", ('From SvanPC++'!A954))</f>
        <v/>
      </c>
      <c r="B964" s="36"/>
      <c r="C964" s="36"/>
      <c r="D964" s="36"/>
      <c r="E964" s="47"/>
      <c r="F964" s="19"/>
      <c r="I964" s="19"/>
      <c r="S964" s="36"/>
      <c r="T964" s="36"/>
    </row>
    <row r="965" spans="1:20" s="38" customFormat="1" hidden="1" x14ac:dyDescent="0.3">
      <c r="A965" s="36" t="str">
        <f xml:space="preserve"> IF( 'From SvanPC++'!A955= "", "", ('From SvanPC++'!A955))</f>
        <v/>
      </c>
      <c r="B965" s="36"/>
      <c r="C965" s="36"/>
      <c r="D965" s="36"/>
      <c r="E965" s="47"/>
      <c r="F965" s="19"/>
      <c r="I965" s="19"/>
      <c r="S965" s="36"/>
      <c r="T965" s="36"/>
    </row>
    <row r="966" spans="1:20" s="38" customFormat="1" hidden="1" x14ac:dyDescent="0.3">
      <c r="A966" s="36" t="str">
        <f xml:space="preserve"> IF( 'From SvanPC++'!A956= "", "", ('From SvanPC++'!A956))</f>
        <v/>
      </c>
      <c r="B966" s="36"/>
      <c r="C966" s="36"/>
      <c r="D966" s="36"/>
      <c r="E966" s="47"/>
      <c r="F966" s="19"/>
      <c r="I966" s="19"/>
      <c r="S966" s="36"/>
      <c r="T966" s="36"/>
    </row>
    <row r="967" spans="1:20" s="38" customFormat="1" hidden="1" x14ac:dyDescent="0.3">
      <c r="A967" s="36" t="str">
        <f xml:space="preserve"> IF( 'From SvanPC++'!A957= "", "", ('From SvanPC++'!A957))</f>
        <v/>
      </c>
      <c r="B967" s="36"/>
      <c r="C967" s="36"/>
      <c r="D967" s="36"/>
      <c r="E967" s="47"/>
      <c r="F967" s="19"/>
      <c r="I967" s="19"/>
      <c r="S967" s="36"/>
      <c r="T967" s="36"/>
    </row>
    <row r="968" spans="1:20" s="38" customFormat="1" hidden="1" x14ac:dyDescent="0.3">
      <c r="A968" s="36" t="str">
        <f xml:space="preserve"> IF( 'From SvanPC++'!A958= "", "", ('From SvanPC++'!A958))</f>
        <v/>
      </c>
      <c r="B968" s="36"/>
      <c r="C968" s="36"/>
      <c r="D968" s="36"/>
      <c r="E968" s="47"/>
      <c r="F968" s="19"/>
      <c r="I968" s="19"/>
      <c r="S968" s="36"/>
      <c r="T968" s="36"/>
    </row>
    <row r="969" spans="1:20" s="38" customFormat="1" hidden="1" x14ac:dyDescent="0.3">
      <c r="A969" s="36" t="str">
        <f xml:space="preserve"> IF( 'From SvanPC++'!A959= "", "", ('From SvanPC++'!A959))</f>
        <v/>
      </c>
      <c r="B969" s="36"/>
      <c r="C969" s="36"/>
      <c r="D969" s="36"/>
      <c r="E969" s="47"/>
      <c r="F969" s="19"/>
      <c r="I969" s="19"/>
      <c r="S969" s="36"/>
      <c r="T969" s="36"/>
    </row>
    <row r="970" spans="1:20" s="38" customFormat="1" hidden="1" x14ac:dyDescent="0.3">
      <c r="A970" s="36" t="str">
        <f xml:space="preserve"> IF( 'From SvanPC++'!A960= "", "", ('From SvanPC++'!A960))</f>
        <v/>
      </c>
      <c r="B970" s="36"/>
      <c r="C970" s="36"/>
      <c r="D970" s="36"/>
      <c r="E970" s="47"/>
      <c r="F970" s="19"/>
      <c r="I970" s="19"/>
      <c r="S970" s="36"/>
      <c r="T970" s="36"/>
    </row>
    <row r="971" spans="1:20" s="38" customFormat="1" hidden="1" x14ac:dyDescent="0.3">
      <c r="A971" s="36" t="str">
        <f xml:space="preserve"> IF( 'From SvanPC++'!A961= "", "", ('From SvanPC++'!A961))</f>
        <v/>
      </c>
      <c r="B971" s="36"/>
      <c r="C971" s="36"/>
      <c r="D971" s="36"/>
      <c r="E971" s="47"/>
      <c r="F971" s="19"/>
      <c r="I971" s="19"/>
      <c r="S971" s="36"/>
      <c r="T971" s="36"/>
    </row>
    <row r="972" spans="1:20" s="38" customFormat="1" hidden="1" x14ac:dyDescent="0.3">
      <c r="A972" s="36" t="str">
        <f xml:space="preserve"> IF( 'From SvanPC++'!A962= "", "", ('From SvanPC++'!A962))</f>
        <v/>
      </c>
      <c r="B972" s="36"/>
      <c r="C972" s="36"/>
      <c r="D972" s="36"/>
      <c r="E972" s="47"/>
      <c r="F972" s="19"/>
      <c r="I972" s="19"/>
      <c r="S972" s="36"/>
      <c r="T972" s="36"/>
    </row>
    <row r="973" spans="1:20" s="38" customFormat="1" hidden="1" x14ac:dyDescent="0.3">
      <c r="A973" s="36" t="str">
        <f xml:space="preserve"> IF( 'From SvanPC++'!A963= "", "", ('From SvanPC++'!A963))</f>
        <v/>
      </c>
      <c r="B973" s="36"/>
      <c r="C973" s="36"/>
      <c r="D973" s="36"/>
      <c r="E973" s="47"/>
      <c r="F973" s="19"/>
      <c r="I973" s="19"/>
      <c r="S973" s="36"/>
      <c r="T973" s="36"/>
    </row>
    <row r="974" spans="1:20" s="38" customFormat="1" hidden="1" x14ac:dyDescent="0.3">
      <c r="A974" s="36" t="str">
        <f xml:space="preserve"> IF( 'From SvanPC++'!A964= "", "", ('From SvanPC++'!A964))</f>
        <v/>
      </c>
      <c r="B974" s="36"/>
      <c r="C974" s="36"/>
      <c r="D974" s="36"/>
      <c r="E974" s="47"/>
      <c r="F974" s="19"/>
      <c r="I974" s="19"/>
      <c r="S974" s="36"/>
      <c r="T974" s="36"/>
    </row>
    <row r="975" spans="1:20" s="38" customFormat="1" hidden="1" x14ac:dyDescent="0.3">
      <c r="A975" s="36" t="str">
        <f xml:space="preserve"> IF( 'From SvanPC++'!A965= "", "", ('From SvanPC++'!A965))</f>
        <v/>
      </c>
      <c r="B975" s="36"/>
      <c r="C975" s="36"/>
      <c r="D975" s="36"/>
      <c r="E975" s="47"/>
      <c r="F975" s="19"/>
      <c r="I975" s="19"/>
      <c r="S975" s="36"/>
      <c r="T975" s="36"/>
    </row>
    <row r="976" spans="1:20" s="38" customFormat="1" hidden="1" x14ac:dyDescent="0.3">
      <c r="A976" s="36" t="str">
        <f xml:space="preserve"> IF( 'From SvanPC++'!A966= "", "", ('From SvanPC++'!A966))</f>
        <v/>
      </c>
      <c r="B976" s="36"/>
      <c r="C976" s="36"/>
      <c r="D976" s="36"/>
      <c r="E976" s="47"/>
      <c r="F976" s="19"/>
      <c r="I976" s="19"/>
      <c r="S976" s="36"/>
      <c r="T976" s="36"/>
    </row>
    <row r="977" spans="1:20" s="38" customFormat="1" hidden="1" x14ac:dyDescent="0.3">
      <c r="A977" s="36" t="str">
        <f xml:space="preserve"> IF( 'From SvanPC++'!A967= "", "", ('From SvanPC++'!A967))</f>
        <v/>
      </c>
      <c r="B977" s="36"/>
      <c r="C977" s="36"/>
      <c r="D977" s="36"/>
      <c r="E977" s="47"/>
      <c r="F977" s="19"/>
      <c r="I977" s="19"/>
      <c r="S977" s="36"/>
      <c r="T977" s="36"/>
    </row>
    <row r="978" spans="1:20" s="38" customFormat="1" hidden="1" x14ac:dyDescent="0.3">
      <c r="A978" s="36" t="str">
        <f xml:space="preserve"> IF( 'From SvanPC++'!A968= "", "", ('From SvanPC++'!A968))</f>
        <v/>
      </c>
      <c r="B978" s="36"/>
      <c r="C978" s="36"/>
      <c r="D978" s="36"/>
      <c r="E978" s="47"/>
      <c r="F978" s="19"/>
      <c r="I978" s="19"/>
      <c r="S978" s="36"/>
      <c r="T978" s="36"/>
    </row>
    <row r="979" spans="1:20" s="38" customFormat="1" hidden="1" x14ac:dyDescent="0.3">
      <c r="A979" s="36" t="str">
        <f xml:space="preserve"> IF( 'From SvanPC++'!A969= "", "", ('From SvanPC++'!A969))</f>
        <v/>
      </c>
      <c r="B979" s="36"/>
      <c r="C979" s="36"/>
      <c r="D979" s="36"/>
      <c r="E979" s="47"/>
      <c r="F979" s="19"/>
      <c r="I979" s="19"/>
      <c r="S979" s="36"/>
      <c r="T979" s="36"/>
    </row>
    <row r="980" spans="1:20" s="38" customFormat="1" hidden="1" x14ac:dyDescent="0.3">
      <c r="A980" s="36" t="str">
        <f xml:space="preserve"> IF( 'From SvanPC++'!A970= "", "", ('From SvanPC++'!A970))</f>
        <v/>
      </c>
      <c r="B980" s="36"/>
      <c r="C980" s="36"/>
      <c r="D980" s="36"/>
      <c r="E980" s="47"/>
      <c r="F980" s="19"/>
      <c r="I980" s="19"/>
      <c r="S980" s="36"/>
      <c r="T980" s="36"/>
    </row>
    <row r="981" spans="1:20" s="38" customFormat="1" hidden="1" x14ac:dyDescent="0.3">
      <c r="A981" s="36" t="str">
        <f xml:space="preserve"> IF( 'From SvanPC++'!A971= "", "", ('From SvanPC++'!A971))</f>
        <v/>
      </c>
      <c r="B981" s="36"/>
      <c r="C981" s="36"/>
      <c r="D981" s="36"/>
      <c r="E981" s="47"/>
      <c r="F981" s="19"/>
      <c r="I981" s="19"/>
      <c r="S981" s="36"/>
      <c r="T981" s="36"/>
    </row>
    <row r="982" spans="1:20" s="38" customFormat="1" hidden="1" x14ac:dyDescent="0.3">
      <c r="A982" s="36" t="str">
        <f xml:space="preserve"> IF( 'From SvanPC++'!A972= "", "", ('From SvanPC++'!A972))</f>
        <v/>
      </c>
      <c r="B982" s="36"/>
      <c r="C982" s="36"/>
      <c r="D982" s="36"/>
      <c r="E982" s="47"/>
      <c r="F982" s="19"/>
      <c r="I982" s="19"/>
      <c r="S982" s="36"/>
      <c r="T982" s="36"/>
    </row>
    <row r="983" spans="1:20" s="38" customFormat="1" hidden="1" x14ac:dyDescent="0.3">
      <c r="A983" s="36" t="str">
        <f xml:space="preserve"> IF( 'From SvanPC++'!A973= "", "", ('From SvanPC++'!A973))</f>
        <v/>
      </c>
      <c r="B983" s="36"/>
      <c r="C983" s="36"/>
      <c r="D983" s="36"/>
      <c r="E983" s="47"/>
      <c r="F983" s="19"/>
      <c r="I983" s="19"/>
      <c r="S983" s="36"/>
      <c r="T983" s="36"/>
    </row>
    <row r="984" spans="1:20" s="38" customFormat="1" hidden="1" x14ac:dyDescent="0.3">
      <c r="A984" s="36" t="str">
        <f xml:space="preserve"> IF( 'From SvanPC++'!A974= "", "", ('From SvanPC++'!A974))</f>
        <v/>
      </c>
      <c r="B984" s="36"/>
      <c r="C984" s="36"/>
      <c r="D984" s="36"/>
      <c r="E984" s="47"/>
      <c r="F984" s="19"/>
      <c r="I984" s="19"/>
      <c r="S984" s="36"/>
      <c r="T984" s="36"/>
    </row>
    <row r="985" spans="1:20" s="38" customFormat="1" hidden="1" x14ac:dyDescent="0.3">
      <c r="A985" s="36" t="str">
        <f xml:space="preserve"> IF( 'From SvanPC++'!A975= "", "", ('From SvanPC++'!A975))</f>
        <v/>
      </c>
      <c r="B985" s="36"/>
      <c r="C985" s="36"/>
      <c r="D985" s="36"/>
      <c r="E985" s="47"/>
      <c r="F985" s="19"/>
      <c r="I985" s="19"/>
      <c r="S985" s="36"/>
      <c r="T985" s="36"/>
    </row>
    <row r="986" spans="1:20" s="38" customFormat="1" hidden="1" x14ac:dyDescent="0.3">
      <c r="A986" s="36" t="str">
        <f xml:space="preserve"> IF( 'From SvanPC++'!A976= "", "", ('From SvanPC++'!A976))</f>
        <v/>
      </c>
      <c r="B986" s="36"/>
      <c r="C986" s="36"/>
      <c r="D986" s="36"/>
      <c r="E986" s="47"/>
      <c r="F986" s="19"/>
      <c r="I986" s="19"/>
      <c r="S986" s="36"/>
      <c r="T986" s="36"/>
    </row>
    <row r="987" spans="1:20" s="38" customFormat="1" hidden="1" x14ac:dyDescent="0.3">
      <c r="A987" s="36" t="str">
        <f xml:space="preserve"> IF( 'From SvanPC++'!A977= "", "", ('From SvanPC++'!A977))</f>
        <v/>
      </c>
      <c r="B987" s="36"/>
      <c r="C987" s="36"/>
      <c r="D987" s="36"/>
      <c r="E987" s="47"/>
      <c r="F987" s="19"/>
      <c r="I987" s="19"/>
      <c r="S987" s="36"/>
      <c r="T987" s="36"/>
    </row>
    <row r="988" spans="1:20" s="38" customFormat="1" hidden="1" x14ac:dyDescent="0.3">
      <c r="A988" s="36" t="str">
        <f xml:space="preserve"> IF( 'From SvanPC++'!A978= "", "", ('From SvanPC++'!A978))</f>
        <v/>
      </c>
      <c r="B988" s="36"/>
      <c r="C988" s="36"/>
      <c r="D988" s="36"/>
      <c r="E988" s="47"/>
      <c r="F988" s="19"/>
      <c r="I988" s="19"/>
      <c r="S988" s="36"/>
      <c r="T988" s="36"/>
    </row>
    <row r="989" spans="1:20" s="38" customFormat="1" hidden="1" x14ac:dyDescent="0.3">
      <c r="A989" s="36" t="str">
        <f xml:space="preserve"> IF( 'From SvanPC++'!A979= "", "", ('From SvanPC++'!A979))</f>
        <v/>
      </c>
      <c r="B989" s="36"/>
      <c r="C989" s="36"/>
      <c r="D989" s="36"/>
      <c r="E989" s="47"/>
      <c r="F989" s="19"/>
      <c r="I989" s="19"/>
      <c r="S989" s="36"/>
      <c r="T989" s="36"/>
    </row>
    <row r="990" spans="1:20" s="38" customFormat="1" hidden="1" x14ac:dyDescent="0.3">
      <c r="A990" s="36" t="str">
        <f xml:space="preserve"> IF( 'From SvanPC++'!A980= "", "", ('From SvanPC++'!A980))</f>
        <v/>
      </c>
      <c r="B990" s="36"/>
      <c r="C990" s="36"/>
      <c r="D990" s="36"/>
      <c r="E990" s="47"/>
      <c r="F990" s="19"/>
      <c r="I990" s="19"/>
      <c r="S990" s="36"/>
      <c r="T990" s="36"/>
    </row>
    <row r="991" spans="1:20" s="38" customFormat="1" hidden="1" x14ac:dyDescent="0.3">
      <c r="A991" s="36" t="str">
        <f xml:space="preserve"> IF( 'From SvanPC++'!A981= "", "", ('From SvanPC++'!A981))</f>
        <v/>
      </c>
      <c r="B991" s="36"/>
      <c r="C991" s="36"/>
      <c r="D991" s="36"/>
      <c r="E991" s="47"/>
      <c r="F991" s="19"/>
      <c r="I991" s="19"/>
      <c r="S991" s="36"/>
      <c r="T991" s="36"/>
    </row>
    <row r="992" spans="1:20" s="38" customFormat="1" hidden="1" x14ac:dyDescent="0.3">
      <c r="A992" s="36" t="str">
        <f xml:space="preserve"> IF( 'From SvanPC++'!A982= "", "", ('From SvanPC++'!A982))</f>
        <v/>
      </c>
      <c r="B992" s="36"/>
      <c r="C992" s="36"/>
      <c r="D992" s="36"/>
      <c r="E992" s="47"/>
      <c r="F992" s="19"/>
      <c r="I992" s="19"/>
      <c r="S992" s="36"/>
      <c r="T992" s="36"/>
    </row>
    <row r="993" spans="1:20" s="38" customFormat="1" hidden="1" x14ac:dyDescent="0.3">
      <c r="A993" s="36" t="str">
        <f xml:space="preserve"> IF( 'From SvanPC++'!A983= "", "", ('From SvanPC++'!A983))</f>
        <v/>
      </c>
      <c r="B993" s="36"/>
      <c r="C993" s="36"/>
      <c r="D993" s="36"/>
      <c r="E993" s="47"/>
      <c r="F993" s="19"/>
      <c r="I993" s="19"/>
      <c r="S993" s="36"/>
      <c r="T993" s="36"/>
    </row>
    <row r="994" spans="1:20" s="38" customFormat="1" hidden="1" x14ac:dyDescent="0.3">
      <c r="A994" s="36" t="str">
        <f xml:space="preserve"> IF( 'From SvanPC++'!A984= "", "", ('From SvanPC++'!A984))</f>
        <v/>
      </c>
      <c r="B994" s="36"/>
      <c r="C994" s="36"/>
      <c r="D994" s="36"/>
      <c r="E994" s="47"/>
      <c r="F994" s="19"/>
      <c r="I994" s="19"/>
      <c r="S994" s="36"/>
      <c r="T994" s="36"/>
    </row>
    <row r="995" spans="1:20" s="38" customFormat="1" hidden="1" x14ac:dyDescent="0.3">
      <c r="A995" s="36" t="str">
        <f xml:space="preserve"> IF( 'From SvanPC++'!A985= "", "", ('From SvanPC++'!A985))</f>
        <v/>
      </c>
      <c r="B995" s="36"/>
      <c r="C995" s="36"/>
      <c r="D995" s="36"/>
      <c r="E995" s="47"/>
      <c r="F995" s="19"/>
      <c r="I995" s="19"/>
      <c r="S995" s="36"/>
      <c r="T995" s="36"/>
    </row>
    <row r="996" spans="1:20" s="38" customFormat="1" hidden="1" x14ac:dyDescent="0.3">
      <c r="A996" s="36" t="str">
        <f xml:space="preserve"> IF( 'From SvanPC++'!A986= "", "", ('From SvanPC++'!A986))</f>
        <v/>
      </c>
      <c r="B996" s="36"/>
      <c r="C996" s="36"/>
      <c r="D996" s="36"/>
      <c r="E996" s="47"/>
      <c r="F996" s="19"/>
      <c r="I996" s="19"/>
      <c r="S996" s="36"/>
      <c r="T996" s="36"/>
    </row>
    <row r="997" spans="1:20" s="38" customFormat="1" hidden="1" x14ac:dyDescent="0.3">
      <c r="A997" s="36" t="str">
        <f xml:space="preserve"> IF( 'From SvanPC++'!A987= "", "", ('From SvanPC++'!A987))</f>
        <v/>
      </c>
      <c r="B997" s="36"/>
      <c r="C997" s="36"/>
      <c r="D997" s="36"/>
      <c r="E997" s="47"/>
      <c r="F997" s="19"/>
      <c r="I997" s="19"/>
      <c r="S997" s="36"/>
      <c r="T997" s="36"/>
    </row>
    <row r="998" spans="1:20" s="38" customFormat="1" hidden="1" x14ac:dyDescent="0.3">
      <c r="A998" s="36" t="str">
        <f xml:space="preserve"> IF( 'From SvanPC++'!A988= "", "", ('From SvanPC++'!A988))</f>
        <v/>
      </c>
      <c r="B998" s="36"/>
      <c r="C998" s="36"/>
      <c r="D998" s="36"/>
      <c r="E998" s="47"/>
      <c r="F998" s="19"/>
      <c r="I998" s="19"/>
      <c r="S998" s="36"/>
      <c r="T998" s="36"/>
    </row>
    <row r="999" spans="1:20" s="38" customFormat="1" hidden="1" x14ac:dyDescent="0.3">
      <c r="A999" s="36" t="str">
        <f xml:space="preserve"> IF( 'From SvanPC++'!A989= "", "", ('From SvanPC++'!A989))</f>
        <v/>
      </c>
      <c r="B999" s="36"/>
      <c r="C999" s="36"/>
      <c r="D999" s="36"/>
      <c r="E999" s="47"/>
      <c r="F999" s="19"/>
      <c r="I999" s="19"/>
      <c r="S999" s="36"/>
      <c r="T999" s="36"/>
    </row>
    <row r="1000" spans="1:20" s="38" customFormat="1" hidden="1" x14ac:dyDescent="0.3">
      <c r="A1000" s="36" t="str">
        <f xml:space="preserve"> IF( 'From SvanPC++'!A990= "", "", ('From SvanPC++'!A990))</f>
        <v/>
      </c>
      <c r="B1000" s="36"/>
      <c r="C1000" s="36"/>
      <c r="D1000" s="36"/>
      <c r="E1000" s="47"/>
      <c r="F1000" s="19"/>
      <c r="I1000" s="19"/>
      <c r="S1000" s="36"/>
      <c r="T1000" s="36"/>
    </row>
    <row r="1001" spans="1:20" s="38" customFormat="1" hidden="1" x14ac:dyDescent="0.3">
      <c r="A1001" s="36" t="str">
        <f xml:space="preserve"> IF( 'From SvanPC++'!A991= "", "", ('From SvanPC++'!A991))</f>
        <v/>
      </c>
      <c r="B1001" s="36"/>
      <c r="C1001" s="36"/>
      <c r="D1001" s="36"/>
      <c r="E1001" s="47"/>
      <c r="F1001" s="19"/>
      <c r="I1001" s="19"/>
      <c r="S1001" s="36"/>
      <c r="T1001" s="36"/>
    </row>
    <row r="1002" spans="1:20" s="38" customFormat="1" hidden="1" x14ac:dyDescent="0.3">
      <c r="A1002" s="36" t="str">
        <f xml:space="preserve"> IF( 'From SvanPC++'!A992= "", "", ('From SvanPC++'!A992))</f>
        <v/>
      </c>
      <c r="B1002" s="36"/>
      <c r="C1002" s="36"/>
      <c r="D1002" s="36"/>
      <c r="E1002" s="47"/>
      <c r="F1002" s="19"/>
      <c r="I1002" s="19"/>
      <c r="S1002" s="36"/>
      <c r="T1002" s="36"/>
    </row>
    <row r="1003" spans="1:20" s="38" customFormat="1" hidden="1" x14ac:dyDescent="0.3">
      <c r="A1003" s="36" t="str">
        <f xml:space="preserve"> IF( 'From SvanPC++'!A993= "", "", ('From SvanPC++'!A993))</f>
        <v/>
      </c>
      <c r="B1003" s="36"/>
      <c r="C1003" s="36"/>
      <c r="D1003" s="36"/>
      <c r="E1003" s="47"/>
      <c r="F1003" s="19"/>
      <c r="I1003" s="19"/>
      <c r="S1003" s="36"/>
      <c r="T1003" s="36"/>
    </row>
    <row r="1004" spans="1:20" s="38" customFormat="1" hidden="1" x14ac:dyDescent="0.3">
      <c r="A1004" s="36" t="str">
        <f xml:space="preserve"> IF( 'From SvanPC++'!A994= "", "", ('From SvanPC++'!A994))</f>
        <v/>
      </c>
      <c r="B1004" s="36"/>
      <c r="C1004" s="36"/>
      <c r="D1004" s="36"/>
      <c r="E1004" s="47"/>
      <c r="F1004" s="19"/>
      <c r="I1004" s="19"/>
      <c r="S1004" s="36"/>
      <c r="T1004" s="36"/>
    </row>
    <row r="1005" spans="1:20" s="38" customFormat="1" hidden="1" x14ac:dyDescent="0.3">
      <c r="A1005" s="36" t="str">
        <f xml:space="preserve"> IF( 'From SvanPC++'!A995= "", "", ('From SvanPC++'!A995))</f>
        <v/>
      </c>
      <c r="B1005" s="36"/>
      <c r="C1005" s="36"/>
      <c r="D1005" s="36"/>
      <c r="E1005" s="47"/>
      <c r="F1005" s="19"/>
      <c r="I1005" s="19"/>
      <c r="S1005" s="36"/>
      <c r="T1005" s="36"/>
    </row>
    <row r="1006" spans="1:20" s="38" customFormat="1" hidden="1" x14ac:dyDescent="0.3">
      <c r="A1006" s="36" t="str">
        <f xml:space="preserve"> IF( 'From SvanPC++'!A996= "", "", ('From SvanPC++'!A996))</f>
        <v/>
      </c>
      <c r="B1006" s="36"/>
      <c r="C1006" s="36"/>
      <c r="D1006" s="36"/>
      <c r="E1006" s="47"/>
      <c r="F1006" s="19"/>
      <c r="I1006" s="19"/>
      <c r="S1006" s="36"/>
      <c r="T1006" s="36"/>
    </row>
    <row r="1007" spans="1:20" s="38" customFormat="1" hidden="1" x14ac:dyDescent="0.3">
      <c r="A1007" s="36" t="str">
        <f xml:space="preserve"> IF( 'From SvanPC++'!A997= "", "", ('From SvanPC++'!A997))</f>
        <v/>
      </c>
      <c r="B1007" s="36"/>
      <c r="C1007" s="36"/>
      <c r="D1007" s="36"/>
      <c r="E1007" s="47"/>
      <c r="F1007" s="19"/>
      <c r="I1007" s="19"/>
      <c r="S1007" s="36"/>
      <c r="T1007" s="36"/>
    </row>
    <row r="1008" spans="1:20" s="38" customFormat="1" hidden="1" x14ac:dyDescent="0.3">
      <c r="A1008" s="36" t="str">
        <f xml:space="preserve"> IF( 'From SvanPC++'!A998= "", "", ('From SvanPC++'!A998))</f>
        <v/>
      </c>
      <c r="B1008" s="36"/>
      <c r="C1008" s="36"/>
      <c r="D1008" s="36"/>
      <c r="E1008" s="47"/>
      <c r="F1008" s="19"/>
      <c r="I1008" s="19"/>
      <c r="S1008" s="36"/>
      <c r="T1008" s="36"/>
    </row>
    <row r="1009" spans="1:20" s="38" customFormat="1" hidden="1" x14ac:dyDescent="0.3">
      <c r="A1009" s="36" t="str">
        <f xml:space="preserve"> IF( 'From SvanPC++'!A999= "", "", ('From SvanPC++'!A999))</f>
        <v/>
      </c>
      <c r="B1009" s="36"/>
      <c r="C1009" s="36"/>
      <c r="D1009" s="36"/>
      <c r="E1009" s="47"/>
      <c r="F1009" s="19"/>
      <c r="I1009" s="19"/>
      <c r="S1009" s="36"/>
      <c r="T1009" s="36"/>
    </row>
    <row r="1010" spans="1:20" s="38" customFormat="1" hidden="1" x14ac:dyDescent="0.3">
      <c r="A1010" s="36" t="str">
        <f xml:space="preserve"> IF( 'From SvanPC++'!A1000= "", "", ('From SvanPC++'!A1000))</f>
        <v/>
      </c>
      <c r="B1010" s="36"/>
      <c r="C1010" s="36"/>
      <c r="D1010" s="36"/>
      <c r="E1010" s="47"/>
      <c r="F1010" s="19"/>
      <c r="I1010" s="19"/>
      <c r="S1010" s="36"/>
      <c r="T1010" s="36"/>
    </row>
    <row r="1011" spans="1:20" s="38" customFormat="1" hidden="1" x14ac:dyDescent="0.3">
      <c r="A1011" s="36" t="str">
        <f xml:space="preserve"> IF( 'From SvanPC++'!A1001= "", "", ('From SvanPC++'!A1001))</f>
        <v/>
      </c>
      <c r="B1011" s="36"/>
      <c r="C1011" s="36"/>
      <c r="D1011" s="36"/>
      <c r="E1011" s="47"/>
      <c r="F1011" s="19"/>
      <c r="I1011" s="19"/>
      <c r="S1011" s="36"/>
      <c r="T1011" s="36"/>
    </row>
    <row r="1012" spans="1:20" s="38" customFormat="1" hidden="1" x14ac:dyDescent="0.3">
      <c r="A1012" s="36" t="str">
        <f xml:space="preserve"> IF( 'From SvanPC++'!A1002= "", "", ('From SvanPC++'!A1002))</f>
        <v/>
      </c>
      <c r="B1012" s="36"/>
      <c r="C1012" s="36"/>
      <c r="D1012" s="36"/>
      <c r="E1012" s="47"/>
      <c r="F1012" s="19"/>
      <c r="I1012" s="19"/>
      <c r="S1012" s="36"/>
      <c r="T1012" s="36"/>
    </row>
    <row r="1013" spans="1:20" s="38" customFormat="1" hidden="1" x14ac:dyDescent="0.3">
      <c r="A1013" s="36" t="str">
        <f xml:space="preserve"> IF( 'From SvanPC++'!A1003= "", "", ('From SvanPC++'!A1003))</f>
        <v/>
      </c>
      <c r="B1013" s="36"/>
      <c r="C1013" s="36"/>
      <c r="D1013" s="36"/>
      <c r="E1013" s="47"/>
      <c r="F1013" s="19"/>
      <c r="I1013" s="19"/>
      <c r="S1013" s="36"/>
      <c r="T1013" s="36"/>
    </row>
    <row r="1014" spans="1:20" s="38" customFormat="1" hidden="1" x14ac:dyDescent="0.3">
      <c r="A1014" s="36" t="str">
        <f xml:space="preserve"> IF( 'From SvanPC++'!A1004= "", "", ('From SvanPC++'!A1004))</f>
        <v/>
      </c>
      <c r="B1014" s="36"/>
      <c r="C1014" s="36"/>
      <c r="D1014" s="36"/>
      <c r="E1014" s="47"/>
      <c r="F1014" s="19"/>
      <c r="I1014" s="19"/>
      <c r="S1014" s="36"/>
      <c r="T1014" s="36"/>
    </row>
    <row r="1015" spans="1:20" s="38" customFormat="1" hidden="1" x14ac:dyDescent="0.3">
      <c r="A1015" s="36" t="str">
        <f xml:space="preserve"> IF( 'From SvanPC++'!A1005= "", "", ('From SvanPC++'!A1005))</f>
        <v/>
      </c>
      <c r="B1015" s="36"/>
      <c r="C1015" s="36"/>
      <c r="D1015" s="36"/>
      <c r="E1015" s="47"/>
      <c r="F1015" s="19"/>
      <c r="I1015" s="19"/>
      <c r="S1015" s="36"/>
      <c r="T1015" s="36"/>
    </row>
    <row r="1016" spans="1:20" s="38" customFormat="1" hidden="1" x14ac:dyDescent="0.3">
      <c r="A1016" s="36" t="str">
        <f xml:space="preserve"> IF( 'From SvanPC++'!A1006= "", "", ('From SvanPC++'!A1006))</f>
        <v/>
      </c>
      <c r="B1016" s="36"/>
      <c r="C1016" s="36"/>
      <c r="D1016" s="36"/>
      <c r="E1016" s="47"/>
      <c r="F1016" s="19"/>
      <c r="I1016" s="19"/>
      <c r="S1016" s="36"/>
      <c r="T1016" s="36"/>
    </row>
    <row r="1017" spans="1:20" s="38" customFormat="1" hidden="1" x14ac:dyDescent="0.3">
      <c r="A1017" s="36" t="str">
        <f xml:space="preserve"> IF( 'From SvanPC++'!A1007= "", "", ('From SvanPC++'!A1007))</f>
        <v/>
      </c>
      <c r="B1017" s="36"/>
      <c r="C1017" s="36"/>
      <c r="D1017" s="36"/>
      <c r="E1017" s="47"/>
      <c r="F1017" s="19"/>
      <c r="I1017" s="19"/>
      <c r="S1017" s="36"/>
      <c r="T1017" s="36"/>
    </row>
    <row r="1018" spans="1:20" s="38" customFormat="1" hidden="1" x14ac:dyDescent="0.3">
      <c r="A1018" s="36" t="str">
        <f xml:space="preserve"> IF( 'From SvanPC++'!A1008= "", "", ('From SvanPC++'!A1008))</f>
        <v/>
      </c>
      <c r="B1018" s="36"/>
      <c r="C1018" s="36"/>
      <c r="D1018" s="36"/>
      <c r="E1018" s="47"/>
      <c r="F1018" s="19"/>
      <c r="I1018" s="19"/>
      <c r="S1018" s="36"/>
      <c r="T1018" s="36"/>
    </row>
    <row r="1019" spans="1:20" s="38" customFormat="1" hidden="1" x14ac:dyDescent="0.3">
      <c r="A1019" s="36" t="str">
        <f xml:space="preserve"> IF( 'From SvanPC++'!A1009= "", "", ('From SvanPC++'!A1009))</f>
        <v/>
      </c>
      <c r="B1019" s="36"/>
      <c r="C1019" s="36"/>
      <c r="D1019" s="36"/>
      <c r="E1019" s="47"/>
      <c r="F1019" s="19"/>
      <c r="I1019" s="19"/>
      <c r="S1019" s="36"/>
      <c r="T1019" s="36"/>
    </row>
    <row r="1020" spans="1:20" s="38" customFormat="1" hidden="1" x14ac:dyDescent="0.3">
      <c r="A1020" s="36" t="str">
        <f xml:space="preserve"> IF( 'From SvanPC++'!A1010= "", "", ('From SvanPC++'!A1010))</f>
        <v/>
      </c>
      <c r="B1020" s="36"/>
      <c r="C1020" s="36"/>
      <c r="D1020" s="36"/>
      <c r="E1020" s="47"/>
      <c r="F1020" s="19"/>
      <c r="I1020" s="19"/>
      <c r="S1020" s="36"/>
      <c r="T1020" s="36"/>
    </row>
    <row r="1021" spans="1:20" s="38" customFormat="1" hidden="1" x14ac:dyDescent="0.3">
      <c r="A1021" s="36" t="str">
        <f xml:space="preserve"> IF( 'From SvanPC++'!A1011= "", "", ('From SvanPC++'!A1011))</f>
        <v/>
      </c>
      <c r="B1021" s="36"/>
      <c r="C1021" s="36"/>
      <c r="D1021" s="36"/>
      <c r="E1021" s="47"/>
      <c r="F1021" s="19"/>
      <c r="I1021" s="19"/>
      <c r="S1021" s="36"/>
      <c r="T1021" s="36"/>
    </row>
    <row r="1022" spans="1:20" s="38" customFormat="1" hidden="1" x14ac:dyDescent="0.3">
      <c r="A1022" s="36" t="str">
        <f xml:space="preserve"> IF( 'From SvanPC++'!A1012= "", "", ('From SvanPC++'!A1012))</f>
        <v/>
      </c>
      <c r="B1022" s="36"/>
      <c r="C1022" s="36"/>
      <c r="D1022" s="36"/>
      <c r="E1022" s="47"/>
      <c r="F1022" s="19"/>
      <c r="I1022" s="19"/>
      <c r="S1022" s="36"/>
      <c r="T1022" s="36"/>
    </row>
    <row r="1023" spans="1:20" s="38" customFormat="1" hidden="1" x14ac:dyDescent="0.3">
      <c r="A1023" s="36" t="str">
        <f xml:space="preserve"> IF( 'From SvanPC++'!A1013= "", "", ('From SvanPC++'!A1013))</f>
        <v/>
      </c>
      <c r="B1023" s="36"/>
      <c r="C1023" s="36"/>
      <c r="D1023" s="36"/>
      <c r="E1023" s="47"/>
      <c r="F1023" s="19"/>
      <c r="I1023" s="19"/>
      <c r="S1023" s="36"/>
      <c r="T1023" s="36"/>
    </row>
    <row r="1024" spans="1:20" s="38" customFormat="1" hidden="1" x14ac:dyDescent="0.3">
      <c r="A1024" s="36" t="str">
        <f xml:space="preserve"> IF( 'From SvanPC++'!A1014= "", "", ('From SvanPC++'!A1014))</f>
        <v/>
      </c>
      <c r="B1024" s="36"/>
      <c r="C1024" s="36"/>
      <c r="D1024" s="36"/>
      <c r="E1024" s="47"/>
      <c r="F1024" s="19"/>
      <c r="I1024" s="19"/>
      <c r="S1024" s="36"/>
      <c r="T1024" s="36"/>
    </row>
    <row r="1025" spans="1:20" s="38" customFormat="1" hidden="1" x14ac:dyDescent="0.3">
      <c r="A1025" s="36" t="str">
        <f xml:space="preserve"> IF( 'From SvanPC++'!A1015= "", "", ('From SvanPC++'!A1015))</f>
        <v/>
      </c>
      <c r="B1025" s="36"/>
      <c r="C1025" s="36"/>
      <c r="D1025" s="36"/>
      <c r="E1025" s="47"/>
      <c r="F1025" s="19"/>
      <c r="I1025" s="19"/>
      <c r="S1025" s="36"/>
      <c r="T1025" s="36"/>
    </row>
    <row r="1026" spans="1:20" s="38" customFormat="1" hidden="1" x14ac:dyDescent="0.3">
      <c r="A1026" s="36" t="str">
        <f xml:space="preserve"> IF( 'From SvanPC++'!A1016= "", "", ('From SvanPC++'!A1016))</f>
        <v/>
      </c>
      <c r="B1026" s="36"/>
      <c r="C1026" s="36"/>
      <c r="D1026" s="36"/>
      <c r="E1026" s="47"/>
      <c r="F1026" s="19"/>
      <c r="I1026" s="19"/>
      <c r="S1026" s="36"/>
      <c r="T1026" s="36"/>
    </row>
    <row r="1027" spans="1:20" s="38" customFormat="1" hidden="1" x14ac:dyDescent="0.3">
      <c r="A1027" s="36" t="str">
        <f xml:space="preserve"> IF( 'From SvanPC++'!A1017= "", "", ('From SvanPC++'!A1017))</f>
        <v/>
      </c>
      <c r="B1027" s="36"/>
      <c r="C1027" s="36"/>
      <c r="D1027" s="36"/>
      <c r="E1027" s="47"/>
      <c r="F1027" s="19"/>
      <c r="I1027" s="19"/>
      <c r="S1027" s="36"/>
      <c r="T1027" s="36"/>
    </row>
    <row r="1028" spans="1:20" s="38" customFormat="1" hidden="1" x14ac:dyDescent="0.3">
      <c r="A1028" s="36" t="str">
        <f xml:space="preserve"> IF( 'From SvanPC++'!A1018= "", "", ('From SvanPC++'!A1018))</f>
        <v/>
      </c>
      <c r="B1028" s="36"/>
      <c r="C1028" s="36"/>
      <c r="D1028" s="36"/>
      <c r="E1028" s="47"/>
      <c r="F1028" s="19"/>
      <c r="I1028" s="19"/>
      <c r="S1028" s="36"/>
      <c r="T1028" s="36"/>
    </row>
    <row r="1029" spans="1:20" s="38" customFormat="1" hidden="1" x14ac:dyDescent="0.3">
      <c r="A1029" s="36" t="str">
        <f xml:space="preserve"> IF( 'From SvanPC++'!A1019= "", "", ('From SvanPC++'!A1019))</f>
        <v/>
      </c>
      <c r="B1029" s="36"/>
      <c r="C1029" s="36"/>
      <c r="D1029" s="36"/>
      <c r="E1029" s="47"/>
      <c r="F1029" s="19"/>
      <c r="I1029" s="19"/>
      <c r="S1029" s="36"/>
      <c r="T1029" s="36"/>
    </row>
    <row r="1030" spans="1:20" s="38" customFormat="1" hidden="1" x14ac:dyDescent="0.3">
      <c r="A1030" s="36" t="str">
        <f xml:space="preserve"> IF( 'From SvanPC++'!A1020= "", "", ('From SvanPC++'!A1020))</f>
        <v/>
      </c>
      <c r="B1030" s="36"/>
      <c r="C1030" s="36"/>
      <c r="D1030" s="36"/>
      <c r="E1030" s="47"/>
      <c r="F1030" s="19"/>
      <c r="I1030" s="19"/>
      <c r="S1030" s="36"/>
      <c r="T1030" s="36"/>
    </row>
    <row r="1031" spans="1:20" s="38" customFormat="1" hidden="1" x14ac:dyDescent="0.3">
      <c r="A1031" s="36" t="str">
        <f xml:space="preserve"> IF( 'From SvanPC++'!A1021= "", "", ('From SvanPC++'!A1021))</f>
        <v/>
      </c>
      <c r="B1031" s="36"/>
      <c r="C1031" s="36"/>
      <c r="D1031" s="36"/>
      <c r="E1031" s="47"/>
      <c r="F1031" s="19"/>
      <c r="I1031" s="19"/>
      <c r="S1031" s="36"/>
      <c r="T1031" s="36"/>
    </row>
    <row r="1032" spans="1:20" s="38" customFormat="1" hidden="1" x14ac:dyDescent="0.3">
      <c r="A1032" s="36" t="str">
        <f xml:space="preserve"> IF( 'From SvanPC++'!A1022= "", "", ('From SvanPC++'!A1022))</f>
        <v/>
      </c>
      <c r="B1032" s="36"/>
      <c r="C1032" s="36"/>
      <c r="D1032" s="36"/>
      <c r="E1032" s="47"/>
      <c r="F1032" s="19"/>
      <c r="I1032" s="19"/>
      <c r="S1032" s="36"/>
      <c r="T1032" s="36"/>
    </row>
    <row r="1033" spans="1:20" s="38" customFormat="1" hidden="1" x14ac:dyDescent="0.3">
      <c r="A1033" s="36" t="str">
        <f xml:space="preserve"> IF( 'From SvanPC++'!A1023= "", "", ('From SvanPC++'!A1023))</f>
        <v/>
      </c>
      <c r="B1033" s="36"/>
      <c r="C1033" s="36"/>
      <c r="D1033" s="36"/>
      <c r="E1033" s="47"/>
      <c r="F1033" s="19"/>
      <c r="I1033" s="19"/>
      <c r="S1033" s="36"/>
      <c r="T1033" s="36"/>
    </row>
    <row r="1034" spans="1:20" s="38" customFormat="1" hidden="1" x14ac:dyDescent="0.3">
      <c r="A1034" s="36" t="str">
        <f xml:space="preserve"> IF( 'From SvanPC++'!A1024= "", "", ('From SvanPC++'!A1024))</f>
        <v/>
      </c>
      <c r="B1034" s="36"/>
      <c r="C1034" s="36"/>
      <c r="D1034" s="36"/>
      <c r="E1034" s="47"/>
      <c r="F1034" s="19"/>
      <c r="I1034" s="19"/>
      <c r="S1034" s="36"/>
      <c r="T1034" s="36"/>
    </row>
    <row r="1035" spans="1:20" s="38" customFormat="1" hidden="1" x14ac:dyDescent="0.3">
      <c r="A1035" s="36" t="str">
        <f xml:space="preserve"> IF( 'From SvanPC++'!A1025= "", "", ('From SvanPC++'!A1025))</f>
        <v/>
      </c>
      <c r="B1035" s="36"/>
      <c r="C1035" s="36"/>
      <c r="D1035" s="36"/>
      <c r="E1035" s="47"/>
      <c r="F1035" s="19"/>
      <c r="I1035" s="19"/>
      <c r="S1035" s="36"/>
      <c r="T1035" s="36"/>
    </row>
    <row r="1036" spans="1:20" s="38" customFormat="1" hidden="1" x14ac:dyDescent="0.3">
      <c r="A1036" s="36" t="str">
        <f xml:space="preserve"> IF( 'From SvanPC++'!A1026= "", "", ('From SvanPC++'!A1026))</f>
        <v/>
      </c>
      <c r="B1036" s="36"/>
      <c r="C1036" s="36"/>
      <c r="D1036" s="36"/>
      <c r="E1036" s="47"/>
      <c r="F1036" s="19"/>
      <c r="I1036" s="19"/>
      <c r="S1036" s="36"/>
      <c r="T1036" s="36"/>
    </row>
    <row r="1037" spans="1:20" s="38" customFormat="1" hidden="1" x14ac:dyDescent="0.3">
      <c r="A1037" s="36" t="str">
        <f xml:space="preserve"> IF( 'From SvanPC++'!A1027= "", "", ('From SvanPC++'!A1027))</f>
        <v/>
      </c>
      <c r="B1037" s="36"/>
      <c r="C1037" s="36"/>
      <c r="D1037" s="36"/>
      <c r="E1037" s="47"/>
      <c r="F1037" s="19"/>
      <c r="I1037" s="19"/>
      <c r="S1037" s="36"/>
      <c r="T1037" s="36"/>
    </row>
    <row r="1038" spans="1:20" s="38" customFormat="1" hidden="1" x14ac:dyDescent="0.3">
      <c r="A1038" s="36" t="str">
        <f xml:space="preserve"> IF( 'From SvanPC++'!A1028= "", "", ('From SvanPC++'!A1028))</f>
        <v/>
      </c>
      <c r="B1038" s="36"/>
      <c r="C1038" s="36"/>
      <c r="D1038" s="36"/>
      <c r="E1038" s="47"/>
      <c r="F1038" s="19"/>
      <c r="I1038" s="19"/>
      <c r="S1038" s="36"/>
      <c r="T1038" s="36"/>
    </row>
    <row r="1039" spans="1:20" s="38" customFormat="1" hidden="1" x14ac:dyDescent="0.3">
      <c r="A1039" s="36" t="str">
        <f xml:space="preserve"> IF( 'From SvanPC++'!A1029= "", "", ('From SvanPC++'!A1029))</f>
        <v/>
      </c>
      <c r="B1039" s="36"/>
      <c r="C1039" s="36"/>
      <c r="D1039" s="36"/>
      <c r="E1039" s="47"/>
      <c r="F1039" s="19"/>
      <c r="I1039" s="19"/>
      <c r="S1039" s="36"/>
      <c r="T1039" s="36"/>
    </row>
    <row r="1040" spans="1:20" s="38" customFormat="1" hidden="1" x14ac:dyDescent="0.3">
      <c r="A1040" s="36" t="str">
        <f xml:space="preserve"> IF( 'From SvanPC++'!A1030= "", "", ('From SvanPC++'!A1030))</f>
        <v/>
      </c>
      <c r="B1040" s="36"/>
      <c r="C1040" s="36"/>
      <c r="D1040" s="36"/>
      <c r="E1040" s="47"/>
      <c r="F1040" s="19"/>
      <c r="I1040" s="19"/>
      <c r="S1040" s="36"/>
      <c r="T1040" s="36"/>
    </row>
    <row r="1041" spans="1:20" s="38" customFormat="1" hidden="1" x14ac:dyDescent="0.3">
      <c r="A1041" s="36" t="str">
        <f xml:space="preserve"> IF( 'From SvanPC++'!A1031= "", "", ('From SvanPC++'!A1031))</f>
        <v/>
      </c>
      <c r="B1041" s="36"/>
      <c r="C1041" s="36"/>
      <c r="D1041" s="36"/>
      <c r="E1041" s="47"/>
      <c r="F1041" s="19"/>
      <c r="I1041" s="19"/>
      <c r="S1041" s="36"/>
      <c r="T1041" s="36"/>
    </row>
    <row r="1042" spans="1:20" s="38" customFormat="1" hidden="1" x14ac:dyDescent="0.3">
      <c r="A1042" s="36" t="str">
        <f xml:space="preserve"> IF( 'From SvanPC++'!A1032= "", "", ('From SvanPC++'!A1032))</f>
        <v/>
      </c>
      <c r="B1042" s="36"/>
      <c r="C1042" s="36"/>
      <c r="D1042" s="36"/>
      <c r="E1042" s="47"/>
      <c r="F1042" s="19"/>
      <c r="I1042" s="19"/>
      <c r="S1042" s="36"/>
      <c r="T1042" s="36"/>
    </row>
    <row r="1043" spans="1:20" s="38" customFormat="1" hidden="1" x14ac:dyDescent="0.3">
      <c r="A1043" s="36" t="str">
        <f xml:space="preserve"> IF( 'From SvanPC++'!A1033= "", "", ('From SvanPC++'!A1033))</f>
        <v/>
      </c>
      <c r="B1043" s="36"/>
      <c r="C1043" s="36"/>
      <c r="D1043" s="36"/>
      <c r="E1043" s="47"/>
      <c r="F1043" s="19"/>
      <c r="I1043" s="19"/>
      <c r="S1043" s="36"/>
      <c r="T1043" s="36"/>
    </row>
    <row r="1044" spans="1:20" s="38" customFormat="1" hidden="1" x14ac:dyDescent="0.3">
      <c r="A1044" s="36" t="str">
        <f xml:space="preserve"> IF( 'From SvanPC++'!A1034= "", "", ('From SvanPC++'!A1034))</f>
        <v/>
      </c>
      <c r="B1044" s="36"/>
      <c r="C1044" s="36"/>
      <c r="D1044" s="36"/>
      <c r="E1044" s="47"/>
      <c r="F1044" s="19"/>
      <c r="I1044" s="19"/>
      <c r="S1044" s="36"/>
      <c r="T1044" s="36"/>
    </row>
    <row r="1045" spans="1:20" s="38" customFormat="1" hidden="1" x14ac:dyDescent="0.3">
      <c r="A1045" s="36" t="str">
        <f xml:space="preserve"> IF( 'From SvanPC++'!A1035= "", "", ('From SvanPC++'!A1035))</f>
        <v/>
      </c>
      <c r="B1045" s="36"/>
      <c r="C1045" s="36"/>
      <c r="D1045" s="36"/>
      <c r="E1045" s="47"/>
      <c r="F1045" s="19"/>
      <c r="I1045" s="19"/>
      <c r="S1045" s="36"/>
      <c r="T1045" s="36"/>
    </row>
    <row r="1046" spans="1:20" s="38" customFormat="1" hidden="1" x14ac:dyDescent="0.3">
      <c r="A1046" s="36" t="str">
        <f xml:space="preserve"> IF( 'From SvanPC++'!A1036= "", "", ('From SvanPC++'!A1036))</f>
        <v/>
      </c>
      <c r="B1046" s="36"/>
      <c r="C1046" s="36"/>
      <c r="D1046" s="36"/>
      <c r="E1046" s="47"/>
      <c r="F1046" s="19"/>
      <c r="I1046" s="19"/>
      <c r="S1046" s="36"/>
      <c r="T1046" s="36"/>
    </row>
    <row r="1047" spans="1:20" s="38" customFormat="1" hidden="1" x14ac:dyDescent="0.3">
      <c r="A1047" s="36" t="str">
        <f xml:space="preserve"> IF( 'From SvanPC++'!A1037= "", "", ('From SvanPC++'!A1037))</f>
        <v/>
      </c>
      <c r="B1047" s="36"/>
      <c r="C1047" s="36"/>
      <c r="D1047" s="36"/>
      <c r="E1047" s="47"/>
      <c r="F1047" s="19"/>
      <c r="I1047" s="19"/>
      <c r="S1047" s="36"/>
      <c r="T1047" s="36"/>
    </row>
    <row r="1048" spans="1:20" s="38" customFormat="1" hidden="1" x14ac:dyDescent="0.3">
      <c r="A1048" s="36" t="str">
        <f xml:space="preserve"> IF( 'From SvanPC++'!A1038= "", "", ('From SvanPC++'!A1038))</f>
        <v/>
      </c>
      <c r="B1048" s="36"/>
      <c r="C1048" s="36"/>
      <c r="D1048" s="36"/>
      <c r="E1048" s="47"/>
      <c r="F1048" s="19"/>
      <c r="I1048" s="19"/>
      <c r="S1048" s="36"/>
      <c r="T1048" s="36"/>
    </row>
    <row r="1049" spans="1:20" s="38" customFormat="1" hidden="1" x14ac:dyDescent="0.3">
      <c r="A1049" s="36" t="str">
        <f xml:space="preserve"> IF( 'From SvanPC++'!A1039= "", "", ('From SvanPC++'!A1039))</f>
        <v/>
      </c>
      <c r="B1049" s="36"/>
      <c r="C1049" s="36"/>
      <c r="D1049" s="36"/>
      <c r="E1049" s="47"/>
      <c r="F1049" s="19"/>
      <c r="I1049" s="19"/>
      <c r="S1049" s="36"/>
      <c r="T1049" s="36"/>
    </row>
    <row r="1050" spans="1:20" s="38" customFormat="1" hidden="1" x14ac:dyDescent="0.3">
      <c r="A1050" s="36" t="str">
        <f xml:space="preserve"> IF( 'From SvanPC++'!A1040= "", "", ('From SvanPC++'!A1040))</f>
        <v/>
      </c>
      <c r="B1050" s="36"/>
      <c r="C1050" s="36"/>
      <c r="D1050" s="36"/>
      <c r="E1050" s="47"/>
      <c r="F1050" s="19"/>
      <c r="I1050" s="19"/>
      <c r="S1050" s="36"/>
      <c r="T1050" s="36"/>
    </row>
    <row r="1051" spans="1:20" s="38" customFormat="1" hidden="1" x14ac:dyDescent="0.3">
      <c r="A1051" s="36" t="str">
        <f xml:space="preserve"> IF( 'From SvanPC++'!A1041= "", "", ('From SvanPC++'!A1041))</f>
        <v/>
      </c>
      <c r="B1051" s="36"/>
      <c r="C1051" s="36"/>
      <c r="D1051" s="36"/>
      <c r="E1051" s="47"/>
      <c r="F1051" s="19"/>
      <c r="I1051" s="19"/>
      <c r="S1051" s="36"/>
      <c r="T1051" s="36"/>
    </row>
    <row r="1052" spans="1:20" s="38" customFormat="1" hidden="1" x14ac:dyDescent="0.3">
      <c r="A1052" s="36" t="str">
        <f xml:space="preserve"> IF( 'From SvanPC++'!A1042= "", "", ('From SvanPC++'!A1042))</f>
        <v/>
      </c>
      <c r="B1052" s="36"/>
      <c r="C1052" s="36"/>
      <c r="D1052" s="36"/>
      <c r="E1052" s="47"/>
      <c r="F1052" s="19"/>
      <c r="I1052" s="19"/>
      <c r="S1052" s="36"/>
      <c r="T1052" s="36"/>
    </row>
    <row r="1053" spans="1:20" s="38" customFormat="1" hidden="1" x14ac:dyDescent="0.3">
      <c r="A1053" s="36" t="str">
        <f xml:space="preserve"> IF( 'From SvanPC++'!A1043= "", "", ('From SvanPC++'!A1043))</f>
        <v/>
      </c>
      <c r="B1053" s="36"/>
      <c r="C1053" s="36"/>
      <c r="D1053" s="36"/>
      <c r="E1053" s="47"/>
      <c r="F1053" s="19"/>
      <c r="I1053" s="19"/>
      <c r="S1053" s="36"/>
      <c r="T1053" s="36"/>
    </row>
    <row r="1054" spans="1:20" s="38" customFormat="1" hidden="1" x14ac:dyDescent="0.3">
      <c r="A1054" s="36" t="str">
        <f xml:space="preserve"> IF( 'From SvanPC++'!A1044= "", "", ('From SvanPC++'!A1044))</f>
        <v/>
      </c>
      <c r="B1054" s="36"/>
      <c r="C1054" s="36"/>
      <c r="D1054" s="36"/>
      <c r="E1054" s="47"/>
      <c r="F1054" s="19"/>
      <c r="I1054" s="19"/>
      <c r="S1054" s="36"/>
      <c r="T1054" s="36"/>
    </row>
    <row r="1055" spans="1:20" s="38" customFormat="1" hidden="1" x14ac:dyDescent="0.3">
      <c r="A1055" s="36" t="str">
        <f xml:space="preserve"> IF( 'From SvanPC++'!A1045= "", "", ('From SvanPC++'!A1045))</f>
        <v/>
      </c>
      <c r="B1055" s="36"/>
      <c r="C1055" s="36"/>
      <c r="D1055" s="36"/>
      <c r="E1055" s="47"/>
      <c r="F1055" s="19"/>
      <c r="I1055" s="19"/>
      <c r="S1055" s="36"/>
      <c r="T1055" s="36"/>
    </row>
    <row r="1056" spans="1:20" s="38" customFormat="1" hidden="1" x14ac:dyDescent="0.3">
      <c r="A1056" s="36" t="str">
        <f xml:space="preserve"> IF( 'From SvanPC++'!A1046= "", "", ('From SvanPC++'!A1046))</f>
        <v/>
      </c>
      <c r="B1056" s="36"/>
      <c r="C1056" s="36"/>
      <c r="D1056" s="36"/>
      <c r="E1056" s="47"/>
      <c r="F1056" s="19"/>
      <c r="I1056" s="19"/>
      <c r="S1056" s="36"/>
      <c r="T1056" s="36"/>
    </row>
    <row r="1057" spans="1:20" s="38" customFormat="1" hidden="1" x14ac:dyDescent="0.3">
      <c r="A1057" s="36" t="str">
        <f xml:space="preserve"> IF( 'From SvanPC++'!A1047= "", "", ('From SvanPC++'!A1047))</f>
        <v/>
      </c>
      <c r="B1057" s="36"/>
      <c r="C1057" s="36"/>
      <c r="D1057" s="36"/>
      <c r="E1057" s="47"/>
      <c r="F1057" s="19"/>
      <c r="I1057" s="19"/>
      <c r="S1057" s="36"/>
      <c r="T1057" s="36"/>
    </row>
    <row r="1058" spans="1:20" s="38" customFormat="1" hidden="1" x14ac:dyDescent="0.3">
      <c r="A1058" s="36" t="str">
        <f xml:space="preserve"> IF( 'From SvanPC++'!A1048= "", "", ('From SvanPC++'!A1048))</f>
        <v/>
      </c>
      <c r="B1058" s="36"/>
      <c r="C1058" s="36"/>
      <c r="D1058" s="36"/>
      <c r="E1058" s="47"/>
      <c r="F1058" s="19"/>
      <c r="I1058" s="19"/>
      <c r="S1058" s="36"/>
      <c r="T1058" s="36"/>
    </row>
    <row r="1059" spans="1:20" s="38" customFormat="1" hidden="1" x14ac:dyDescent="0.3">
      <c r="A1059" s="36" t="str">
        <f xml:space="preserve"> IF( 'From SvanPC++'!A1049= "", "", ('From SvanPC++'!A1049))</f>
        <v/>
      </c>
      <c r="B1059" s="36"/>
      <c r="C1059" s="36"/>
      <c r="D1059" s="36"/>
      <c r="E1059" s="47"/>
      <c r="F1059" s="19"/>
      <c r="I1059" s="19"/>
      <c r="S1059" s="36"/>
      <c r="T1059" s="36"/>
    </row>
    <row r="1060" spans="1:20" s="38" customFormat="1" hidden="1" x14ac:dyDescent="0.3">
      <c r="A1060" s="36" t="str">
        <f xml:space="preserve"> IF( 'From SvanPC++'!A1050= "", "", ('From SvanPC++'!A1050))</f>
        <v/>
      </c>
      <c r="B1060" s="36"/>
      <c r="C1060" s="36"/>
      <c r="D1060" s="36"/>
      <c r="E1060" s="47"/>
      <c r="F1060" s="19"/>
      <c r="I1060" s="19"/>
      <c r="S1060" s="36"/>
      <c r="T1060" s="36"/>
    </row>
    <row r="1061" spans="1:20" s="38" customFormat="1" hidden="1" x14ac:dyDescent="0.3">
      <c r="A1061" s="36" t="str">
        <f xml:space="preserve"> IF( 'From SvanPC++'!A1051= "", "", ('From SvanPC++'!A1051))</f>
        <v/>
      </c>
      <c r="B1061" s="36"/>
      <c r="C1061" s="36"/>
      <c r="D1061" s="36"/>
      <c r="E1061" s="47"/>
      <c r="F1061" s="19"/>
      <c r="I1061" s="19"/>
      <c r="S1061" s="36"/>
      <c r="T1061" s="36"/>
    </row>
    <row r="1062" spans="1:20" s="38" customFormat="1" hidden="1" x14ac:dyDescent="0.3">
      <c r="A1062" s="36" t="str">
        <f xml:space="preserve"> IF( 'From SvanPC++'!A1052= "", "", ('From SvanPC++'!A1052))</f>
        <v/>
      </c>
      <c r="B1062" s="36"/>
      <c r="C1062" s="36"/>
      <c r="D1062" s="36"/>
      <c r="E1062" s="47"/>
      <c r="F1062" s="19"/>
      <c r="I1062" s="19"/>
      <c r="S1062" s="36"/>
      <c r="T1062" s="36"/>
    </row>
    <row r="1063" spans="1:20" s="38" customFormat="1" hidden="1" x14ac:dyDescent="0.3">
      <c r="A1063" s="36" t="str">
        <f xml:space="preserve"> IF( 'From SvanPC++'!A1053= "", "", ('From SvanPC++'!A1053))</f>
        <v/>
      </c>
      <c r="B1063" s="36"/>
      <c r="C1063" s="36"/>
      <c r="D1063" s="36"/>
      <c r="E1063" s="47"/>
      <c r="F1063" s="19"/>
      <c r="I1063" s="19"/>
      <c r="S1063" s="36"/>
      <c r="T1063" s="36"/>
    </row>
    <row r="1064" spans="1:20" s="38" customFormat="1" hidden="1" x14ac:dyDescent="0.3">
      <c r="A1064" s="36" t="str">
        <f xml:space="preserve"> IF( 'From SvanPC++'!A1054= "", "", ('From SvanPC++'!A1054))</f>
        <v/>
      </c>
      <c r="B1064" s="36"/>
      <c r="C1064" s="36"/>
      <c r="D1064" s="36"/>
      <c r="E1064" s="47"/>
      <c r="F1064" s="19"/>
      <c r="I1064" s="19"/>
      <c r="S1064" s="36"/>
      <c r="T1064" s="36"/>
    </row>
    <row r="1065" spans="1:20" s="38" customFormat="1" hidden="1" x14ac:dyDescent="0.3">
      <c r="A1065" s="36" t="str">
        <f xml:space="preserve"> IF( 'From SvanPC++'!A1055= "", "", ('From SvanPC++'!A1055))</f>
        <v/>
      </c>
      <c r="B1065" s="36"/>
      <c r="C1065" s="36"/>
      <c r="D1065" s="36"/>
      <c r="E1065" s="47"/>
      <c r="F1065" s="19"/>
      <c r="I1065" s="19"/>
      <c r="S1065" s="36"/>
      <c r="T1065" s="36"/>
    </row>
    <row r="1066" spans="1:20" s="38" customFormat="1" hidden="1" x14ac:dyDescent="0.3">
      <c r="A1066" s="36" t="str">
        <f xml:space="preserve"> IF( 'From SvanPC++'!A1056= "", "", ('From SvanPC++'!A1056))</f>
        <v/>
      </c>
      <c r="B1066" s="36"/>
      <c r="C1066" s="36"/>
      <c r="D1066" s="36"/>
      <c r="E1066" s="47"/>
      <c r="F1066" s="19"/>
      <c r="I1066" s="19"/>
      <c r="S1066" s="36"/>
      <c r="T1066" s="36"/>
    </row>
    <row r="1067" spans="1:20" s="38" customFormat="1" hidden="1" x14ac:dyDescent="0.3">
      <c r="A1067" s="36" t="str">
        <f xml:space="preserve"> IF( 'From SvanPC++'!A1057= "", "", ('From SvanPC++'!A1057))</f>
        <v/>
      </c>
      <c r="B1067" s="36"/>
      <c r="C1067" s="36"/>
      <c r="D1067" s="36"/>
      <c r="E1067" s="47"/>
      <c r="F1067" s="19"/>
      <c r="I1067" s="19"/>
      <c r="S1067" s="36"/>
      <c r="T1067" s="36"/>
    </row>
    <row r="1068" spans="1:20" s="38" customFormat="1" hidden="1" x14ac:dyDescent="0.3">
      <c r="A1068" s="36" t="str">
        <f xml:space="preserve"> IF( 'From SvanPC++'!A1058= "", "", ('From SvanPC++'!A1058))</f>
        <v/>
      </c>
      <c r="B1068" s="36"/>
      <c r="C1068" s="36"/>
      <c r="D1068" s="36"/>
      <c r="E1068" s="47"/>
      <c r="F1068" s="19"/>
      <c r="I1068" s="19"/>
      <c r="S1068" s="36"/>
      <c r="T1068" s="36"/>
    </row>
    <row r="1069" spans="1:20" s="38" customFormat="1" hidden="1" x14ac:dyDescent="0.3">
      <c r="A1069" s="36" t="str">
        <f xml:space="preserve"> IF( 'From SvanPC++'!A1059= "", "", ('From SvanPC++'!A1059))</f>
        <v/>
      </c>
      <c r="B1069" s="36"/>
      <c r="C1069" s="36"/>
      <c r="D1069" s="36"/>
      <c r="E1069" s="47"/>
      <c r="F1069" s="19"/>
      <c r="I1069" s="19"/>
      <c r="S1069" s="36"/>
      <c r="T1069" s="36"/>
    </row>
    <row r="1070" spans="1:20" s="38" customFormat="1" hidden="1" x14ac:dyDescent="0.3">
      <c r="A1070" s="36" t="str">
        <f xml:space="preserve"> IF( 'From SvanPC++'!A1060= "", "", ('From SvanPC++'!A1060))</f>
        <v/>
      </c>
      <c r="B1070" s="36"/>
      <c r="C1070" s="36"/>
      <c r="D1070" s="36"/>
      <c r="E1070" s="47"/>
      <c r="F1070" s="19"/>
      <c r="I1070" s="19"/>
      <c r="S1070" s="36"/>
      <c r="T1070" s="36"/>
    </row>
    <row r="1071" spans="1:20" s="38" customFormat="1" hidden="1" x14ac:dyDescent="0.3">
      <c r="A1071" s="36" t="str">
        <f xml:space="preserve"> IF( 'From SvanPC++'!A1061= "", "", ('From SvanPC++'!A1061))</f>
        <v/>
      </c>
      <c r="B1071" s="36"/>
      <c r="C1071" s="36"/>
      <c r="D1071" s="36"/>
      <c r="E1071" s="47"/>
      <c r="F1071" s="19"/>
      <c r="I1071" s="19"/>
      <c r="S1071" s="36"/>
      <c r="T1071" s="36"/>
    </row>
    <row r="1072" spans="1:20" s="38" customFormat="1" hidden="1" x14ac:dyDescent="0.3">
      <c r="A1072" s="36" t="str">
        <f xml:space="preserve"> IF( 'From SvanPC++'!A1062= "", "", ('From SvanPC++'!A1062))</f>
        <v/>
      </c>
      <c r="B1072" s="36"/>
      <c r="C1072" s="36"/>
      <c r="D1072" s="36"/>
      <c r="E1072" s="47"/>
      <c r="F1072" s="19"/>
      <c r="I1072" s="19"/>
      <c r="S1072" s="36"/>
      <c r="T1072" s="36"/>
    </row>
    <row r="1073" spans="1:20" s="38" customFormat="1" hidden="1" x14ac:dyDescent="0.3">
      <c r="A1073" s="36" t="str">
        <f xml:space="preserve"> IF( 'From SvanPC++'!A1063= "", "", ('From SvanPC++'!A1063))</f>
        <v/>
      </c>
      <c r="B1073" s="36"/>
      <c r="C1073" s="36"/>
      <c r="D1073" s="36"/>
      <c r="E1073" s="47"/>
      <c r="F1073" s="19"/>
      <c r="I1073" s="19"/>
      <c r="S1073" s="36"/>
      <c r="T1073" s="36"/>
    </row>
    <row r="1074" spans="1:20" s="38" customFormat="1" hidden="1" x14ac:dyDescent="0.3">
      <c r="A1074" s="36" t="str">
        <f xml:space="preserve"> IF( 'From SvanPC++'!A1064= "", "", ('From SvanPC++'!A1064))</f>
        <v/>
      </c>
      <c r="B1074" s="36"/>
      <c r="C1074" s="36"/>
      <c r="D1074" s="36"/>
      <c r="E1074" s="47"/>
      <c r="F1074" s="19"/>
      <c r="I1074" s="19"/>
      <c r="S1074" s="36"/>
      <c r="T1074" s="36"/>
    </row>
    <row r="1075" spans="1:20" s="38" customFormat="1" hidden="1" x14ac:dyDescent="0.3">
      <c r="A1075" s="36" t="str">
        <f xml:space="preserve"> IF( 'From SvanPC++'!A1065= "", "", ('From SvanPC++'!A1065))</f>
        <v/>
      </c>
      <c r="B1075" s="36"/>
      <c r="C1075" s="36"/>
      <c r="D1075" s="36"/>
      <c r="E1075" s="47"/>
      <c r="F1075" s="19"/>
      <c r="I1075" s="19"/>
      <c r="S1075" s="36"/>
      <c r="T1075" s="36"/>
    </row>
    <row r="1076" spans="1:20" s="38" customFormat="1" hidden="1" x14ac:dyDescent="0.3">
      <c r="A1076" s="36" t="str">
        <f xml:space="preserve"> IF( 'From SvanPC++'!A1066= "", "", ('From SvanPC++'!A1066))</f>
        <v/>
      </c>
      <c r="B1076" s="36"/>
      <c r="C1076" s="36"/>
      <c r="D1076" s="36"/>
      <c r="E1076" s="47"/>
      <c r="F1076" s="19"/>
      <c r="I1076" s="19"/>
      <c r="S1076" s="36"/>
      <c r="T1076" s="36"/>
    </row>
    <row r="1077" spans="1:20" s="38" customFormat="1" hidden="1" x14ac:dyDescent="0.3">
      <c r="A1077" s="36" t="str">
        <f xml:space="preserve"> IF( 'From SvanPC++'!A1067= "", "", ('From SvanPC++'!A1067))</f>
        <v/>
      </c>
      <c r="B1077" s="36"/>
      <c r="C1077" s="36"/>
      <c r="D1077" s="36"/>
      <c r="E1077" s="47"/>
      <c r="F1077" s="19"/>
      <c r="I1077" s="19"/>
      <c r="S1077" s="36"/>
      <c r="T1077" s="36"/>
    </row>
    <row r="1078" spans="1:20" s="38" customFormat="1" hidden="1" x14ac:dyDescent="0.3">
      <c r="A1078" s="36" t="str">
        <f xml:space="preserve"> IF( 'From SvanPC++'!A1068= "", "", ('From SvanPC++'!A1068))</f>
        <v/>
      </c>
      <c r="B1078" s="36"/>
      <c r="C1078" s="36"/>
      <c r="D1078" s="36"/>
      <c r="E1078" s="47"/>
      <c r="F1078" s="19"/>
      <c r="I1078" s="19"/>
      <c r="S1078" s="36"/>
      <c r="T1078" s="36"/>
    </row>
    <row r="1079" spans="1:20" s="38" customFormat="1" hidden="1" x14ac:dyDescent="0.3">
      <c r="A1079" s="36" t="str">
        <f xml:space="preserve"> IF( 'From SvanPC++'!A1069= "", "", ('From SvanPC++'!A1069))</f>
        <v/>
      </c>
      <c r="B1079" s="36"/>
      <c r="C1079" s="36"/>
      <c r="D1079" s="36"/>
      <c r="E1079" s="47"/>
      <c r="F1079" s="19"/>
      <c r="I1079" s="19"/>
      <c r="S1079" s="36"/>
      <c r="T1079" s="36"/>
    </row>
    <row r="1080" spans="1:20" s="38" customFormat="1" hidden="1" x14ac:dyDescent="0.3">
      <c r="A1080" s="36" t="str">
        <f xml:space="preserve"> IF( 'From SvanPC++'!A1070= "", "", ('From SvanPC++'!A1070))</f>
        <v/>
      </c>
      <c r="B1080" s="36"/>
      <c r="C1080" s="36"/>
      <c r="D1080" s="36"/>
      <c r="E1080" s="47"/>
      <c r="F1080" s="19"/>
      <c r="I1080" s="19"/>
      <c r="S1080" s="36"/>
      <c r="T1080" s="36"/>
    </row>
    <row r="1081" spans="1:20" s="38" customFormat="1" hidden="1" x14ac:dyDescent="0.3">
      <c r="A1081" s="36" t="str">
        <f xml:space="preserve"> IF( 'From SvanPC++'!A1071= "", "", ('From SvanPC++'!A1071))</f>
        <v/>
      </c>
      <c r="B1081" s="36"/>
      <c r="C1081" s="36"/>
      <c r="D1081" s="36"/>
      <c r="E1081" s="47"/>
      <c r="F1081" s="19"/>
      <c r="I1081" s="19"/>
      <c r="S1081" s="36"/>
      <c r="T1081" s="36"/>
    </row>
    <row r="1082" spans="1:20" s="38" customFormat="1" hidden="1" x14ac:dyDescent="0.3">
      <c r="A1082" s="36" t="str">
        <f xml:space="preserve"> IF( 'From SvanPC++'!A1072= "", "", ('From SvanPC++'!A1072))</f>
        <v/>
      </c>
      <c r="B1082" s="36"/>
      <c r="C1082" s="36"/>
      <c r="D1082" s="36"/>
      <c r="E1082" s="47"/>
      <c r="F1082" s="19"/>
      <c r="I1082" s="19"/>
      <c r="S1082" s="36"/>
      <c r="T1082" s="36"/>
    </row>
    <row r="1083" spans="1:20" s="38" customFormat="1" hidden="1" x14ac:dyDescent="0.3">
      <c r="A1083" s="36" t="str">
        <f xml:space="preserve"> IF( 'From SvanPC++'!A1073= "", "", ('From SvanPC++'!A1073))</f>
        <v/>
      </c>
      <c r="B1083" s="36"/>
      <c r="C1083" s="36"/>
      <c r="D1083" s="36"/>
      <c r="E1083" s="47"/>
      <c r="F1083" s="19"/>
      <c r="I1083" s="19"/>
      <c r="S1083" s="36"/>
      <c r="T1083" s="36"/>
    </row>
    <row r="1084" spans="1:20" s="38" customFormat="1" hidden="1" x14ac:dyDescent="0.3">
      <c r="A1084" s="36" t="str">
        <f xml:space="preserve"> IF( 'From SvanPC++'!A1074= "", "", ('From SvanPC++'!A1074))</f>
        <v/>
      </c>
      <c r="B1084" s="36"/>
      <c r="C1084" s="36"/>
      <c r="D1084" s="36"/>
      <c r="E1084" s="47"/>
      <c r="F1084" s="19"/>
      <c r="I1084" s="19"/>
      <c r="S1084" s="36"/>
      <c r="T1084" s="36"/>
    </row>
    <row r="1085" spans="1:20" s="38" customFormat="1" hidden="1" x14ac:dyDescent="0.3">
      <c r="A1085" s="36" t="str">
        <f xml:space="preserve"> IF( 'From SvanPC++'!A1075= "", "", ('From SvanPC++'!A1075))</f>
        <v/>
      </c>
      <c r="B1085" s="36"/>
      <c r="C1085" s="36"/>
      <c r="D1085" s="36"/>
      <c r="E1085" s="47"/>
      <c r="F1085" s="19"/>
      <c r="I1085" s="19"/>
      <c r="S1085" s="36"/>
      <c r="T1085" s="36"/>
    </row>
    <row r="1086" spans="1:20" s="38" customFormat="1" hidden="1" x14ac:dyDescent="0.3">
      <c r="A1086" s="36" t="str">
        <f xml:space="preserve"> IF( 'From SvanPC++'!A1076= "", "", ('From SvanPC++'!A1076))</f>
        <v/>
      </c>
      <c r="B1086" s="36"/>
      <c r="C1086" s="36"/>
      <c r="D1086" s="36"/>
      <c r="E1086" s="47"/>
      <c r="F1086" s="19"/>
      <c r="I1086" s="19"/>
      <c r="S1086" s="36"/>
      <c r="T1086" s="36"/>
    </row>
    <row r="1087" spans="1:20" s="38" customFormat="1" hidden="1" x14ac:dyDescent="0.3">
      <c r="A1087" s="36" t="str">
        <f xml:space="preserve"> IF( 'From SvanPC++'!A1077= "", "", ('From SvanPC++'!A1077))</f>
        <v/>
      </c>
      <c r="B1087" s="36"/>
      <c r="C1087" s="36"/>
      <c r="D1087" s="36"/>
      <c r="E1087" s="47"/>
      <c r="F1087" s="19"/>
      <c r="I1087" s="19"/>
      <c r="S1087" s="36"/>
      <c r="T1087" s="36"/>
    </row>
    <row r="1088" spans="1:20" s="38" customFormat="1" hidden="1" x14ac:dyDescent="0.3">
      <c r="A1088" s="36" t="str">
        <f xml:space="preserve"> IF( 'From SvanPC++'!A1078= "", "", ('From SvanPC++'!A1078))</f>
        <v/>
      </c>
      <c r="B1088" s="36"/>
      <c r="C1088" s="36"/>
      <c r="D1088" s="36"/>
      <c r="E1088" s="47"/>
      <c r="F1088" s="19"/>
      <c r="I1088" s="19"/>
      <c r="S1088" s="36"/>
      <c r="T1088" s="36"/>
    </row>
    <row r="1089" spans="1:20" s="38" customFormat="1" hidden="1" x14ac:dyDescent="0.3">
      <c r="A1089" s="36" t="str">
        <f xml:space="preserve"> IF( 'From SvanPC++'!A1079= "", "", ('From SvanPC++'!A1079))</f>
        <v/>
      </c>
      <c r="B1089" s="36"/>
      <c r="C1089" s="36"/>
      <c r="D1089" s="36"/>
      <c r="E1089" s="47"/>
      <c r="F1089" s="19"/>
      <c r="I1089" s="19"/>
      <c r="S1089" s="36"/>
      <c r="T1089" s="36"/>
    </row>
    <row r="1090" spans="1:20" s="38" customFormat="1" hidden="1" x14ac:dyDescent="0.3">
      <c r="A1090" s="36" t="str">
        <f xml:space="preserve"> IF( 'From SvanPC++'!A1080= "", "", ('From SvanPC++'!A1080))</f>
        <v/>
      </c>
      <c r="B1090" s="36"/>
      <c r="C1090" s="36"/>
      <c r="D1090" s="36"/>
      <c r="E1090" s="47"/>
      <c r="F1090" s="19"/>
      <c r="I1090" s="19"/>
      <c r="S1090" s="36"/>
      <c r="T1090" s="36"/>
    </row>
    <row r="1091" spans="1:20" s="38" customFormat="1" hidden="1" x14ac:dyDescent="0.3">
      <c r="A1091" s="36" t="str">
        <f xml:space="preserve"> IF( 'From SvanPC++'!A1081= "", "", ('From SvanPC++'!A1081))</f>
        <v/>
      </c>
      <c r="B1091" s="36"/>
      <c r="C1091" s="36"/>
      <c r="D1091" s="36"/>
      <c r="E1091" s="47"/>
      <c r="F1091" s="19"/>
      <c r="I1091" s="19"/>
      <c r="S1091" s="36"/>
      <c r="T1091" s="36"/>
    </row>
    <row r="1092" spans="1:20" s="38" customFormat="1" hidden="1" x14ac:dyDescent="0.3">
      <c r="A1092" s="36" t="str">
        <f xml:space="preserve"> IF( 'From SvanPC++'!A1082= "", "", ('From SvanPC++'!A1082))</f>
        <v/>
      </c>
      <c r="B1092" s="36"/>
      <c r="C1092" s="36"/>
      <c r="D1092" s="36"/>
      <c r="E1092" s="47"/>
      <c r="F1092" s="19"/>
      <c r="I1092" s="19"/>
      <c r="S1092" s="36"/>
      <c r="T1092" s="36"/>
    </row>
    <row r="1093" spans="1:20" s="38" customFormat="1" hidden="1" x14ac:dyDescent="0.3">
      <c r="A1093" s="36" t="str">
        <f xml:space="preserve"> IF( 'From SvanPC++'!A1083= "", "", ('From SvanPC++'!A1083))</f>
        <v/>
      </c>
      <c r="B1093" s="36"/>
      <c r="C1093" s="36"/>
      <c r="D1093" s="36"/>
      <c r="E1093" s="47"/>
      <c r="F1093" s="19"/>
      <c r="I1093" s="19"/>
      <c r="S1093" s="36"/>
      <c r="T1093" s="36"/>
    </row>
    <row r="1094" spans="1:20" s="38" customFormat="1" hidden="1" x14ac:dyDescent="0.3">
      <c r="A1094" s="36" t="str">
        <f xml:space="preserve"> IF( 'From SvanPC++'!A1084= "", "", ('From SvanPC++'!A1084))</f>
        <v/>
      </c>
      <c r="B1094" s="36"/>
      <c r="C1094" s="36"/>
      <c r="D1094" s="36"/>
      <c r="E1094" s="47"/>
      <c r="F1094" s="19"/>
      <c r="I1094" s="19"/>
      <c r="S1094" s="36"/>
      <c r="T1094" s="36"/>
    </row>
    <row r="1095" spans="1:20" s="38" customFormat="1" hidden="1" x14ac:dyDescent="0.3">
      <c r="A1095" s="36" t="str">
        <f xml:space="preserve"> IF( 'From SvanPC++'!A1085= "", "", ('From SvanPC++'!A1085))</f>
        <v/>
      </c>
      <c r="B1095" s="36"/>
      <c r="C1095" s="36"/>
      <c r="D1095" s="36"/>
      <c r="E1095" s="47"/>
      <c r="F1095" s="19"/>
      <c r="I1095" s="19"/>
      <c r="S1095" s="36"/>
      <c r="T1095" s="36"/>
    </row>
    <row r="1096" spans="1:20" s="38" customFormat="1" hidden="1" x14ac:dyDescent="0.3">
      <c r="A1096" s="36" t="str">
        <f xml:space="preserve"> IF( 'From SvanPC++'!A1086= "", "", ('From SvanPC++'!A1086))</f>
        <v/>
      </c>
      <c r="B1096" s="36"/>
      <c r="C1096" s="36"/>
      <c r="D1096" s="36"/>
      <c r="E1096" s="47"/>
      <c r="F1096" s="19"/>
      <c r="I1096" s="19"/>
      <c r="S1096" s="36"/>
      <c r="T1096" s="36"/>
    </row>
    <row r="1097" spans="1:20" s="38" customFormat="1" hidden="1" x14ac:dyDescent="0.3">
      <c r="A1097" s="36" t="str">
        <f xml:space="preserve"> IF( 'From SvanPC++'!A1087= "", "", ('From SvanPC++'!A1087))</f>
        <v/>
      </c>
      <c r="B1097" s="36"/>
      <c r="C1097" s="36"/>
      <c r="D1097" s="36"/>
      <c r="E1097" s="47"/>
      <c r="F1097" s="19"/>
      <c r="I1097" s="19"/>
      <c r="S1097" s="36"/>
      <c r="T1097" s="36"/>
    </row>
    <row r="1098" spans="1:20" s="38" customFormat="1" hidden="1" x14ac:dyDescent="0.3">
      <c r="A1098" s="36" t="str">
        <f xml:space="preserve"> IF( 'From SvanPC++'!A1088= "", "", ('From SvanPC++'!A1088))</f>
        <v/>
      </c>
      <c r="B1098" s="36"/>
      <c r="C1098" s="36"/>
      <c r="D1098" s="36"/>
      <c r="E1098" s="47"/>
      <c r="F1098" s="19"/>
      <c r="I1098" s="19"/>
      <c r="S1098" s="36"/>
      <c r="T1098" s="36"/>
    </row>
    <row r="1099" spans="1:20" s="38" customFormat="1" hidden="1" x14ac:dyDescent="0.3">
      <c r="A1099" s="36" t="str">
        <f xml:space="preserve"> IF( 'From SvanPC++'!A1089= "", "", ('From SvanPC++'!A1089))</f>
        <v/>
      </c>
      <c r="B1099" s="36"/>
      <c r="C1099" s="36"/>
      <c r="D1099" s="36"/>
      <c r="E1099" s="47"/>
      <c r="F1099" s="19"/>
      <c r="I1099" s="19"/>
      <c r="S1099" s="36"/>
      <c r="T1099" s="36"/>
    </row>
    <row r="1100" spans="1:20" s="38" customFormat="1" hidden="1" x14ac:dyDescent="0.3">
      <c r="A1100" s="36" t="str">
        <f xml:space="preserve"> IF( 'From SvanPC++'!A1090= "", "", ('From SvanPC++'!A1090))</f>
        <v/>
      </c>
      <c r="B1100" s="36"/>
      <c r="C1100" s="36"/>
      <c r="D1100" s="36"/>
      <c r="E1100" s="47"/>
      <c r="F1100" s="19"/>
      <c r="I1100" s="19"/>
      <c r="S1100" s="36"/>
      <c r="T1100" s="36"/>
    </row>
    <row r="1101" spans="1:20" s="38" customFormat="1" hidden="1" x14ac:dyDescent="0.3">
      <c r="A1101" s="36" t="str">
        <f xml:space="preserve"> IF( 'From SvanPC++'!A1091= "", "", ('From SvanPC++'!A1091))</f>
        <v/>
      </c>
      <c r="B1101" s="36"/>
      <c r="C1101" s="36"/>
      <c r="D1101" s="36"/>
      <c r="E1101" s="47"/>
      <c r="F1101" s="19"/>
      <c r="I1101" s="19"/>
      <c r="S1101" s="36"/>
      <c r="T1101" s="36"/>
    </row>
    <row r="1102" spans="1:20" s="38" customFormat="1" hidden="1" x14ac:dyDescent="0.3">
      <c r="A1102" s="36" t="str">
        <f xml:space="preserve"> IF( 'From SvanPC++'!A1092= "", "", ('From SvanPC++'!A1092))</f>
        <v/>
      </c>
      <c r="B1102" s="36"/>
      <c r="C1102" s="36"/>
      <c r="D1102" s="36"/>
      <c r="E1102" s="47"/>
      <c r="F1102" s="19"/>
      <c r="I1102" s="19"/>
      <c r="S1102" s="36"/>
      <c r="T1102" s="36"/>
    </row>
    <row r="1103" spans="1:20" s="38" customFormat="1" hidden="1" x14ac:dyDescent="0.3">
      <c r="A1103" s="36" t="str">
        <f xml:space="preserve"> IF( 'From SvanPC++'!A1093= "", "", ('From SvanPC++'!A1093))</f>
        <v/>
      </c>
      <c r="B1103" s="36"/>
      <c r="C1103" s="36"/>
      <c r="D1103" s="36"/>
      <c r="E1103" s="47"/>
      <c r="F1103" s="19"/>
      <c r="I1103" s="19"/>
      <c r="S1103" s="36"/>
      <c r="T1103" s="36"/>
    </row>
    <row r="1104" spans="1:20" s="38" customFormat="1" hidden="1" x14ac:dyDescent="0.3">
      <c r="A1104" s="36" t="str">
        <f xml:space="preserve"> IF( 'From SvanPC++'!A1094= "", "", ('From SvanPC++'!A1094))</f>
        <v/>
      </c>
      <c r="B1104" s="36"/>
      <c r="C1104" s="36"/>
      <c r="D1104" s="36"/>
      <c r="E1104" s="47"/>
      <c r="F1104" s="19"/>
      <c r="I1104" s="19"/>
      <c r="S1104" s="36"/>
      <c r="T1104" s="36"/>
    </row>
    <row r="1105" spans="1:20" s="38" customFormat="1" hidden="1" x14ac:dyDescent="0.3">
      <c r="A1105" s="36" t="str">
        <f xml:space="preserve"> IF( 'From SvanPC++'!A1095= "", "", ('From SvanPC++'!A1095))</f>
        <v/>
      </c>
      <c r="B1105" s="36"/>
      <c r="C1105" s="36"/>
      <c r="D1105" s="36"/>
      <c r="E1105" s="47"/>
      <c r="F1105" s="19"/>
      <c r="I1105" s="19"/>
      <c r="S1105" s="36"/>
      <c r="T1105" s="36"/>
    </row>
    <row r="1106" spans="1:20" s="38" customFormat="1" hidden="1" x14ac:dyDescent="0.3">
      <c r="A1106" s="36" t="str">
        <f xml:space="preserve"> IF( 'From SvanPC++'!A1096= "", "", ('From SvanPC++'!A1096))</f>
        <v/>
      </c>
      <c r="B1106" s="36"/>
      <c r="C1106" s="36"/>
      <c r="D1106" s="36"/>
      <c r="E1106" s="47"/>
      <c r="F1106" s="19"/>
      <c r="I1106" s="19"/>
      <c r="S1106" s="36"/>
      <c r="T1106" s="36"/>
    </row>
    <row r="1107" spans="1:20" s="38" customFormat="1" hidden="1" x14ac:dyDescent="0.3">
      <c r="A1107" s="36" t="str">
        <f xml:space="preserve"> IF( 'From SvanPC++'!A1097= "", "", ('From SvanPC++'!A1097))</f>
        <v/>
      </c>
      <c r="B1107" s="36"/>
      <c r="C1107" s="36"/>
      <c r="D1107" s="36"/>
      <c r="E1107" s="47"/>
      <c r="F1107" s="19"/>
      <c r="I1107" s="19"/>
      <c r="S1107" s="36"/>
      <c r="T1107" s="36"/>
    </row>
    <row r="1108" spans="1:20" s="38" customFormat="1" hidden="1" x14ac:dyDescent="0.3">
      <c r="A1108" s="36" t="str">
        <f xml:space="preserve"> IF( 'From SvanPC++'!A1098= "", "", ('From SvanPC++'!A1098))</f>
        <v/>
      </c>
      <c r="B1108" s="36"/>
      <c r="C1108" s="36"/>
      <c r="D1108" s="36"/>
      <c r="E1108" s="47"/>
      <c r="F1108" s="19"/>
      <c r="I1108" s="19"/>
      <c r="S1108" s="36"/>
      <c r="T1108" s="36"/>
    </row>
    <row r="1109" spans="1:20" s="38" customFormat="1" hidden="1" x14ac:dyDescent="0.3">
      <c r="A1109" s="36" t="str">
        <f xml:space="preserve"> IF( 'From SvanPC++'!A1099= "", "", ('From SvanPC++'!A1099))</f>
        <v/>
      </c>
      <c r="B1109" s="36"/>
      <c r="C1109" s="36"/>
      <c r="D1109" s="36"/>
      <c r="E1109" s="47"/>
      <c r="F1109" s="19"/>
      <c r="I1109" s="19"/>
      <c r="S1109" s="36"/>
      <c r="T1109" s="36"/>
    </row>
    <row r="1110" spans="1:20" s="38" customFormat="1" hidden="1" x14ac:dyDescent="0.3">
      <c r="A1110" s="36" t="str">
        <f xml:space="preserve"> IF( 'From SvanPC++'!A1100= "", "", ('From SvanPC++'!A1100))</f>
        <v/>
      </c>
      <c r="B1110" s="36"/>
      <c r="C1110" s="36"/>
      <c r="D1110" s="36"/>
      <c r="E1110" s="47"/>
      <c r="F1110" s="19"/>
      <c r="I1110" s="19"/>
      <c r="S1110" s="36"/>
      <c r="T1110" s="36"/>
    </row>
    <row r="1111" spans="1:20" s="38" customFormat="1" hidden="1" x14ac:dyDescent="0.3">
      <c r="A1111" s="36" t="str">
        <f xml:space="preserve"> IF( 'From SvanPC++'!A1101= "", "", ('From SvanPC++'!A1101))</f>
        <v/>
      </c>
      <c r="B1111" s="36"/>
      <c r="C1111" s="36"/>
      <c r="D1111" s="36"/>
      <c r="E1111" s="47"/>
      <c r="F1111" s="19"/>
      <c r="I1111" s="19"/>
      <c r="S1111" s="36"/>
      <c r="T1111" s="36"/>
    </row>
    <row r="1112" spans="1:20" s="38" customFormat="1" hidden="1" x14ac:dyDescent="0.3">
      <c r="A1112" s="36" t="str">
        <f xml:space="preserve"> IF( 'From SvanPC++'!A1102= "", "", ('From SvanPC++'!A1102))</f>
        <v/>
      </c>
      <c r="B1112" s="36"/>
      <c r="C1112" s="36"/>
      <c r="D1112" s="36"/>
      <c r="E1112" s="47"/>
      <c r="F1112" s="19"/>
      <c r="I1112" s="19"/>
      <c r="S1112" s="36"/>
      <c r="T1112" s="36"/>
    </row>
    <row r="1113" spans="1:20" s="38" customFormat="1" hidden="1" x14ac:dyDescent="0.3">
      <c r="A1113" s="36" t="str">
        <f xml:space="preserve"> IF( 'From SvanPC++'!A1103= "", "", ('From SvanPC++'!A1103))</f>
        <v/>
      </c>
      <c r="B1113" s="36"/>
      <c r="C1113" s="36"/>
      <c r="D1113" s="36"/>
      <c r="E1113" s="47"/>
      <c r="F1113" s="19"/>
      <c r="I1113" s="19"/>
      <c r="S1113" s="36"/>
      <c r="T1113" s="36"/>
    </row>
    <row r="1114" spans="1:20" s="38" customFormat="1" hidden="1" x14ac:dyDescent="0.3">
      <c r="A1114" s="36" t="str">
        <f xml:space="preserve"> IF( 'From SvanPC++'!A1104= "", "", ('From SvanPC++'!A1104))</f>
        <v/>
      </c>
      <c r="B1114" s="36"/>
      <c r="C1114" s="36"/>
      <c r="D1114" s="36"/>
      <c r="E1114" s="47"/>
      <c r="F1114" s="19"/>
      <c r="I1114" s="19"/>
      <c r="S1114" s="36"/>
      <c r="T1114" s="36"/>
    </row>
    <row r="1115" spans="1:20" s="38" customFormat="1" hidden="1" x14ac:dyDescent="0.3">
      <c r="A1115" s="36" t="str">
        <f xml:space="preserve"> IF( 'From SvanPC++'!A1105= "", "", ('From SvanPC++'!A1105))</f>
        <v/>
      </c>
      <c r="B1115" s="36"/>
      <c r="C1115" s="36"/>
      <c r="D1115" s="36"/>
      <c r="E1115" s="47"/>
      <c r="F1115" s="19"/>
      <c r="I1115" s="19"/>
      <c r="S1115" s="36"/>
      <c r="T1115" s="36"/>
    </row>
    <row r="1116" spans="1:20" s="38" customFormat="1" hidden="1" x14ac:dyDescent="0.3">
      <c r="A1116" s="36" t="str">
        <f xml:space="preserve"> IF( 'From SvanPC++'!A1106= "", "", ('From SvanPC++'!A1106))</f>
        <v/>
      </c>
      <c r="B1116" s="36"/>
      <c r="C1116" s="36"/>
      <c r="D1116" s="36"/>
      <c r="E1116" s="47"/>
      <c r="F1116" s="19"/>
      <c r="I1116" s="19"/>
      <c r="S1116" s="36"/>
      <c r="T1116" s="36"/>
    </row>
    <row r="1117" spans="1:20" s="38" customFormat="1" hidden="1" x14ac:dyDescent="0.3">
      <c r="A1117" s="36" t="str">
        <f xml:space="preserve"> IF( 'From SvanPC++'!A1107= "", "", ('From SvanPC++'!A1107))</f>
        <v/>
      </c>
      <c r="B1117" s="36"/>
      <c r="C1117" s="36"/>
      <c r="D1117" s="36"/>
      <c r="E1117" s="47"/>
      <c r="F1117" s="19"/>
      <c r="I1117" s="19"/>
      <c r="S1117" s="36"/>
      <c r="T1117" s="36"/>
    </row>
    <row r="1118" spans="1:20" s="38" customFormat="1" hidden="1" x14ac:dyDescent="0.3">
      <c r="A1118" s="36" t="str">
        <f xml:space="preserve"> IF( 'From SvanPC++'!A1108= "", "", ('From SvanPC++'!A1108))</f>
        <v/>
      </c>
      <c r="B1118" s="36"/>
      <c r="C1118" s="36"/>
      <c r="D1118" s="36"/>
      <c r="E1118" s="47"/>
      <c r="F1118" s="19"/>
      <c r="I1118" s="19"/>
      <c r="S1118" s="36"/>
      <c r="T1118" s="36"/>
    </row>
    <row r="1119" spans="1:20" s="38" customFormat="1" hidden="1" x14ac:dyDescent="0.3">
      <c r="A1119" s="36" t="str">
        <f xml:space="preserve"> IF( 'From SvanPC++'!A1109= "", "", ('From SvanPC++'!A1109))</f>
        <v/>
      </c>
      <c r="B1119" s="36"/>
      <c r="C1119" s="36"/>
      <c r="D1119" s="36"/>
      <c r="E1119" s="47"/>
      <c r="F1119" s="19"/>
      <c r="I1119" s="19"/>
      <c r="S1119" s="36"/>
      <c r="T1119" s="36"/>
    </row>
    <row r="1120" spans="1:20" s="38" customFormat="1" hidden="1" x14ac:dyDescent="0.3">
      <c r="A1120" s="36" t="str">
        <f xml:space="preserve"> IF( 'From SvanPC++'!A1110= "", "", ('From SvanPC++'!A1110))</f>
        <v/>
      </c>
      <c r="B1120" s="36"/>
      <c r="C1120" s="36"/>
      <c r="D1120" s="36"/>
      <c r="E1120" s="47"/>
      <c r="F1120" s="19"/>
      <c r="I1120" s="19"/>
      <c r="S1120" s="36"/>
      <c r="T1120" s="36"/>
    </row>
    <row r="1121" spans="1:20" s="38" customFormat="1" hidden="1" x14ac:dyDescent="0.3">
      <c r="A1121" s="36" t="str">
        <f xml:space="preserve"> IF( 'From SvanPC++'!A1111= "", "", ('From SvanPC++'!A1111))</f>
        <v/>
      </c>
      <c r="B1121" s="36"/>
      <c r="C1121" s="36"/>
      <c r="D1121" s="36"/>
      <c r="E1121" s="47"/>
      <c r="F1121" s="19"/>
      <c r="I1121" s="19"/>
      <c r="S1121" s="36"/>
      <c r="T1121" s="36"/>
    </row>
    <row r="1122" spans="1:20" s="38" customFormat="1" hidden="1" x14ac:dyDescent="0.3">
      <c r="A1122" s="36" t="str">
        <f xml:space="preserve"> IF( 'From SvanPC++'!A1112= "", "", ('From SvanPC++'!A1112))</f>
        <v/>
      </c>
      <c r="B1122" s="36"/>
      <c r="C1122" s="36"/>
      <c r="D1122" s="36"/>
      <c r="E1122" s="47"/>
      <c r="F1122" s="19"/>
      <c r="I1122" s="19"/>
      <c r="S1122" s="36"/>
      <c r="T1122" s="36"/>
    </row>
    <row r="1123" spans="1:20" s="38" customFormat="1" hidden="1" x14ac:dyDescent="0.3">
      <c r="A1123" s="36" t="str">
        <f xml:space="preserve"> IF( 'From SvanPC++'!A1113= "", "", ('From SvanPC++'!A1113))</f>
        <v/>
      </c>
      <c r="B1123" s="36"/>
      <c r="C1123" s="36"/>
      <c r="D1123" s="36"/>
      <c r="E1123" s="47"/>
      <c r="F1123" s="19"/>
      <c r="I1123" s="19"/>
      <c r="S1123" s="36"/>
      <c r="T1123" s="36"/>
    </row>
    <row r="1124" spans="1:20" s="38" customFormat="1" hidden="1" x14ac:dyDescent="0.3">
      <c r="A1124" s="36" t="str">
        <f xml:space="preserve"> IF( 'From SvanPC++'!A1114= "", "", ('From SvanPC++'!A1114))</f>
        <v/>
      </c>
      <c r="B1124" s="36"/>
      <c r="C1124" s="36"/>
      <c r="D1124" s="36"/>
      <c r="E1124" s="47"/>
      <c r="F1124" s="19"/>
      <c r="I1124" s="19"/>
      <c r="S1124" s="36"/>
      <c r="T1124" s="36"/>
    </row>
    <row r="1125" spans="1:20" s="38" customFormat="1" hidden="1" x14ac:dyDescent="0.3">
      <c r="A1125" s="36" t="str">
        <f xml:space="preserve"> IF( 'From SvanPC++'!A1115= "", "", ('From SvanPC++'!A1115))</f>
        <v/>
      </c>
      <c r="B1125" s="36"/>
      <c r="C1125" s="36"/>
      <c r="D1125" s="36"/>
      <c r="E1125" s="47"/>
      <c r="F1125" s="19"/>
      <c r="I1125" s="19"/>
      <c r="S1125" s="36"/>
      <c r="T1125" s="36"/>
    </row>
    <row r="1126" spans="1:20" s="38" customFormat="1" hidden="1" x14ac:dyDescent="0.3">
      <c r="A1126" s="36" t="str">
        <f xml:space="preserve"> IF( 'From SvanPC++'!A1116= "", "", ('From SvanPC++'!A1116))</f>
        <v/>
      </c>
      <c r="B1126" s="36"/>
      <c r="C1126" s="36"/>
      <c r="D1126" s="36"/>
      <c r="E1126" s="47"/>
      <c r="F1126" s="19"/>
      <c r="I1126" s="19"/>
      <c r="S1126" s="36"/>
      <c r="T1126" s="36"/>
    </row>
    <row r="1127" spans="1:20" s="38" customFormat="1" hidden="1" x14ac:dyDescent="0.3">
      <c r="A1127" s="36" t="str">
        <f xml:space="preserve"> IF( 'From SvanPC++'!A1117= "", "", ('From SvanPC++'!A1117))</f>
        <v/>
      </c>
      <c r="B1127" s="36"/>
      <c r="C1127" s="36"/>
      <c r="D1127" s="36"/>
      <c r="E1127" s="47"/>
      <c r="F1127" s="19"/>
      <c r="I1127" s="19"/>
      <c r="S1127" s="36"/>
      <c r="T1127" s="36"/>
    </row>
    <row r="1128" spans="1:20" s="38" customFormat="1" hidden="1" x14ac:dyDescent="0.3">
      <c r="A1128" s="36" t="str">
        <f xml:space="preserve"> IF( 'From SvanPC++'!A1118= "", "", ('From SvanPC++'!A1118))</f>
        <v/>
      </c>
      <c r="B1128" s="36"/>
      <c r="C1128" s="36"/>
      <c r="D1128" s="36"/>
      <c r="E1128" s="47"/>
      <c r="F1128" s="19"/>
      <c r="I1128" s="19"/>
      <c r="S1128" s="36"/>
      <c r="T1128" s="36"/>
    </row>
    <row r="1129" spans="1:20" s="38" customFormat="1" hidden="1" x14ac:dyDescent="0.3">
      <c r="A1129" s="36" t="str">
        <f xml:space="preserve"> IF( 'From SvanPC++'!A1119= "", "", ('From SvanPC++'!A1119))</f>
        <v/>
      </c>
      <c r="B1129" s="36"/>
      <c r="C1129" s="36"/>
      <c r="D1129" s="36"/>
      <c r="E1129" s="47"/>
      <c r="F1129" s="19"/>
      <c r="I1129" s="19"/>
      <c r="S1129" s="36"/>
      <c r="T1129" s="36"/>
    </row>
    <row r="1130" spans="1:20" s="38" customFormat="1" hidden="1" x14ac:dyDescent="0.3">
      <c r="A1130" s="36" t="str">
        <f xml:space="preserve"> IF( 'From SvanPC++'!A1120= "", "", ('From SvanPC++'!A1120))</f>
        <v/>
      </c>
      <c r="B1130" s="36"/>
      <c r="C1130" s="36"/>
      <c r="D1130" s="36"/>
      <c r="E1130" s="47"/>
      <c r="F1130" s="19"/>
      <c r="I1130" s="19"/>
      <c r="S1130" s="36"/>
      <c r="T1130" s="36"/>
    </row>
    <row r="1131" spans="1:20" s="38" customFormat="1" hidden="1" x14ac:dyDescent="0.3">
      <c r="A1131" s="36" t="str">
        <f xml:space="preserve"> IF( 'From SvanPC++'!A1121= "", "", ('From SvanPC++'!A1121))</f>
        <v/>
      </c>
      <c r="B1131" s="36"/>
      <c r="C1131" s="36"/>
      <c r="D1131" s="36"/>
      <c r="E1131" s="47"/>
      <c r="F1131" s="19"/>
      <c r="I1131" s="19"/>
      <c r="S1131" s="36"/>
      <c r="T1131" s="36"/>
    </row>
    <row r="1132" spans="1:20" s="38" customFormat="1" hidden="1" x14ac:dyDescent="0.3">
      <c r="A1132" s="36" t="str">
        <f xml:space="preserve"> IF( 'From SvanPC++'!A1122= "", "", ('From SvanPC++'!A1122))</f>
        <v/>
      </c>
      <c r="B1132" s="36"/>
      <c r="C1132" s="36"/>
      <c r="D1132" s="36"/>
      <c r="E1132" s="47"/>
      <c r="F1132" s="19"/>
      <c r="I1132" s="19"/>
      <c r="S1132" s="36"/>
      <c r="T1132" s="36"/>
    </row>
    <row r="1133" spans="1:20" s="38" customFormat="1" hidden="1" x14ac:dyDescent="0.3">
      <c r="A1133" s="36" t="str">
        <f xml:space="preserve"> IF( 'From SvanPC++'!A1123= "", "", ('From SvanPC++'!A1123))</f>
        <v/>
      </c>
      <c r="B1133" s="36"/>
      <c r="C1133" s="36"/>
      <c r="D1133" s="36"/>
      <c r="E1133" s="47"/>
      <c r="F1133" s="19"/>
      <c r="I1133" s="19"/>
      <c r="S1133" s="36"/>
      <c r="T1133" s="36"/>
    </row>
    <row r="1134" spans="1:20" s="38" customFormat="1" hidden="1" x14ac:dyDescent="0.3">
      <c r="A1134" s="36" t="str">
        <f xml:space="preserve"> IF( 'From SvanPC++'!A1124= "", "", ('From SvanPC++'!A1124))</f>
        <v/>
      </c>
      <c r="B1134" s="36"/>
      <c r="C1134" s="36"/>
      <c r="D1134" s="36"/>
      <c r="E1134" s="47"/>
      <c r="F1134" s="19"/>
      <c r="I1134" s="19"/>
      <c r="S1134" s="36"/>
      <c r="T1134" s="36"/>
    </row>
    <row r="1135" spans="1:20" s="38" customFormat="1" hidden="1" x14ac:dyDescent="0.3">
      <c r="A1135" s="36" t="str">
        <f xml:space="preserve"> IF( 'From SvanPC++'!A1125= "", "", ('From SvanPC++'!A1125))</f>
        <v/>
      </c>
      <c r="B1135" s="36"/>
      <c r="C1135" s="36"/>
      <c r="D1135" s="36"/>
      <c r="E1135" s="47"/>
      <c r="F1135" s="19"/>
      <c r="I1135" s="19"/>
      <c r="S1135" s="36"/>
      <c r="T1135" s="36"/>
    </row>
    <row r="1136" spans="1:20" s="38" customFormat="1" hidden="1" x14ac:dyDescent="0.3">
      <c r="A1136" s="36" t="str">
        <f xml:space="preserve"> IF( 'From SvanPC++'!A1126= "", "", ('From SvanPC++'!A1126))</f>
        <v/>
      </c>
      <c r="B1136" s="36"/>
      <c r="C1136" s="36"/>
      <c r="D1136" s="36"/>
      <c r="E1136" s="47"/>
      <c r="F1136" s="19"/>
      <c r="I1136" s="19"/>
      <c r="S1136" s="36"/>
      <c r="T1136" s="36"/>
    </row>
    <row r="1137" spans="1:20" s="38" customFormat="1" hidden="1" x14ac:dyDescent="0.3">
      <c r="A1137" s="36" t="str">
        <f xml:space="preserve"> IF( 'From SvanPC++'!A1127= "", "", ('From SvanPC++'!A1127))</f>
        <v/>
      </c>
      <c r="B1137" s="36"/>
      <c r="C1137" s="36"/>
      <c r="D1137" s="36"/>
      <c r="E1137" s="47"/>
      <c r="F1137" s="19"/>
      <c r="I1137" s="19"/>
      <c r="S1137" s="36"/>
      <c r="T1137" s="36"/>
    </row>
    <row r="1138" spans="1:20" s="38" customFormat="1" hidden="1" x14ac:dyDescent="0.3">
      <c r="A1138" s="36" t="str">
        <f xml:space="preserve"> IF( 'From SvanPC++'!A1128= "", "", ('From SvanPC++'!A1128))</f>
        <v/>
      </c>
      <c r="B1138" s="36"/>
      <c r="C1138" s="36"/>
      <c r="D1138" s="36"/>
      <c r="E1138" s="47"/>
      <c r="F1138" s="19"/>
      <c r="I1138" s="19"/>
      <c r="S1138" s="36"/>
      <c r="T1138" s="36"/>
    </row>
    <row r="1139" spans="1:20" s="38" customFormat="1" hidden="1" x14ac:dyDescent="0.3">
      <c r="A1139" s="36" t="str">
        <f xml:space="preserve"> IF( 'From SvanPC++'!A1129= "", "", ('From SvanPC++'!A1129))</f>
        <v/>
      </c>
      <c r="B1139" s="36"/>
      <c r="C1139" s="36"/>
      <c r="D1139" s="36"/>
      <c r="E1139" s="47"/>
      <c r="F1139" s="19"/>
      <c r="I1139" s="19"/>
      <c r="S1139" s="36"/>
      <c r="T1139" s="36"/>
    </row>
    <row r="1140" spans="1:20" s="38" customFormat="1" hidden="1" x14ac:dyDescent="0.3">
      <c r="A1140" s="36" t="str">
        <f xml:space="preserve"> IF( 'From SvanPC++'!A1130= "", "", ('From SvanPC++'!A1130))</f>
        <v/>
      </c>
      <c r="B1140" s="36"/>
      <c r="C1140" s="36"/>
      <c r="D1140" s="36"/>
      <c r="E1140" s="47"/>
      <c r="F1140" s="19"/>
      <c r="I1140" s="19"/>
      <c r="S1140" s="36"/>
      <c r="T1140" s="36"/>
    </row>
    <row r="1141" spans="1:20" s="38" customFormat="1" hidden="1" x14ac:dyDescent="0.3">
      <c r="A1141" s="36" t="str">
        <f xml:space="preserve"> IF( 'From SvanPC++'!A1131= "", "", ('From SvanPC++'!A1131))</f>
        <v/>
      </c>
      <c r="B1141" s="36"/>
      <c r="C1141" s="36"/>
      <c r="D1141" s="36"/>
      <c r="E1141" s="47"/>
      <c r="F1141" s="19"/>
      <c r="I1141" s="19"/>
      <c r="S1141" s="36"/>
      <c r="T1141" s="36"/>
    </row>
    <row r="1142" spans="1:20" s="38" customFormat="1" hidden="1" x14ac:dyDescent="0.3">
      <c r="A1142" s="36" t="str">
        <f xml:space="preserve"> IF( 'From SvanPC++'!A1132= "", "", ('From SvanPC++'!A1132))</f>
        <v/>
      </c>
      <c r="B1142" s="36"/>
      <c r="C1142" s="36"/>
      <c r="D1142" s="36"/>
      <c r="E1142" s="47"/>
      <c r="F1142" s="19"/>
      <c r="I1142" s="19"/>
      <c r="S1142" s="36"/>
      <c r="T1142" s="36"/>
    </row>
    <row r="1143" spans="1:20" s="38" customFormat="1" hidden="1" x14ac:dyDescent="0.3">
      <c r="A1143" s="36" t="str">
        <f xml:space="preserve"> IF( 'From SvanPC++'!A1133= "", "", ('From SvanPC++'!A1133))</f>
        <v/>
      </c>
      <c r="B1143" s="36"/>
      <c r="C1143" s="36"/>
      <c r="D1143" s="36"/>
      <c r="E1143" s="47"/>
      <c r="F1143" s="19"/>
      <c r="I1143" s="19"/>
      <c r="S1143" s="36"/>
      <c r="T1143" s="36"/>
    </row>
    <row r="1144" spans="1:20" s="38" customFormat="1" hidden="1" x14ac:dyDescent="0.3">
      <c r="A1144" s="36" t="str">
        <f xml:space="preserve"> IF( 'From SvanPC++'!A1134= "", "", ('From SvanPC++'!A1134))</f>
        <v/>
      </c>
      <c r="B1144" s="36"/>
      <c r="C1144" s="36"/>
      <c r="D1144" s="36"/>
      <c r="E1144" s="47"/>
      <c r="F1144" s="19"/>
      <c r="I1144" s="19"/>
      <c r="S1144" s="36"/>
      <c r="T1144" s="36"/>
    </row>
    <row r="1145" spans="1:20" s="38" customFormat="1" hidden="1" x14ac:dyDescent="0.3">
      <c r="A1145" s="36" t="str">
        <f xml:space="preserve"> IF( 'From SvanPC++'!A1135= "", "", ('From SvanPC++'!A1135))</f>
        <v/>
      </c>
      <c r="B1145" s="36"/>
      <c r="C1145" s="36"/>
      <c r="D1145" s="36"/>
      <c r="E1145" s="47"/>
      <c r="F1145" s="19"/>
      <c r="I1145" s="19"/>
      <c r="S1145" s="36"/>
      <c r="T1145" s="36"/>
    </row>
    <row r="1146" spans="1:20" s="38" customFormat="1" hidden="1" x14ac:dyDescent="0.3">
      <c r="A1146" s="36" t="str">
        <f xml:space="preserve"> IF( 'From SvanPC++'!A1136= "", "", ('From SvanPC++'!A1136))</f>
        <v/>
      </c>
      <c r="B1146" s="36"/>
      <c r="C1146" s="36"/>
      <c r="D1146" s="36"/>
      <c r="E1146" s="47"/>
      <c r="F1146" s="19"/>
      <c r="I1146" s="19"/>
      <c r="S1146" s="36"/>
      <c r="T1146" s="36"/>
    </row>
    <row r="1147" spans="1:20" s="38" customFormat="1" hidden="1" x14ac:dyDescent="0.3">
      <c r="A1147" s="36" t="str">
        <f xml:space="preserve"> IF( 'From SvanPC++'!A1137= "", "", ('From SvanPC++'!A1137))</f>
        <v/>
      </c>
      <c r="B1147" s="36"/>
      <c r="C1147" s="36"/>
      <c r="D1147" s="36"/>
      <c r="E1147" s="47"/>
      <c r="F1147" s="19"/>
      <c r="I1147" s="19"/>
      <c r="S1147" s="36"/>
      <c r="T1147" s="36"/>
    </row>
    <row r="1148" spans="1:20" s="38" customFormat="1" hidden="1" x14ac:dyDescent="0.3">
      <c r="A1148" s="36" t="str">
        <f xml:space="preserve"> IF( 'From SvanPC++'!A1138= "", "", ('From SvanPC++'!A1138))</f>
        <v/>
      </c>
      <c r="B1148" s="36"/>
      <c r="C1148" s="36"/>
      <c r="D1148" s="36"/>
      <c r="E1148" s="47"/>
      <c r="F1148" s="19"/>
      <c r="I1148" s="19"/>
      <c r="S1148" s="36"/>
      <c r="T1148" s="36"/>
    </row>
    <row r="1149" spans="1:20" s="38" customFormat="1" hidden="1" x14ac:dyDescent="0.3">
      <c r="A1149" s="36" t="str">
        <f xml:space="preserve"> IF( 'From SvanPC++'!A1139= "", "", ('From SvanPC++'!A1139))</f>
        <v/>
      </c>
      <c r="B1149" s="36"/>
      <c r="C1149" s="36"/>
      <c r="D1149" s="36"/>
      <c r="E1149" s="47"/>
      <c r="F1149" s="19"/>
      <c r="I1149" s="19"/>
      <c r="S1149" s="36"/>
      <c r="T1149" s="36"/>
    </row>
    <row r="1150" spans="1:20" s="38" customFormat="1" hidden="1" x14ac:dyDescent="0.3">
      <c r="A1150" s="36" t="str">
        <f xml:space="preserve"> IF( 'From SvanPC++'!A1140= "", "", ('From SvanPC++'!A1140))</f>
        <v/>
      </c>
      <c r="B1150" s="36"/>
      <c r="C1150" s="36"/>
      <c r="D1150" s="36"/>
      <c r="E1150" s="47"/>
      <c r="F1150" s="19"/>
      <c r="I1150" s="19"/>
      <c r="S1150" s="36"/>
      <c r="T1150" s="36"/>
    </row>
    <row r="1151" spans="1:20" s="38" customFormat="1" hidden="1" x14ac:dyDescent="0.3">
      <c r="A1151" s="36" t="str">
        <f xml:space="preserve"> IF( 'From SvanPC++'!A1141= "", "", ('From SvanPC++'!A1141))</f>
        <v/>
      </c>
      <c r="B1151" s="36"/>
      <c r="C1151" s="36"/>
      <c r="D1151" s="36"/>
      <c r="E1151" s="47"/>
      <c r="F1151" s="19"/>
      <c r="I1151" s="19"/>
      <c r="S1151" s="36"/>
      <c r="T1151" s="36"/>
    </row>
    <row r="1152" spans="1:20" s="38" customFormat="1" hidden="1" x14ac:dyDescent="0.3">
      <c r="A1152" s="36" t="str">
        <f xml:space="preserve"> IF( 'From SvanPC++'!A1142= "", "", ('From SvanPC++'!A1142))</f>
        <v/>
      </c>
      <c r="B1152" s="36"/>
      <c r="C1152" s="36"/>
      <c r="D1152" s="36"/>
      <c r="E1152" s="47"/>
      <c r="F1152" s="19"/>
      <c r="I1152" s="19"/>
      <c r="S1152" s="36"/>
      <c r="T1152" s="36"/>
    </row>
    <row r="1153" spans="1:20" s="38" customFormat="1" hidden="1" x14ac:dyDescent="0.3">
      <c r="A1153" s="36" t="str">
        <f xml:space="preserve"> IF( 'From SvanPC++'!A1143= "", "", ('From SvanPC++'!A1143))</f>
        <v/>
      </c>
      <c r="B1153" s="36"/>
      <c r="C1153" s="36"/>
      <c r="D1153" s="36"/>
      <c r="E1153" s="47"/>
      <c r="F1153" s="19"/>
      <c r="I1153" s="19"/>
      <c r="S1153" s="36"/>
      <c r="T1153" s="36"/>
    </row>
    <row r="1154" spans="1:20" s="38" customFormat="1" hidden="1" x14ac:dyDescent="0.3">
      <c r="A1154" s="36" t="str">
        <f xml:space="preserve"> IF( 'From SvanPC++'!A1144= "", "", ('From SvanPC++'!A1144))</f>
        <v/>
      </c>
      <c r="B1154" s="36"/>
      <c r="C1154" s="36"/>
      <c r="D1154" s="36"/>
      <c r="E1154" s="47"/>
      <c r="F1154" s="19"/>
      <c r="I1154" s="19"/>
      <c r="S1154" s="36"/>
      <c r="T1154" s="36"/>
    </row>
    <row r="1155" spans="1:20" s="38" customFormat="1" hidden="1" x14ac:dyDescent="0.3">
      <c r="A1155" s="36" t="str">
        <f xml:space="preserve"> IF( 'From SvanPC++'!A1145= "", "", ('From SvanPC++'!A1145))</f>
        <v/>
      </c>
      <c r="B1155" s="36"/>
      <c r="C1155" s="36"/>
      <c r="D1155" s="36"/>
      <c r="E1155" s="47"/>
      <c r="F1155" s="19"/>
      <c r="I1155" s="19"/>
      <c r="S1155" s="36"/>
      <c r="T1155" s="36"/>
    </row>
    <row r="1156" spans="1:20" s="38" customFormat="1" hidden="1" x14ac:dyDescent="0.3">
      <c r="A1156" s="36" t="str">
        <f xml:space="preserve"> IF( 'From SvanPC++'!A1146= "", "", ('From SvanPC++'!A1146))</f>
        <v/>
      </c>
      <c r="B1156" s="36"/>
      <c r="C1156" s="36"/>
      <c r="D1156" s="36"/>
      <c r="E1156" s="47"/>
      <c r="F1156" s="19"/>
      <c r="I1156" s="19"/>
      <c r="S1156" s="36"/>
      <c r="T1156" s="36"/>
    </row>
    <row r="1157" spans="1:20" s="38" customFormat="1" hidden="1" x14ac:dyDescent="0.3">
      <c r="A1157" s="36" t="str">
        <f xml:space="preserve"> IF( 'From SvanPC++'!A1147= "", "", ('From SvanPC++'!A1147))</f>
        <v/>
      </c>
      <c r="B1157" s="36"/>
      <c r="C1157" s="36"/>
      <c r="D1157" s="36"/>
      <c r="E1157" s="47"/>
      <c r="F1157" s="19"/>
      <c r="I1157" s="19"/>
      <c r="S1157" s="36"/>
      <c r="T1157" s="36"/>
    </row>
    <row r="1158" spans="1:20" s="38" customFormat="1" hidden="1" x14ac:dyDescent="0.3">
      <c r="A1158" s="36" t="str">
        <f xml:space="preserve"> IF( 'From SvanPC++'!A1148= "", "", ('From SvanPC++'!A1148))</f>
        <v/>
      </c>
      <c r="B1158" s="36"/>
      <c r="C1158" s="36"/>
      <c r="D1158" s="36"/>
      <c r="E1158" s="47"/>
      <c r="F1158" s="19"/>
      <c r="I1158" s="19"/>
      <c r="S1158" s="36"/>
      <c r="T1158" s="36"/>
    </row>
    <row r="1159" spans="1:20" s="38" customFormat="1" hidden="1" x14ac:dyDescent="0.3">
      <c r="A1159" s="36" t="str">
        <f xml:space="preserve"> IF( 'From SvanPC++'!A1149= "", "", ('From SvanPC++'!A1149))</f>
        <v/>
      </c>
      <c r="B1159" s="36"/>
      <c r="C1159" s="36"/>
      <c r="D1159" s="36"/>
      <c r="E1159" s="47"/>
      <c r="F1159" s="19"/>
      <c r="I1159" s="19"/>
      <c r="S1159" s="36"/>
      <c r="T1159" s="36"/>
    </row>
    <row r="1160" spans="1:20" s="38" customFormat="1" hidden="1" x14ac:dyDescent="0.3">
      <c r="A1160" s="36" t="str">
        <f xml:space="preserve"> IF( 'From SvanPC++'!A1150= "", "", ('From SvanPC++'!A1150))</f>
        <v/>
      </c>
      <c r="B1160" s="36"/>
      <c r="C1160" s="36"/>
      <c r="D1160" s="36"/>
      <c r="E1160" s="47"/>
      <c r="F1160" s="19"/>
      <c r="I1160" s="19"/>
      <c r="S1160" s="36"/>
      <c r="T1160" s="36"/>
    </row>
    <row r="1161" spans="1:20" s="38" customFormat="1" hidden="1" x14ac:dyDescent="0.3">
      <c r="A1161" s="36" t="str">
        <f xml:space="preserve"> IF( 'From SvanPC++'!A1151= "", "", ('From SvanPC++'!A1151))</f>
        <v/>
      </c>
      <c r="B1161" s="36"/>
      <c r="C1161" s="36"/>
      <c r="D1161" s="36"/>
      <c r="E1161" s="47"/>
      <c r="F1161" s="19"/>
      <c r="I1161" s="19"/>
      <c r="S1161" s="36"/>
      <c r="T1161" s="36"/>
    </row>
    <row r="1162" spans="1:20" s="38" customFormat="1" hidden="1" x14ac:dyDescent="0.3">
      <c r="A1162" s="36" t="str">
        <f xml:space="preserve"> IF( 'From SvanPC++'!A1152= "", "", ('From SvanPC++'!A1152))</f>
        <v/>
      </c>
      <c r="B1162" s="36"/>
      <c r="C1162" s="36"/>
      <c r="D1162" s="36"/>
      <c r="E1162" s="47"/>
      <c r="F1162" s="19"/>
      <c r="I1162" s="19"/>
      <c r="S1162" s="36"/>
      <c r="T1162" s="36"/>
    </row>
    <row r="1163" spans="1:20" s="38" customFormat="1" hidden="1" x14ac:dyDescent="0.3">
      <c r="A1163" s="36" t="str">
        <f xml:space="preserve"> IF( 'From SvanPC++'!A1153= "", "", ('From SvanPC++'!A1153))</f>
        <v/>
      </c>
      <c r="B1163" s="36"/>
      <c r="C1163" s="36"/>
      <c r="D1163" s="36"/>
      <c r="E1163" s="47"/>
      <c r="F1163" s="19"/>
      <c r="I1163" s="19"/>
      <c r="S1163" s="36"/>
      <c r="T1163" s="36"/>
    </row>
    <row r="1164" spans="1:20" s="38" customFormat="1" hidden="1" x14ac:dyDescent="0.3">
      <c r="A1164" s="36" t="str">
        <f xml:space="preserve"> IF( 'From SvanPC++'!A1154= "", "", ('From SvanPC++'!A1154))</f>
        <v/>
      </c>
      <c r="B1164" s="36"/>
      <c r="C1164" s="36"/>
      <c r="D1164" s="36"/>
      <c r="E1164" s="47"/>
      <c r="F1164" s="19"/>
      <c r="I1164" s="19"/>
      <c r="S1164" s="36"/>
      <c r="T1164" s="36"/>
    </row>
    <row r="1165" spans="1:20" s="38" customFormat="1" hidden="1" x14ac:dyDescent="0.3">
      <c r="A1165" s="36" t="str">
        <f xml:space="preserve"> IF( 'From SvanPC++'!A1155= "", "", ('From SvanPC++'!A1155))</f>
        <v/>
      </c>
      <c r="B1165" s="36"/>
      <c r="C1165" s="36"/>
      <c r="D1165" s="36"/>
      <c r="E1165" s="47"/>
      <c r="F1165" s="19"/>
      <c r="I1165" s="19"/>
      <c r="S1165" s="36"/>
      <c r="T1165" s="36"/>
    </row>
    <row r="1166" spans="1:20" s="38" customFormat="1" hidden="1" x14ac:dyDescent="0.3">
      <c r="A1166" s="36" t="str">
        <f xml:space="preserve"> IF( 'From SvanPC++'!A1156= "", "", ('From SvanPC++'!A1156))</f>
        <v/>
      </c>
      <c r="B1166" s="36"/>
      <c r="C1166" s="36"/>
      <c r="D1166" s="36"/>
      <c r="E1166" s="47"/>
      <c r="F1166" s="19"/>
      <c r="I1166" s="19"/>
      <c r="S1166" s="36"/>
      <c r="T1166" s="36"/>
    </row>
    <row r="1167" spans="1:20" s="38" customFormat="1" hidden="1" x14ac:dyDescent="0.3">
      <c r="A1167" s="36" t="str">
        <f xml:space="preserve"> IF( 'From SvanPC++'!A1157= "", "", ('From SvanPC++'!A1157))</f>
        <v/>
      </c>
      <c r="B1167" s="36"/>
      <c r="C1167" s="36"/>
      <c r="D1167" s="36"/>
      <c r="E1167" s="47"/>
      <c r="F1167" s="19"/>
      <c r="I1167" s="19"/>
      <c r="S1167" s="36"/>
      <c r="T1167" s="36"/>
    </row>
    <row r="1168" spans="1:20" s="38" customFormat="1" hidden="1" x14ac:dyDescent="0.3">
      <c r="A1168" s="36" t="str">
        <f xml:space="preserve"> IF( 'From SvanPC++'!A1158= "", "", ('From SvanPC++'!A1158))</f>
        <v/>
      </c>
      <c r="B1168" s="36"/>
      <c r="C1168" s="36"/>
      <c r="D1168" s="36"/>
      <c r="E1168" s="47"/>
      <c r="F1168" s="19"/>
      <c r="I1168" s="19"/>
      <c r="S1168" s="36"/>
      <c r="T1168" s="36"/>
    </row>
    <row r="1169" spans="1:20" s="38" customFormat="1" hidden="1" x14ac:dyDescent="0.3">
      <c r="A1169" s="36" t="str">
        <f xml:space="preserve"> IF( 'From SvanPC++'!A1159= "", "", ('From SvanPC++'!A1159))</f>
        <v/>
      </c>
      <c r="B1169" s="36"/>
      <c r="C1169" s="36"/>
      <c r="D1169" s="36"/>
      <c r="E1169" s="47"/>
      <c r="F1169" s="19"/>
      <c r="I1169" s="19"/>
      <c r="S1169" s="36"/>
      <c r="T1169" s="36"/>
    </row>
    <row r="1170" spans="1:20" s="38" customFormat="1" hidden="1" x14ac:dyDescent="0.3">
      <c r="A1170" s="36" t="str">
        <f xml:space="preserve"> IF( 'From SvanPC++'!A1160= "", "", ('From SvanPC++'!A1160))</f>
        <v/>
      </c>
      <c r="B1170" s="36"/>
      <c r="C1170" s="36"/>
      <c r="D1170" s="36"/>
      <c r="E1170" s="47"/>
      <c r="F1170" s="19"/>
      <c r="I1170" s="19"/>
      <c r="S1170" s="36"/>
      <c r="T1170" s="36"/>
    </row>
    <row r="1171" spans="1:20" s="38" customFormat="1" hidden="1" x14ac:dyDescent="0.3">
      <c r="A1171" s="36" t="str">
        <f xml:space="preserve"> IF( 'From SvanPC++'!A1161= "", "", ('From SvanPC++'!A1161))</f>
        <v/>
      </c>
      <c r="B1171" s="36"/>
      <c r="C1171" s="36"/>
      <c r="D1171" s="36"/>
      <c r="E1171" s="47"/>
      <c r="F1171" s="19"/>
      <c r="I1171" s="19"/>
      <c r="S1171" s="36"/>
      <c r="T1171" s="36"/>
    </row>
    <row r="1172" spans="1:20" s="38" customFormat="1" hidden="1" x14ac:dyDescent="0.3">
      <c r="A1172" s="36" t="str">
        <f xml:space="preserve"> IF( 'From SvanPC++'!A1162= "", "", ('From SvanPC++'!A1162))</f>
        <v/>
      </c>
      <c r="B1172" s="36"/>
      <c r="C1172" s="36"/>
      <c r="D1172" s="36"/>
      <c r="E1172" s="47"/>
      <c r="F1172" s="19"/>
      <c r="I1172" s="19"/>
      <c r="S1172" s="36"/>
      <c r="T1172" s="36"/>
    </row>
    <row r="1173" spans="1:20" s="38" customFormat="1" hidden="1" x14ac:dyDescent="0.3">
      <c r="A1173" s="36" t="str">
        <f xml:space="preserve"> IF( 'From SvanPC++'!A1163= "", "", ('From SvanPC++'!A1163))</f>
        <v/>
      </c>
      <c r="B1173" s="36"/>
      <c r="C1173" s="36"/>
      <c r="D1173" s="36"/>
      <c r="E1173" s="47"/>
      <c r="F1173" s="19"/>
      <c r="I1173" s="19"/>
      <c r="S1173" s="36"/>
      <c r="T1173" s="36"/>
    </row>
    <row r="1174" spans="1:20" s="38" customFormat="1" hidden="1" x14ac:dyDescent="0.3">
      <c r="A1174" s="36" t="str">
        <f xml:space="preserve"> IF( 'From SvanPC++'!A1164= "", "", ('From SvanPC++'!A1164))</f>
        <v/>
      </c>
      <c r="B1174" s="36"/>
      <c r="C1174" s="36"/>
      <c r="D1174" s="36"/>
      <c r="E1174" s="47"/>
      <c r="F1174" s="19"/>
      <c r="I1174" s="19"/>
      <c r="S1174" s="36"/>
      <c r="T1174" s="36"/>
    </row>
    <row r="1175" spans="1:20" s="38" customFormat="1" hidden="1" x14ac:dyDescent="0.3">
      <c r="A1175" s="36" t="str">
        <f xml:space="preserve"> IF( 'From SvanPC++'!A1165= "", "", ('From SvanPC++'!A1165))</f>
        <v/>
      </c>
      <c r="B1175" s="36"/>
      <c r="C1175" s="36"/>
      <c r="D1175" s="36"/>
      <c r="E1175" s="47"/>
      <c r="F1175" s="19"/>
      <c r="I1175" s="19"/>
      <c r="S1175" s="36"/>
      <c r="T1175" s="36"/>
    </row>
    <row r="1176" spans="1:20" s="38" customFormat="1" hidden="1" x14ac:dyDescent="0.3">
      <c r="A1176" s="36" t="str">
        <f xml:space="preserve"> IF( 'From SvanPC++'!A1166= "", "", ('From SvanPC++'!A1166))</f>
        <v/>
      </c>
      <c r="B1176" s="36"/>
      <c r="C1176" s="36"/>
      <c r="D1176" s="36"/>
      <c r="E1176" s="47"/>
      <c r="F1176" s="19"/>
      <c r="I1176" s="19"/>
      <c r="S1176" s="36"/>
      <c r="T1176" s="36"/>
    </row>
    <row r="1177" spans="1:20" s="38" customFormat="1" hidden="1" x14ac:dyDescent="0.3">
      <c r="A1177" s="36" t="str">
        <f xml:space="preserve"> IF( 'From SvanPC++'!A1167= "", "", ('From SvanPC++'!A1167))</f>
        <v/>
      </c>
      <c r="B1177" s="36"/>
      <c r="C1177" s="36"/>
      <c r="D1177" s="36"/>
      <c r="E1177" s="47"/>
      <c r="F1177" s="19"/>
      <c r="I1177" s="19"/>
      <c r="S1177" s="36"/>
      <c r="T1177" s="36"/>
    </row>
    <row r="1178" spans="1:20" s="38" customFormat="1" hidden="1" x14ac:dyDescent="0.3">
      <c r="A1178" s="36" t="str">
        <f xml:space="preserve"> IF( 'From SvanPC++'!A1168= "", "", ('From SvanPC++'!A1168))</f>
        <v/>
      </c>
      <c r="B1178" s="36"/>
      <c r="C1178" s="36"/>
      <c r="D1178" s="36"/>
      <c r="E1178" s="47"/>
      <c r="F1178" s="19"/>
      <c r="I1178" s="19"/>
      <c r="S1178" s="36"/>
      <c r="T1178" s="36"/>
    </row>
    <row r="1179" spans="1:20" s="38" customFormat="1" hidden="1" x14ac:dyDescent="0.3">
      <c r="A1179" s="36" t="str">
        <f xml:space="preserve"> IF( 'From SvanPC++'!A1169= "", "", ('From SvanPC++'!A1169))</f>
        <v/>
      </c>
      <c r="B1179" s="36"/>
      <c r="C1179" s="36"/>
      <c r="D1179" s="36"/>
      <c r="E1179" s="47"/>
      <c r="F1179" s="19"/>
      <c r="I1179" s="19"/>
      <c r="S1179" s="36"/>
      <c r="T1179" s="36"/>
    </row>
    <row r="1180" spans="1:20" s="38" customFormat="1" hidden="1" x14ac:dyDescent="0.3">
      <c r="A1180" s="36" t="str">
        <f xml:space="preserve"> IF( 'From SvanPC++'!A1170= "", "", ('From SvanPC++'!A1170))</f>
        <v/>
      </c>
      <c r="B1180" s="36"/>
      <c r="C1180" s="36"/>
      <c r="D1180" s="36"/>
      <c r="E1180" s="47"/>
      <c r="F1180" s="19"/>
      <c r="I1180" s="19"/>
      <c r="S1180" s="36"/>
      <c r="T1180" s="36"/>
    </row>
    <row r="1181" spans="1:20" s="38" customFormat="1" hidden="1" x14ac:dyDescent="0.3">
      <c r="A1181" s="36" t="str">
        <f xml:space="preserve"> IF( 'From SvanPC++'!A1171= "", "", ('From SvanPC++'!A1171))</f>
        <v/>
      </c>
      <c r="B1181" s="36"/>
      <c r="C1181" s="36"/>
      <c r="D1181" s="36"/>
      <c r="E1181" s="47"/>
      <c r="F1181" s="19"/>
      <c r="I1181" s="19"/>
      <c r="S1181" s="36"/>
      <c r="T1181" s="36"/>
    </row>
    <row r="1182" spans="1:20" s="38" customFormat="1" hidden="1" x14ac:dyDescent="0.3">
      <c r="A1182" s="36" t="str">
        <f xml:space="preserve"> IF( 'From SvanPC++'!A1172= "", "", ('From SvanPC++'!A1172))</f>
        <v/>
      </c>
      <c r="B1182" s="36"/>
      <c r="C1182" s="36"/>
      <c r="D1182" s="36"/>
      <c r="E1182" s="47"/>
      <c r="F1182" s="19"/>
      <c r="I1182" s="19"/>
      <c r="S1182" s="36"/>
      <c r="T1182" s="36"/>
    </row>
    <row r="1183" spans="1:20" s="38" customFormat="1" hidden="1" x14ac:dyDescent="0.3">
      <c r="A1183" s="36" t="str">
        <f xml:space="preserve"> IF( 'From SvanPC++'!A1173= "", "", ('From SvanPC++'!A1173))</f>
        <v/>
      </c>
      <c r="B1183" s="36"/>
      <c r="C1183" s="36"/>
      <c r="D1183" s="36"/>
      <c r="E1183" s="47"/>
      <c r="F1183" s="19"/>
      <c r="I1183" s="19"/>
      <c r="S1183" s="36"/>
      <c r="T1183" s="36"/>
    </row>
    <row r="1184" spans="1:20" s="38" customFormat="1" hidden="1" x14ac:dyDescent="0.3">
      <c r="A1184" s="36" t="str">
        <f xml:space="preserve"> IF( 'From SvanPC++'!A1174= "", "", ('From SvanPC++'!A1174))</f>
        <v/>
      </c>
      <c r="B1184" s="36"/>
      <c r="C1184" s="36"/>
      <c r="D1184" s="36"/>
      <c r="E1184" s="47"/>
      <c r="F1184" s="19"/>
      <c r="I1184" s="19"/>
      <c r="S1184" s="36"/>
      <c r="T1184" s="36"/>
    </row>
    <row r="1185" spans="1:20" s="38" customFormat="1" hidden="1" x14ac:dyDescent="0.3">
      <c r="A1185" s="36" t="str">
        <f xml:space="preserve"> IF( 'From SvanPC++'!A1175= "", "", ('From SvanPC++'!A1175))</f>
        <v/>
      </c>
      <c r="B1185" s="36"/>
      <c r="C1185" s="36"/>
      <c r="D1185" s="36"/>
      <c r="E1185" s="47"/>
      <c r="F1185" s="19"/>
      <c r="I1185" s="19"/>
      <c r="S1185" s="36"/>
      <c r="T1185" s="36"/>
    </row>
    <row r="1186" spans="1:20" s="38" customFormat="1" hidden="1" x14ac:dyDescent="0.3">
      <c r="A1186" s="36" t="str">
        <f xml:space="preserve"> IF( 'From SvanPC++'!A1176= "", "", ('From SvanPC++'!A1176))</f>
        <v/>
      </c>
      <c r="B1186" s="36"/>
      <c r="C1186" s="36"/>
      <c r="D1186" s="36"/>
      <c r="E1186" s="47"/>
      <c r="F1186" s="19"/>
      <c r="I1186" s="19"/>
      <c r="S1186" s="36"/>
      <c r="T1186" s="36"/>
    </row>
    <row r="1187" spans="1:20" s="38" customFormat="1" hidden="1" x14ac:dyDescent="0.3">
      <c r="A1187" s="36" t="str">
        <f xml:space="preserve"> IF( 'From SvanPC++'!A1177= "", "", ('From SvanPC++'!A1177))</f>
        <v/>
      </c>
      <c r="B1187" s="36"/>
      <c r="C1187" s="36"/>
      <c r="D1187" s="36"/>
      <c r="E1187" s="47"/>
      <c r="F1187" s="19"/>
      <c r="I1187" s="19"/>
      <c r="S1187" s="36"/>
      <c r="T1187" s="36"/>
    </row>
    <row r="1188" spans="1:20" s="38" customFormat="1" hidden="1" x14ac:dyDescent="0.3">
      <c r="A1188" s="36" t="str">
        <f xml:space="preserve"> IF( 'From SvanPC++'!A1178= "", "", ('From SvanPC++'!A1178))</f>
        <v/>
      </c>
      <c r="B1188" s="36"/>
      <c r="C1188" s="36"/>
      <c r="D1188" s="36"/>
      <c r="E1188" s="47"/>
      <c r="F1188" s="19"/>
      <c r="I1188" s="19"/>
      <c r="S1188" s="36"/>
      <c r="T1188" s="36"/>
    </row>
    <row r="1189" spans="1:20" s="38" customFormat="1" hidden="1" x14ac:dyDescent="0.3">
      <c r="A1189" s="36" t="str">
        <f xml:space="preserve"> IF( 'From SvanPC++'!A1179= "", "", ('From SvanPC++'!A1179))</f>
        <v/>
      </c>
      <c r="B1189" s="36"/>
      <c r="C1189" s="36"/>
      <c r="D1189" s="36"/>
      <c r="E1189" s="47"/>
      <c r="F1189" s="19"/>
      <c r="I1189" s="19"/>
      <c r="S1189" s="36"/>
      <c r="T1189" s="36"/>
    </row>
    <row r="1190" spans="1:20" s="38" customFormat="1" hidden="1" x14ac:dyDescent="0.3">
      <c r="A1190" s="36" t="str">
        <f xml:space="preserve"> IF( 'From SvanPC++'!A1180= "", "", ('From SvanPC++'!A1180))</f>
        <v/>
      </c>
      <c r="B1190" s="36"/>
      <c r="C1190" s="36"/>
      <c r="D1190" s="36"/>
      <c r="E1190" s="47"/>
      <c r="F1190" s="19"/>
      <c r="I1190" s="19"/>
      <c r="S1190" s="36"/>
      <c r="T1190" s="36"/>
    </row>
    <row r="1191" spans="1:20" s="38" customFormat="1" hidden="1" x14ac:dyDescent="0.3">
      <c r="A1191" s="36" t="str">
        <f xml:space="preserve"> IF( 'From SvanPC++'!A1181= "", "", ('From SvanPC++'!A1181))</f>
        <v/>
      </c>
      <c r="B1191" s="36"/>
      <c r="C1191" s="36"/>
      <c r="D1191" s="36"/>
      <c r="E1191" s="47"/>
      <c r="F1191" s="19"/>
      <c r="I1191" s="19"/>
      <c r="S1191" s="36"/>
      <c r="T1191" s="36"/>
    </row>
    <row r="1192" spans="1:20" s="38" customFormat="1" hidden="1" x14ac:dyDescent="0.3">
      <c r="A1192" s="36" t="str">
        <f xml:space="preserve"> IF( 'From SvanPC++'!A1182= "", "", ('From SvanPC++'!A1182))</f>
        <v/>
      </c>
      <c r="B1192" s="36"/>
      <c r="C1192" s="36"/>
      <c r="D1192" s="36"/>
      <c r="E1192" s="47"/>
      <c r="F1192" s="19"/>
      <c r="I1192" s="19"/>
      <c r="S1192" s="36"/>
      <c r="T1192" s="36"/>
    </row>
    <row r="1193" spans="1:20" s="38" customFormat="1" hidden="1" x14ac:dyDescent="0.3">
      <c r="A1193" s="36" t="str">
        <f xml:space="preserve"> IF( 'From SvanPC++'!A1183= "", "", ('From SvanPC++'!A1183))</f>
        <v/>
      </c>
      <c r="B1193" s="36"/>
      <c r="C1193" s="36"/>
      <c r="D1193" s="36"/>
      <c r="E1193" s="47"/>
      <c r="F1193" s="19"/>
      <c r="I1193" s="19"/>
      <c r="S1193" s="36"/>
      <c r="T1193" s="36"/>
    </row>
    <row r="1194" spans="1:20" s="38" customFormat="1" hidden="1" x14ac:dyDescent="0.3">
      <c r="A1194" s="36" t="str">
        <f xml:space="preserve"> IF( 'From SvanPC++'!A1184= "", "", ('From SvanPC++'!A1184))</f>
        <v/>
      </c>
      <c r="B1194" s="36"/>
      <c r="C1194" s="36"/>
      <c r="D1194" s="36"/>
      <c r="E1194" s="47"/>
      <c r="F1194" s="19"/>
      <c r="I1194" s="19"/>
      <c r="S1194" s="36"/>
      <c r="T1194" s="36"/>
    </row>
    <row r="1195" spans="1:20" s="38" customFormat="1" hidden="1" x14ac:dyDescent="0.3">
      <c r="A1195" s="36" t="str">
        <f xml:space="preserve"> IF( 'From SvanPC++'!A1185= "", "", ('From SvanPC++'!A1185))</f>
        <v/>
      </c>
      <c r="B1195" s="36"/>
      <c r="C1195" s="36"/>
      <c r="D1195" s="36"/>
      <c r="E1195" s="47"/>
      <c r="F1195" s="19"/>
      <c r="I1195" s="19"/>
      <c r="S1195" s="36"/>
      <c r="T1195" s="36"/>
    </row>
    <row r="1196" spans="1:20" s="38" customFormat="1" hidden="1" x14ac:dyDescent="0.3">
      <c r="A1196" s="36" t="str">
        <f xml:space="preserve"> IF( 'From SvanPC++'!A1186= "", "", ('From SvanPC++'!A1186))</f>
        <v/>
      </c>
      <c r="B1196" s="36"/>
      <c r="C1196" s="36"/>
      <c r="D1196" s="36"/>
      <c r="E1196" s="47"/>
      <c r="F1196" s="19"/>
      <c r="I1196" s="19"/>
      <c r="S1196" s="36"/>
      <c r="T1196" s="36"/>
    </row>
    <row r="1197" spans="1:20" s="38" customFormat="1" hidden="1" x14ac:dyDescent="0.3">
      <c r="A1197" s="36" t="str">
        <f xml:space="preserve"> IF( 'From SvanPC++'!A1187= "", "", ('From SvanPC++'!A1187))</f>
        <v/>
      </c>
      <c r="B1197" s="36"/>
      <c r="C1197" s="36"/>
      <c r="D1197" s="36"/>
      <c r="E1197" s="47"/>
      <c r="F1197" s="19"/>
      <c r="I1197" s="19"/>
      <c r="S1197" s="36"/>
      <c r="T1197" s="36"/>
    </row>
    <row r="1198" spans="1:20" s="38" customFormat="1" hidden="1" x14ac:dyDescent="0.3">
      <c r="A1198" s="36" t="str">
        <f xml:space="preserve"> IF( 'From SvanPC++'!A1188= "", "", ('From SvanPC++'!A1188))</f>
        <v/>
      </c>
      <c r="B1198" s="36"/>
      <c r="C1198" s="36"/>
      <c r="D1198" s="36"/>
      <c r="E1198" s="47"/>
      <c r="F1198" s="19"/>
      <c r="I1198" s="19"/>
      <c r="S1198" s="36"/>
      <c r="T1198" s="36"/>
    </row>
    <row r="1199" spans="1:20" s="38" customFormat="1" hidden="1" x14ac:dyDescent="0.3">
      <c r="A1199" s="36" t="str">
        <f xml:space="preserve"> IF( 'From SvanPC++'!A1189= "", "", ('From SvanPC++'!A1189))</f>
        <v/>
      </c>
      <c r="B1199" s="36"/>
      <c r="C1199" s="36"/>
      <c r="D1199" s="36"/>
      <c r="E1199" s="47"/>
      <c r="F1199" s="19"/>
      <c r="I1199" s="19"/>
      <c r="S1199" s="36"/>
      <c r="T1199" s="36"/>
    </row>
    <row r="1200" spans="1:20" s="38" customFormat="1" hidden="1" x14ac:dyDescent="0.3">
      <c r="A1200" s="36" t="str">
        <f xml:space="preserve"> IF( 'From SvanPC++'!A1190= "", "", ('From SvanPC++'!A1190))</f>
        <v/>
      </c>
      <c r="B1200" s="36"/>
      <c r="C1200" s="36"/>
      <c r="D1200" s="36"/>
      <c r="E1200" s="47"/>
      <c r="F1200" s="19"/>
      <c r="I1200" s="19"/>
      <c r="S1200" s="36"/>
      <c r="T1200" s="36"/>
    </row>
    <row r="1201" spans="1:20" s="38" customFormat="1" hidden="1" x14ac:dyDescent="0.3">
      <c r="A1201" s="36" t="str">
        <f xml:space="preserve"> IF( 'From SvanPC++'!A1191= "", "", ('From SvanPC++'!A1191))</f>
        <v/>
      </c>
      <c r="B1201" s="36"/>
      <c r="C1201" s="36"/>
      <c r="D1201" s="36"/>
      <c r="E1201" s="47"/>
      <c r="F1201" s="19"/>
      <c r="I1201" s="19"/>
      <c r="S1201" s="36"/>
      <c r="T1201" s="36"/>
    </row>
    <row r="1202" spans="1:20" s="38" customFormat="1" hidden="1" x14ac:dyDescent="0.3">
      <c r="A1202" s="36" t="str">
        <f xml:space="preserve"> IF( 'From SvanPC++'!A1192= "", "", ('From SvanPC++'!A1192))</f>
        <v/>
      </c>
      <c r="B1202" s="36"/>
      <c r="C1202" s="36"/>
      <c r="D1202" s="36"/>
      <c r="E1202" s="47"/>
      <c r="F1202" s="19"/>
      <c r="I1202" s="19"/>
      <c r="S1202" s="36"/>
      <c r="T1202" s="36"/>
    </row>
    <row r="1203" spans="1:20" s="38" customFormat="1" hidden="1" x14ac:dyDescent="0.3">
      <c r="A1203" s="36" t="str">
        <f xml:space="preserve"> IF( 'From SvanPC++'!A1193= "", "", ('From SvanPC++'!A1193))</f>
        <v/>
      </c>
      <c r="B1203" s="36"/>
      <c r="C1203" s="36"/>
      <c r="D1203" s="36"/>
      <c r="E1203" s="47"/>
      <c r="F1203" s="19"/>
      <c r="I1203" s="19"/>
      <c r="S1203" s="36"/>
      <c r="T1203" s="36"/>
    </row>
    <row r="1204" spans="1:20" s="38" customFormat="1" hidden="1" x14ac:dyDescent="0.3">
      <c r="A1204" s="36" t="str">
        <f xml:space="preserve"> IF( 'From SvanPC++'!A1194= "", "", ('From SvanPC++'!A1194))</f>
        <v/>
      </c>
      <c r="B1204" s="36"/>
      <c r="C1204" s="36"/>
      <c r="D1204" s="36"/>
      <c r="E1204" s="47"/>
      <c r="F1204" s="19"/>
      <c r="I1204" s="19"/>
      <c r="S1204" s="36"/>
      <c r="T1204" s="36"/>
    </row>
    <row r="1205" spans="1:20" s="38" customFormat="1" hidden="1" x14ac:dyDescent="0.3">
      <c r="A1205" s="36" t="str">
        <f xml:space="preserve"> IF( 'From SvanPC++'!A1195= "", "", ('From SvanPC++'!A1195))</f>
        <v/>
      </c>
      <c r="B1205" s="36"/>
      <c r="C1205" s="36"/>
      <c r="D1205" s="36"/>
      <c r="E1205" s="47"/>
      <c r="F1205" s="19"/>
      <c r="I1205" s="19"/>
      <c r="S1205" s="36"/>
      <c r="T1205" s="36"/>
    </row>
    <row r="1206" spans="1:20" s="38" customFormat="1" hidden="1" x14ac:dyDescent="0.3">
      <c r="A1206" s="36" t="str">
        <f xml:space="preserve"> IF( 'From SvanPC++'!A1196= "", "", ('From SvanPC++'!A1196))</f>
        <v/>
      </c>
      <c r="B1206" s="36"/>
      <c r="C1206" s="36"/>
      <c r="D1206" s="36"/>
      <c r="E1206" s="47"/>
      <c r="F1206" s="19"/>
      <c r="I1206" s="19"/>
      <c r="S1206" s="36"/>
      <c r="T1206" s="36"/>
    </row>
    <row r="1207" spans="1:20" s="38" customFormat="1" hidden="1" x14ac:dyDescent="0.3">
      <c r="A1207" s="36" t="str">
        <f xml:space="preserve"> IF( 'From SvanPC++'!A1197= "", "", ('From SvanPC++'!A1197))</f>
        <v/>
      </c>
      <c r="B1207" s="36"/>
      <c r="C1207" s="36"/>
      <c r="D1207" s="36"/>
      <c r="E1207" s="47"/>
      <c r="F1207" s="19"/>
      <c r="I1207" s="19"/>
      <c r="S1207" s="36"/>
      <c r="T1207" s="36"/>
    </row>
    <row r="1208" spans="1:20" s="38" customFormat="1" hidden="1" x14ac:dyDescent="0.3">
      <c r="A1208" s="36" t="str">
        <f xml:space="preserve"> IF( 'From SvanPC++'!A1198= "", "", ('From SvanPC++'!A1198))</f>
        <v/>
      </c>
      <c r="B1208" s="36"/>
      <c r="C1208" s="36"/>
      <c r="D1208" s="36"/>
      <c r="E1208" s="47"/>
      <c r="F1208" s="19"/>
      <c r="I1208" s="19"/>
      <c r="S1208" s="36"/>
      <c r="T1208" s="36"/>
    </row>
    <row r="1209" spans="1:20" s="38" customFormat="1" hidden="1" x14ac:dyDescent="0.3">
      <c r="A1209" s="36" t="str">
        <f xml:space="preserve"> IF( 'From SvanPC++'!A1199= "", "", ('From SvanPC++'!A1199))</f>
        <v/>
      </c>
      <c r="B1209" s="36"/>
      <c r="C1209" s="36"/>
      <c r="D1209" s="36"/>
      <c r="E1209" s="47"/>
      <c r="F1209" s="19"/>
      <c r="I1209" s="19"/>
      <c r="S1209" s="36"/>
      <c r="T1209" s="36"/>
    </row>
    <row r="1210" spans="1:20" s="38" customFormat="1" hidden="1" x14ac:dyDescent="0.3">
      <c r="A1210" s="36" t="str">
        <f xml:space="preserve"> IF( 'From SvanPC++'!A1200= "", "", ('From SvanPC++'!A1200))</f>
        <v/>
      </c>
      <c r="B1210" s="36"/>
      <c r="C1210" s="36"/>
      <c r="D1210" s="36"/>
      <c r="E1210" s="47"/>
      <c r="F1210" s="19"/>
      <c r="I1210" s="19"/>
      <c r="S1210" s="36"/>
      <c r="T1210" s="36"/>
    </row>
    <row r="1211" spans="1:20" s="38" customFormat="1" hidden="1" x14ac:dyDescent="0.3">
      <c r="A1211" s="36" t="str">
        <f xml:space="preserve"> IF( 'From SvanPC++'!A1201= "", "", ('From SvanPC++'!A1201))</f>
        <v/>
      </c>
      <c r="B1211" s="36"/>
      <c r="C1211" s="36"/>
      <c r="D1211" s="36"/>
      <c r="E1211" s="47"/>
      <c r="F1211" s="19"/>
      <c r="I1211" s="19"/>
      <c r="S1211" s="36"/>
      <c r="T1211" s="36"/>
    </row>
    <row r="1212" spans="1:20" s="38" customFormat="1" hidden="1" x14ac:dyDescent="0.3">
      <c r="A1212" s="36" t="str">
        <f xml:space="preserve"> IF( 'From SvanPC++'!A1202= "", "", ('From SvanPC++'!A1202))</f>
        <v/>
      </c>
      <c r="B1212" s="36"/>
      <c r="C1212" s="36"/>
      <c r="D1212" s="36"/>
      <c r="E1212" s="47"/>
      <c r="F1212" s="19"/>
      <c r="I1212" s="19"/>
      <c r="S1212" s="36"/>
      <c r="T1212" s="36"/>
    </row>
    <row r="1213" spans="1:20" s="38" customFormat="1" hidden="1" x14ac:dyDescent="0.3">
      <c r="A1213" s="36" t="str">
        <f xml:space="preserve"> IF( 'From SvanPC++'!A1203= "", "", ('From SvanPC++'!A1203))</f>
        <v/>
      </c>
      <c r="B1213" s="36"/>
      <c r="C1213" s="36"/>
      <c r="D1213" s="36"/>
      <c r="E1213" s="47"/>
      <c r="F1213" s="19"/>
      <c r="I1213" s="19"/>
      <c r="S1213" s="36"/>
      <c r="T1213" s="36"/>
    </row>
    <row r="1214" spans="1:20" s="38" customFormat="1" hidden="1" x14ac:dyDescent="0.3">
      <c r="A1214" s="36" t="str">
        <f xml:space="preserve"> IF( 'From SvanPC++'!A1204= "", "", ('From SvanPC++'!A1204))</f>
        <v/>
      </c>
      <c r="B1214" s="36"/>
      <c r="C1214" s="36"/>
      <c r="D1214" s="36"/>
      <c r="E1214" s="47"/>
      <c r="F1214" s="19"/>
      <c r="I1214" s="19"/>
      <c r="S1214" s="36"/>
      <c r="T1214" s="36"/>
    </row>
    <row r="1215" spans="1:20" s="38" customFormat="1" hidden="1" x14ac:dyDescent="0.3">
      <c r="A1215" s="36" t="str">
        <f xml:space="preserve"> IF( 'From SvanPC++'!A1205= "", "", ('From SvanPC++'!A1205))</f>
        <v/>
      </c>
      <c r="B1215" s="36"/>
      <c r="C1215" s="36"/>
      <c r="D1215" s="36"/>
      <c r="E1215" s="47"/>
      <c r="F1215" s="19"/>
      <c r="I1215" s="19"/>
      <c r="S1215" s="36"/>
      <c r="T1215" s="36"/>
    </row>
    <row r="1216" spans="1:20" s="38" customFormat="1" hidden="1" x14ac:dyDescent="0.3">
      <c r="A1216" s="36" t="str">
        <f xml:space="preserve"> IF( 'From SvanPC++'!A1206= "", "", ('From SvanPC++'!A1206))</f>
        <v/>
      </c>
      <c r="B1216" s="36"/>
      <c r="C1216" s="36"/>
      <c r="D1216" s="36"/>
      <c r="E1216" s="47"/>
      <c r="F1216" s="19"/>
      <c r="I1216" s="19"/>
      <c r="S1216" s="36"/>
      <c r="T1216" s="36"/>
    </row>
    <row r="1217" spans="1:20" s="38" customFormat="1" hidden="1" x14ac:dyDescent="0.3">
      <c r="A1217" s="36" t="str">
        <f xml:space="preserve"> IF( 'From SvanPC++'!A1207= "", "", ('From SvanPC++'!A1207))</f>
        <v/>
      </c>
      <c r="B1217" s="36"/>
      <c r="C1217" s="36"/>
      <c r="D1217" s="36"/>
      <c r="E1217" s="47"/>
      <c r="F1217" s="19"/>
      <c r="I1217" s="19"/>
      <c r="S1217" s="36"/>
      <c r="T1217" s="36"/>
    </row>
    <row r="1218" spans="1:20" s="38" customFormat="1" hidden="1" x14ac:dyDescent="0.3">
      <c r="A1218" s="36" t="str">
        <f xml:space="preserve"> IF( 'From SvanPC++'!A1208= "", "", ('From SvanPC++'!A1208))</f>
        <v/>
      </c>
      <c r="B1218" s="36"/>
      <c r="C1218" s="36"/>
      <c r="D1218" s="36"/>
      <c r="E1218" s="47"/>
      <c r="F1218" s="19"/>
      <c r="I1218" s="19"/>
      <c r="S1218" s="36"/>
      <c r="T1218" s="36"/>
    </row>
    <row r="1219" spans="1:20" s="38" customFormat="1" hidden="1" x14ac:dyDescent="0.3">
      <c r="A1219" s="36" t="str">
        <f xml:space="preserve"> IF( 'From SvanPC++'!A1209= "", "", ('From SvanPC++'!A1209))</f>
        <v/>
      </c>
      <c r="B1219" s="36"/>
      <c r="C1219" s="36"/>
      <c r="D1219" s="36"/>
      <c r="E1219" s="47"/>
      <c r="F1219" s="19"/>
      <c r="I1219" s="19"/>
      <c r="S1219" s="36"/>
      <c r="T1219" s="36"/>
    </row>
    <row r="1220" spans="1:20" s="38" customFormat="1" hidden="1" x14ac:dyDescent="0.3">
      <c r="A1220" s="36" t="str">
        <f xml:space="preserve"> IF( 'From SvanPC++'!A1210= "", "", ('From SvanPC++'!A1210))</f>
        <v/>
      </c>
      <c r="B1220" s="36"/>
      <c r="C1220" s="36"/>
      <c r="D1220" s="36"/>
      <c r="E1220" s="47"/>
      <c r="F1220" s="19"/>
      <c r="I1220" s="19"/>
      <c r="S1220" s="36"/>
      <c r="T1220" s="36"/>
    </row>
    <row r="1221" spans="1:20" s="38" customFormat="1" hidden="1" x14ac:dyDescent="0.3">
      <c r="A1221" s="36" t="str">
        <f xml:space="preserve"> IF( 'From SvanPC++'!A1211= "", "", ('From SvanPC++'!A1211))</f>
        <v/>
      </c>
      <c r="B1221" s="36"/>
      <c r="C1221" s="36"/>
      <c r="D1221" s="36"/>
      <c r="E1221" s="47"/>
      <c r="F1221" s="19"/>
      <c r="I1221" s="19"/>
      <c r="S1221" s="36"/>
      <c r="T1221" s="36"/>
    </row>
    <row r="1222" spans="1:20" s="38" customFormat="1" hidden="1" x14ac:dyDescent="0.3">
      <c r="A1222" s="36" t="str">
        <f xml:space="preserve"> IF( 'From SvanPC++'!A1212= "", "", ('From SvanPC++'!A1212))</f>
        <v/>
      </c>
      <c r="B1222" s="36"/>
      <c r="C1222" s="36"/>
      <c r="D1222" s="36"/>
      <c r="E1222" s="47"/>
      <c r="F1222" s="19"/>
      <c r="I1222" s="19"/>
      <c r="S1222" s="36"/>
      <c r="T1222" s="36"/>
    </row>
    <row r="1223" spans="1:20" s="38" customFormat="1" hidden="1" x14ac:dyDescent="0.3">
      <c r="A1223" s="36" t="str">
        <f xml:space="preserve"> IF( 'From SvanPC++'!A1213= "", "", ('From SvanPC++'!A1213))</f>
        <v/>
      </c>
      <c r="B1223" s="36"/>
      <c r="C1223" s="36"/>
      <c r="D1223" s="36"/>
      <c r="E1223" s="47"/>
      <c r="F1223" s="19"/>
      <c r="I1223" s="19"/>
      <c r="S1223" s="36"/>
      <c r="T1223" s="36"/>
    </row>
    <row r="1224" spans="1:20" s="38" customFormat="1" hidden="1" x14ac:dyDescent="0.3">
      <c r="A1224" s="36" t="str">
        <f xml:space="preserve"> IF( 'From SvanPC++'!A1214= "", "", ('From SvanPC++'!A1214))</f>
        <v/>
      </c>
      <c r="B1224" s="36"/>
      <c r="C1224" s="36"/>
      <c r="D1224" s="36"/>
      <c r="E1224" s="47"/>
      <c r="F1224" s="19"/>
      <c r="I1224" s="19"/>
      <c r="S1224" s="36"/>
      <c r="T1224" s="36"/>
    </row>
    <row r="1225" spans="1:20" s="38" customFormat="1" hidden="1" x14ac:dyDescent="0.3">
      <c r="A1225" s="36" t="str">
        <f xml:space="preserve"> IF( 'From SvanPC++'!A1215= "", "", ('From SvanPC++'!A1215))</f>
        <v/>
      </c>
      <c r="B1225" s="36"/>
      <c r="C1225" s="36"/>
      <c r="D1225" s="36"/>
      <c r="E1225" s="47"/>
      <c r="F1225" s="19"/>
      <c r="I1225" s="19"/>
      <c r="S1225" s="36"/>
      <c r="T1225" s="36"/>
    </row>
    <row r="1226" spans="1:20" s="38" customFormat="1" hidden="1" x14ac:dyDescent="0.3">
      <c r="A1226" s="36" t="str">
        <f xml:space="preserve"> IF( 'From SvanPC++'!A1216= "", "", ('From SvanPC++'!A1216))</f>
        <v/>
      </c>
      <c r="B1226" s="36"/>
      <c r="C1226" s="36"/>
      <c r="D1226" s="36"/>
      <c r="E1226" s="47"/>
      <c r="F1226" s="19"/>
      <c r="I1226" s="19"/>
      <c r="S1226" s="36"/>
      <c r="T1226" s="36"/>
    </row>
    <row r="1227" spans="1:20" s="38" customFormat="1" hidden="1" x14ac:dyDescent="0.3">
      <c r="A1227" s="36" t="str">
        <f xml:space="preserve"> IF( 'From SvanPC++'!A1217= "", "", ('From SvanPC++'!A1217))</f>
        <v/>
      </c>
      <c r="B1227" s="36"/>
      <c r="C1227" s="36"/>
      <c r="D1227" s="36"/>
      <c r="E1227" s="47"/>
      <c r="F1227" s="19"/>
      <c r="I1227" s="19"/>
      <c r="S1227" s="36"/>
      <c r="T1227" s="36"/>
    </row>
    <row r="1228" spans="1:20" s="38" customFormat="1" hidden="1" x14ac:dyDescent="0.3">
      <c r="A1228" s="36" t="str">
        <f xml:space="preserve"> IF( 'From SvanPC++'!A1218= "", "", ('From SvanPC++'!A1218))</f>
        <v/>
      </c>
      <c r="B1228" s="36"/>
      <c r="C1228" s="36"/>
      <c r="D1228" s="36"/>
      <c r="E1228" s="47"/>
      <c r="F1228" s="19"/>
      <c r="I1228" s="19"/>
      <c r="S1228" s="36"/>
      <c r="T1228" s="36"/>
    </row>
    <row r="1229" spans="1:20" s="38" customFormat="1" hidden="1" x14ac:dyDescent="0.3">
      <c r="A1229" s="36" t="str">
        <f xml:space="preserve"> IF( 'From SvanPC++'!A1219= "", "", ('From SvanPC++'!A1219))</f>
        <v/>
      </c>
      <c r="B1229" s="36"/>
      <c r="C1229" s="36"/>
      <c r="D1229" s="36"/>
      <c r="E1229" s="47"/>
      <c r="F1229" s="19"/>
      <c r="I1229" s="19"/>
      <c r="S1229" s="36"/>
      <c r="T1229" s="36"/>
    </row>
    <row r="1230" spans="1:20" s="38" customFormat="1" hidden="1" x14ac:dyDescent="0.3">
      <c r="A1230" s="36" t="str">
        <f xml:space="preserve"> IF( 'From SvanPC++'!A1220= "", "", ('From SvanPC++'!A1220))</f>
        <v/>
      </c>
      <c r="B1230" s="36"/>
      <c r="C1230" s="36"/>
      <c r="D1230" s="36"/>
      <c r="E1230" s="47"/>
      <c r="F1230" s="19"/>
      <c r="I1230" s="19"/>
      <c r="S1230" s="36"/>
      <c r="T1230" s="36"/>
    </row>
    <row r="1231" spans="1:20" s="38" customFormat="1" hidden="1" x14ac:dyDescent="0.3">
      <c r="A1231" s="36" t="str">
        <f xml:space="preserve"> IF( 'From SvanPC++'!A1221= "", "", ('From SvanPC++'!A1221))</f>
        <v/>
      </c>
      <c r="B1231" s="36"/>
      <c r="C1231" s="36"/>
      <c r="D1231" s="36"/>
      <c r="E1231" s="47"/>
      <c r="F1231" s="19"/>
      <c r="I1231" s="19"/>
      <c r="S1231" s="36"/>
      <c r="T1231" s="36"/>
    </row>
    <row r="1232" spans="1:20" s="38" customFormat="1" hidden="1" x14ac:dyDescent="0.3">
      <c r="A1232" s="36" t="str">
        <f xml:space="preserve"> IF( 'From SvanPC++'!A1222= "", "", ('From SvanPC++'!A1222))</f>
        <v/>
      </c>
      <c r="B1232" s="36"/>
      <c r="C1232" s="36"/>
      <c r="D1232" s="36"/>
      <c r="E1232" s="47"/>
      <c r="F1232" s="19"/>
      <c r="I1232" s="19"/>
      <c r="S1232" s="36"/>
      <c r="T1232" s="36"/>
    </row>
    <row r="1233" spans="1:20" s="38" customFormat="1" hidden="1" x14ac:dyDescent="0.3">
      <c r="A1233" s="36" t="str">
        <f xml:space="preserve"> IF( 'From SvanPC++'!A1223= "", "", ('From SvanPC++'!A1223))</f>
        <v/>
      </c>
      <c r="B1233" s="36"/>
      <c r="C1233" s="36"/>
      <c r="D1233" s="36"/>
      <c r="E1233" s="47"/>
      <c r="F1233" s="19"/>
      <c r="I1233" s="19"/>
      <c r="S1233" s="36"/>
      <c r="T1233" s="36"/>
    </row>
    <row r="1234" spans="1:20" s="38" customFormat="1" hidden="1" x14ac:dyDescent="0.3">
      <c r="A1234" s="36" t="str">
        <f xml:space="preserve"> IF( 'From SvanPC++'!A1224= "", "", ('From SvanPC++'!A1224))</f>
        <v/>
      </c>
      <c r="B1234" s="36"/>
      <c r="C1234" s="36"/>
      <c r="D1234" s="36"/>
      <c r="E1234" s="47"/>
      <c r="F1234" s="19"/>
      <c r="I1234" s="19"/>
      <c r="S1234" s="36"/>
      <c r="T1234" s="36"/>
    </row>
    <row r="1235" spans="1:20" s="38" customFormat="1" hidden="1" x14ac:dyDescent="0.3">
      <c r="A1235" s="36" t="str">
        <f xml:space="preserve"> IF( 'From SvanPC++'!A1225= "", "", ('From SvanPC++'!A1225))</f>
        <v/>
      </c>
      <c r="B1235" s="36"/>
      <c r="C1235" s="36"/>
      <c r="D1235" s="36"/>
      <c r="E1235" s="47"/>
      <c r="F1235" s="19"/>
      <c r="I1235" s="19"/>
      <c r="S1235" s="36"/>
      <c r="T1235" s="36"/>
    </row>
    <row r="1236" spans="1:20" s="38" customFormat="1" hidden="1" x14ac:dyDescent="0.3">
      <c r="A1236" s="36" t="str">
        <f xml:space="preserve"> IF( 'From SvanPC++'!A1226= "", "", ('From SvanPC++'!A1226))</f>
        <v/>
      </c>
      <c r="B1236" s="36"/>
      <c r="C1236" s="36"/>
      <c r="D1236" s="36"/>
      <c r="E1236" s="47"/>
      <c r="F1236" s="19"/>
      <c r="I1236" s="19"/>
      <c r="S1236" s="36"/>
      <c r="T1236" s="36"/>
    </row>
    <row r="1237" spans="1:20" s="38" customFormat="1" hidden="1" x14ac:dyDescent="0.3">
      <c r="A1237" s="36" t="str">
        <f xml:space="preserve"> IF( 'From SvanPC++'!A1227= "", "", ('From SvanPC++'!A1227))</f>
        <v/>
      </c>
      <c r="B1237" s="36"/>
      <c r="C1237" s="36"/>
      <c r="D1237" s="36"/>
      <c r="E1237" s="47"/>
      <c r="F1237" s="19"/>
      <c r="I1237" s="19"/>
      <c r="S1237" s="36"/>
      <c r="T1237" s="36"/>
    </row>
    <row r="1238" spans="1:20" s="38" customFormat="1" hidden="1" x14ac:dyDescent="0.3">
      <c r="A1238" s="36" t="str">
        <f xml:space="preserve"> IF( 'From SvanPC++'!A1228= "", "", ('From SvanPC++'!A1228))</f>
        <v/>
      </c>
      <c r="B1238" s="36"/>
      <c r="C1238" s="36"/>
      <c r="D1238" s="36"/>
      <c r="E1238" s="47"/>
      <c r="F1238" s="19"/>
      <c r="I1238" s="19"/>
      <c r="S1238" s="36"/>
      <c r="T1238" s="36"/>
    </row>
    <row r="1239" spans="1:20" s="38" customFormat="1" hidden="1" x14ac:dyDescent="0.3">
      <c r="A1239" s="36" t="str">
        <f xml:space="preserve"> IF( 'From SvanPC++'!A1229= "", "", ('From SvanPC++'!A1229))</f>
        <v/>
      </c>
      <c r="B1239" s="36"/>
      <c r="C1239" s="36"/>
      <c r="D1239" s="36"/>
      <c r="E1239" s="47"/>
      <c r="F1239" s="19"/>
      <c r="I1239" s="19"/>
      <c r="S1239" s="36"/>
      <c r="T1239" s="36"/>
    </row>
    <row r="1240" spans="1:20" s="38" customFormat="1" hidden="1" x14ac:dyDescent="0.3">
      <c r="A1240" s="36" t="str">
        <f xml:space="preserve"> IF( 'From SvanPC++'!A1230= "", "", ('From SvanPC++'!A1230))</f>
        <v/>
      </c>
      <c r="B1240" s="36"/>
      <c r="C1240" s="36"/>
      <c r="D1240" s="36"/>
      <c r="E1240" s="47"/>
      <c r="F1240" s="19"/>
      <c r="I1240" s="19"/>
      <c r="S1240" s="36"/>
      <c r="T1240" s="36"/>
    </row>
    <row r="1241" spans="1:20" s="38" customFormat="1" hidden="1" x14ac:dyDescent="0.3">
      <c r="A1241" s="36" t="str">
        <f xml:space="preserve"> IF( 'From SvanPC++'!A1231= "", "", ('From SvanPC++'!A1231))</f>
        <v/>
      </c>
      <c r="B1241" s="36"/>
      <c r="C1241" s="36"/>
      <c r="D1241" s="36"/>
      <c r="E1241" s="47"/>
      <c r="F1241" s="19"/>
      <c r="I1241" s="19"/>
      <c r="S1241" s="36"/>
      <c r="T1241" s="36"/>
    </row>
    <row r="1242" spans="1:20" s="38" customFormat="1" hidden="1" x14ac:dyDescent="0.3">
      <c r="A1242" s="36" t="str">
        <f xml:space="preserve"> IF( 'From SvanPC++'!A1232= "", "", ('From SvanPC++'!A1232))</f>
        <v/>
      </c>
      <c r="B1242" s="36"/>
      <c r="C1242" s="36"/>
      <c r="D1242" s="36"/>
      <c r="E1242" s="47"/>
      <c r="F1242" s="19"/>
      <c r="I1242" s="19"/>
      <c r="S1242" s="36"/>
      <c r="T1242" s="36"/>
    </row>
    <row r="1243" spans="1:20" s="38" customFormat="1" hidden="1" x14ac:dyDescent="0.3">
      <c r="A1243" s="36" t="str">
        <f xml:space="preserve"> IF( 'From SvanPC++'!A1233= "", "", ('From SvanPC++'!A1233))</f>
        <v/>
      </c>
      <c r="B1243" s="36"/>
      <c r="C1243" s="36"/>
      <c r="D1243" s="36"/>
      <c r="E1243" s="47"/>
      <c r="F1243" s="19"/>
      <c r="I1243" s="19"/>
      <c r="S1243" s="36"/>
      <c r="T1243" s="36"/>
    </row>
    <row r="1244" spans="1:20" s="38" customFormat="1" hidden="1" x14ac:dyDescent="0.3">
      <c r="A1244" s="36" t="str">
        <f xml:space="preserve"> IF( 'From SvanPC++'!A1234= "", "", ('From SvanPC++'!A1234))</f>
        <v/>
      </c>
      <c r="B1244" s="36"/>
      <c r="C1244" s="36"/>
      <c r="D1244" s="36"/>
      <c r="E1244" s="47"/>
      <c r="F1244" s="19"/>
      <c r="I1244" s="19"/>
      <c r="S1244" s="36"/>
      <c r="T1244" s="36"/>
    </row>
    <row r="1245" spans="1:20" s="38" customFormat="1" hidden="1" x14ac:dyDescent="0.3">
      <c r="A1245" s="36" t="str">
        <f xml:space="preserve"> IF( 'From SvanPC++'!A1235= "", "", ('From SvanPC++'!A1235))</f>
        <v/>
      </c>
      <c r="B1245" s="36"/>
      <c r="C1245" s="36"/>
      <c r="D1245" s="36"/>
      <c r="E1245" s="47"/>
      <c r="F1245" s="19"/>
      <c r="I1245" s="19"/>
      <c r="S1245" s="36"/>
      <c r="T1245" s="36"/>
    </row>
    <row r="1246" spans="1:20" s="38" customFormat="1" hidden="1" x14ac:dyDescent="0.3">
      <c r="A1246" s="36" t="str">
        <f xml:space="preserve"> IF( 'From SvanPC++'!A1236= "", "", ('From SvanPC++'!A1236))</f>
        <v/>
      </c>
      <c r="B1246" s="36"/>
      <c r="C1246" s="36"/>
      <c r="D1246" s="36"/>
      <c r="E1246" s="47"/>
      <c r="F1246" s="19"/>
      <c r="I1246" s="19"/>
      <c r="S1246" s="36"/>
      <c r="T1246" s="36"/>
    </row>
    <row r="1247" spans="1:20" s="38" customFormat="1" hidden="1" x14ac:dyDescent="0.3">
      <c r="A1247" s="36" t="str">
        <f xml:space="preserve"> IF( 'From SvanPC++'!A1237= "", "", ('From SvanPC++'!A1237))</f>
        <v/>
      </c>
      <c r="B1247" s="36"/>
      <c r="C1247" s="36"/>
      <c r="D1247" s="36"/>
      <c r="E1247" s="47"/>
      <c r="F1247" s="19"/>
      <c r="I1247" s="19"/>
      <c r="S1247" s="36"/>
      <c r="T1247" s="36"/>
    </row>
    <row r="1248" spans="1:20" s="38" customFormat="1" hidden="1" x14ac:dyDescent="0.3">
      <c r="A1248" s="36" t="str">
        <f xml:space="preserve"> IF( 'From SvanPC++'!A1238= "", "", ('From SvanPC++'!A1238))</f>
        <v/>
      </c>
      <c r="B1248" s="36"/>
      <c r="C1248" s="36"/>
      <c r="D1248" s="36"/>
      <c r="E1248" s="47"/>
      <c r="F1248" s="19"/>
      <c r="I1248" s="19"/>
      <c r="S1248" s="36"/>
      <c r="T1248" s="36"/>
    </row>
    <row r="1249" spans="1:20" s="38" customFormat="1" hidden="1" x14ac:dyDescent="0.3">
      <c r="A1249" s="36" t="str">
        <f xml:space="preserve"> IF( 'From SvanPC++'!A1239= "", "", ('From SvanPC++'!A1239))</f>
        <v/>
      </c>
      <c r="B1249" s="36"/>
      <c r="C1249" s="36"/>
      <c r="D1249" s="36"/>
      <c r="E1249" s="47"/>
      <c r="F1249" s="19"/>
      <c r="I1249" s="19"/>
      <c r="S1249" s="36"/>
      <c r="T1249" s="36"/>
    </row>
    <row r="1250" spans="1:20" s="38" customFormat="1" hidden="1" x14ac:dyDescent="0.3">
      <c r="A1250" s="36" t="str">
        <f xml:space="preserve"> IF( 'From SvanPC++'!A1240= "", "", ('From SvanPC++'!A1240))</f>
        <v/>
      </c>
      <c r="B1250" s="36"/>
      <c r="C1250" s="36"/>
      <c r="D1250" s="36"/>
      <c r="E1250" s="47"/>
      <c r="F1250" s="19"/>
      <c r="I1250" s="19"/>
      <c r="S1250" s="36"/>
      <c r="T1250" s="36"/>
    </row>
    <row r="1251" spans="1:20" s="38" customFormat="1" hidden="1" x14ac:dyDescent="0.3">
      <c r="A1251" s="36" t="str">
        <f xml:space="preserve"> IF( 'From SvanPC++'!A1241= "", "", ('From SvanPC++'!A1241))</f>
        <v/>
      </c>
      <c r="B1251" s="36"/>
      <c r="C1251" s="36"/>
      <c r="D1251" s="36"/>
      <c r="E1251" s="47"/>
      <c r="F1251" s="19"/>
      <c r="I1251" s="19"/>
      <c r="S1251" s="36"/>
      <c r="T1251" s="36"/>
    </row>
    <row r="1252" spans="1:20" s="38" customFormat="1" hidden="1" x14ac:dyDescent="0.3">
      <c r="A1252" s="36" t="str">
        <f xml:space="preserve"> IF( 'From SvanPC++'!A1242= "", "", ('From SvanPC++'!A1242))</f>
        <v/>
      </c>
      <c r="B1252" s="36"/>
      <c r="C1252" s="36"/>
      <c r="D1252" s="36"/>
      <c r="E1252" s="47"/>
      <c r="F1252" s="19"/>
      <c r="I1252" s="19"/>
      <c r="S1252" s="36"/>
      <c r="T1252" s="36"/>
    </row>
    <row r="1253" spans="1:20" s="38" customFormat="1" hidden="1" x14ac:dyDescent="0.3">
      <c r="A1253" s="36" t="str">
        <f xml:space="preserve"> IF( 'From SvanPC++'!A1243= "", "", ('From SvanPC++'!A1243))</f>
        <v/>
      </c>
      <c r="B1253" s="36"/>
      <c r="C1253" s="36"/>
      <c r="D1253" s="36"/>
      <c r="E1253" s="47"/>
      <c r="F1253" s="19"/>
      <c r="I1253" s="19"/>
      <c r="S1253" s="36"/>
      <c r="T1253" s="36"/>
    </row>
    <row r="1254" spans="1:20" s="38" customFormat="1" hidden="1" x14ac:dyDescent="0.3">
      <c r="A1254" s="36" t="str">
        <f xml:space="preserve"> IF( 'From SvanPC++'!A1244= "", "", ('From SvanPC++'!A1244))</f>
        <v/>
      </c>
      <c r="B1254" s="36"/>
      <c r="C1254" s="36"/>
      <c r="D1254" s="36"/>
      <c r="E1254" s="47"/>
      <c r="F1254" s="19"/>
      <c r="I1254" s="19"/>
      <c r="S1254" s="36"/>
      <c r="T1254" s="36"/>
    </row>
    <row r="1255" spans="1:20" s="38" customFormat="1" hidden="1" x14ac:dyDescent="0.3">
      <c r="A1255" s="36" t="str">
        <f xml:space="preserve"> IF( 'From SvanPC++'!A1245= "", "", ('From SvanPC++'!A1245))</f>
        <v/>
      </c>
      <c r="B1255" s="36"/>
      <c r="C1255" s="36"/>
      <c r="D1255" s="36"/>
      <c r="E1255" s="47"/>
      <c r="F1255" s="19"/>
      <c r="I1255" s="19"/>
      <c r="S1255" s="36"/>
      <c r="T1255" s="36"/>
    </row>
    <row r="1256" spans="1:20" s="38" customFormat="1" hidden="1" x14ac:dyDescent="0.3">
      <c r="A1256" s="36" t="str">
        <f xml:space="preserve"> IF( 'From SvanPC++'!A1246= "", "", ('From SvanPC++'!A1246))</f>
        <v/>
      </c>
      <c r="B1256" s="36"/>
      <c r="C1256" s="36"/>
      <c r="D1256" s="36"/>
      <c r="E1256" s="47"/>
      <c r="F1256" s="19"/>
      <c r="I1256" s="19"/>
      <c r="S1256" s="36"/>
      <c r="T1256" s="36"/>
    </row>
    <row r="1257" spans="1:20" s="38" customFormat="1" hidden="1" x14ac:dyDescent="0.3">
      <c r="A1257" s="36" t="str">
        <f xml:space="preserve"> IF( 'From SvanPC++'!A1247= "", "", ('From SvanPC++'!A1247))</f>
        <v/>
      </c>
      <c r="B1257" s="36"/>
      <c r="C1257" s="36"/>
      <c r="D1257" s="36"/>
      <c r="E1257" s="47"/>
      <c r="F1257" s="19"/>
      <c r="I1257" s="19"/>
      <c r="S1257" s="36"/>
      <c r="T1257" s="36"/>
    </row>
    <row r="1258" spans="1:20" s="38" customFormat="1" hidden="1" x14ac:dyDescent="0.3">
      <c r="A1258" s="36" t="str">
        <f xml:space="preserve"> IF( 'From SvanPC++'!A1248= "", "", ('From SvanPC++'!A1248))</f>
        <v/>
      </c>
      <c r="B1258" s="36"/>
      <c r="C1258" s="36"/>
      <c r="D1258" s="36"/>
      <c r="E1258" s="47"/>
      <c r="F1258" s="19"/>
      <c r="I1258" s="19"/>
      <c r="S1258" s="36"/>
      <c r="T1258" s="36"/>
    </row>
    <row r="1259" spans="1:20" s="38" customFormat="1" hidden="1" x14ac:dyDescent="0.3">
      <c r="A1259" s="36" t="str">
        <f xml:space="preserve"> IF( 'From SvanPC++'!A1249= "", "", ('From SvanPC++'!A1249))</f>
        <v/>
      </c>
      <c r="B1259" s="36"/>
      <c r="C1259" s="36"/>
      <c r="D1259" s="36"/>
      <c r="E1259" s="47"/>
      <c r="F1259" s="19"/>
      <c r="I1259" s="19"/>
      <c r="S1259" s="36"/>
      <c r="T1259" s="36"/>
    </row>
    <row r="1260" spans="1:20" s="38" customFormat="1" hidden="1" x14ac:dyDescent="0.3">
      <c r="A1260" s="36" t="str">
        <f xml:space="preserve"> IF( 'From SvanPC++'!A1250= "", "", ('From SvanPC++'!A1250))</f>
        <v/>
      </c>
      <c r="B1260" s="36"/>
      <c r="C1260" s="36"/>
      <c r="D1260" s="36"/>
      <c r="E1260" s="47"/>
      <c r="F1260" s="19"/>
      <c r="I1260" s="19"/>
      <c r="S1260" s="36"/>
      <c r="T1260" s="36"/>
    </row>
    <row r="1261" spans="1:20" s="38" customFormat="1" hidden="1" x14ac:dyDescent="0.3">
      <c r="A1261" s="36" t="str">
        <f xml:space="preserve"> IF( 'From SvanPC++'!A1251= "", "", ('From SvanPC++'!A1251))</f>
        <v/>
      </c>
      <c r="B1261" s="36"/>
      <c r="C1261" s="36"/>
      <c r="D1261" s="36"/>
      <c r="E1261" s="47"/>
      <c r="F1261" s="19"/>
      <c r="I1261" s="19"/>
      <c r="S1261" s="36"/>
      <c r="T1261" s="36"/>
    </row>
    <row r="1262" spans="1:20" s="38" customFormat="1" hidden="1" x14ac:dyDescent="0.3">
      <c r="A1262" s="36" t="str">
        <f xml:space="preserve"> IF( 'From SvanPC++'!A1252= "", "", ('From SvanPC++'!A1252))</f>
        <v/>
      </c>
      <c r="B1262" s="36"/>
      <c r="C1262" s="36"/>
      <c r="D1262" s="36"/>
      <c r="E1262" s="47"/>
      <c r="F1262" s="19"/>
      <c r="I1262" s="19"/>
      <c r="S1262" s="36"/>
      <c r="T1262" s="36"/>
    </row>
    <row r="1263" spans="1:20" s="38" customFormat="1" hidden="1" x14ac:dyDescent="0.3">
      <c r="A1263" s="36" t="str">
        <f xml:space="preserve"> IF( 'From SvanPC++'!A1253= "", "", ('From SvanPC++'!A1253))</f>
        <v/>
      </c>
      <c r="B1263" s="36"/>
      <c r="C1263" s="36"/>
      <c r="D1263" s="36"/>
      <c r="E1263" s="47"/>
      <c r="F1263" s="19"/>
      <c r="I1263" s="19"/>
      <c r="S1263" s="36"/>
      <c r="T1263" s="36"/>
    </row>
    <row r="1264" spans="1:20" s="38" customFormat="1" hidden="1" x14ac:dyDescent="0.3">
      <c r="A1264" s="36" t="str">
        <f xml:space="preserve"> IF( 'From SvanPC++'!A1254= "", "", ('From SvanPC++'!A1254))</f>
        <v/>
      </c>
      <c r="B1264" s="36"/>
      <c r="C1264" s="36"/>
      <c r="D1264" s="36"/>
      <c r="E1264" s="47"/>
      <c r="F1264" s="19"/>
      <c r="I1264" s="19"/>
      <c r="S1264" s="36"/>
      <c r="T1264" s="36"/>
    </row>
    <row r="1265" spans="1:20" s="38" customFormat="1" hidden="1" x14ac:dyDescent="0.3">
      <c r="A1265" s="36" t="str">
        <f xml:space="preserve"> IF( 'From SvanPC++'!A1255= "", "", ('From SvanPC++'!A1255))</f>
        <v/>
      </c>
      <c r="B1265" s="36"/>
      <c r="C1265" s="36"/>
      <c r="D1265" s="36"/>
      <c r="E1265" s="47"/>
      <c r="F1265" s="19"/>
      <c r="I1265" s="19"/>
      <c r="S1265" s="36"/>
      <c r="T1265" s="36"/>
    </row>
    <row r="1266" spans="1:20" s="38" customFormat="1" hidden="1" x14ac:dyDescent="0.3">
      <c r="A1266" s="36" t="str">
        <f xml:space="preserve"> IF( 'From SvanPC++'!A1256= "", "", ('From SvanPC++'!A1256))</f>
        <v/>
      </c>
      <c r="B1266" s="36"/>
      <c r="C1266" s="36"/>
      <c r="D1266" s="36"/>
      <c r="E1266" s="47"/>
      <c r="F1266" s="19"/>
      <c r="I1266" s="19"/>
      <c r="S1266" s="36"/>
      <c r="T1266" s="36"/>
    </row>
    <row r="1267" spans="1:20" s="38" customFormat="1" hidden="1" x14ac:dyDescent="0.3">
      <c r="A1267" s="36" t="str">
        <f xml:space="preserve"> IF( 'From SvanPC++'!A1257= "", "", ('From SvanPC++'!A1257))</f>
        <v/>
      </c>
      <c r="B1267" s="36"/>
      <c r="C1267" s="36"/>
      <c r="D1267" s="36"/>
      <c r="E1267" s="47"/>
      <c r="F1267" s="19"/>
      <c r="I1267" s="19"/>
      <c r="S1267" s="36"/>
      <c r="T1267" s="36"/>
    </row>
    <row r="1268" spans="1:20" s="38" customFormat="1" hidden="1" x14ac:dyDescent="0.3">
      <c r="A1268" s="36" t="str">
        <f xml:space="preserve"> IF( 'From SvanPC++'!A1258= "", "", ('From SvanPC++'!A1258))</f>
        <v/>
      </c>
      <c r="B1268" s="36"/>
      <c r="C1268" s="36"/>
      <c r="D1268" s="36"/>
      <c r="E1268" s="47"/>
      <c r="F1268" s="19"/>
      <c r="I1268" s="19"/>
      <c r="S1268" s="36"/>
      <c r="T1268" s="36"/>
    </row>
    <row r="1269" spans="1:20" s="38" customFormat="1" hidden="1" x14ac:dyDescent="0.3">
      <c r="A1269" s="36" t="str">
        <f xml:space="preserve"> IF( 'From SvanPC++'!A1259= "", "", ('From SvanPC++'!A1259))</f>
        <v/>
      </c>
      <c r="B1269" s="36"/>
      <c r="C1269" s="36"/>
      <c r="D1269" s="36"/>
      <c r="E1269" s="47"/>
      <c r="F1269" s="19"/>
      <c r="I1269" s="19"/>
      <c r="S1269" s="36"/>
      <c r="T1269" s="36"/>
    </row>
    <row r="1270" spans="1:20" s="38" customFormat="1" hidden="1" x14ac:dyDescent="0.3">
      <c r="A1270" s="36" t="str">
        <f xml:space="preserve"> IF( 'From SvanPC++'!A1260= "", "", ('From SvanPC++'!A1260))</f>
        <v/>
      </c>
      <c r="B1270" s="36"/>
      <c r="C1270" s="36"/>
      <c r="D1270" s="36"/>
      <c r="E1270" s="47"/>
      <c r="F1270" s="19"/>
      <c r="I1270" s="19"/>
      <c r="S1270" s="36"/>
      <c r="T1270" s="36"/>
    </row>
    <row r="1271" spans="1:20" s="38" customFormat="1" hidden="1" x14ac:dyDescent="0.3">
      <c r="A1271" s="36" t="str">
        <f xml:space="preserve"> IF( 'From SvanPC++'!A1261= "", "", ('From SvanPC++'!A1261))</f>
        <v/>
      </c>
      <c r="B1271" s="36"/>
      <c r="C1271" s="36"/>
      <c r="D1271" s="36"/>
      <c r="E1271" s="47"/>
      <c r="F1271" s="19"/>
      <c r="I1271" s="19"/>
      <c r="S1271" s="36"/>
      <c r="T1271" s="36"/>
    </row>
    <row r="1272" spans="1:20" s="38" customFormat="1" hidden="1" x14ac:dyDescent="0.3">
      <c r="A1272" s="36" t="str">
        <f xml:space="preserve"> IF( 'From SvanPC++'!A1262= "", "", ('From SvanPC++'!A1262))</f>
        <v/>
      </c>
      <c r="B1272" s="36"/>
      <c r="C1272" s="36"/>
      <c r="D1272" s="36"/>
      <c r="E1272" s="47"/>
      <c r="F1272" s="19"/>
      <c r="I1272" s="19"/>
      <c r="S1272" s="36"/>
      <c r="T1272" s="36"/>
    </row>
    <row r="1273" spans="1:20" s="38" customFormat="1" hidden="1" x14ac:dyDescent="0.3">
      <c r="A1273" s="36" t="str">
        <f xml:space="preserve"> IF( 'From SvanPC++'!A1263= "", "", ('From SvanPC++'!A1263))</f>
        <v/>
      </c>
      <c r="B1273" s="36"/>
      <c r="C1273" s="36"/>
      <c r="D1273" s="36"/>
      <c r="E1273" s="47"/>
      <c r="F1273" s="19"/>
      <c r="I1273" s="19"/>
      <c r="S1273" s="36"/>
      <c r="T1273" s="36"/>
    </row>
    <row r="1274" spans="1:20" s="38" customFormat="1" hidden="1" x14ac:dyDescent="0.3">
      <c r="A1274" s="36" t="str">
        <f xml:space="preserve"> IF( 'From SvanPC++'!A1264= "", "", ('From SvanPC++'!A1264))</f>
        <v/>
      </c>
      <c r="B1274" s="36"/>
      <c r="C1274" s="36"/>
      <c r="D1274" s="36"/>
      <c r="E1274" s="47"/>
      <c r="F1274" s="19"/>
      <c r="I1274" s="19"/>
      <c r="S1274" s="36"/>
      <c r="T1274" s="36"/>
    </row>
    <row r="1275" spans="1:20" s="38" customFormat="1" hidden="1" x14ac:dyDescent="0.3">
      <c r="A1275" s="36" t="str">
        <f xml:space="preserve"> IF( 'From SvanPC++'!A1265= "", "", ('From SvanPC++'!A1265))</f>
        <v/>
      </c>
      <c r="B1275" s="36"/>
      <c r="C1275" s="36"/>
      <c r="D1275" s="36"/>
      <c r="E1275" s="47"/>
      <c r="F1275" s="19"/>
      <c r="I1275" s="19"/>
      <c r="S1275" s="36"/>
      <c r="T1275" s="36"/>
    </row>
    <row r="1276" spans="1:20" s="38" customFormat="1" hidden="1" x14ac:dyDescent="0.3">
      <c r="A1276" s="36" t="str">
        <f xml:space="preserve"> IF( 'From SvanPC++'!A1266= "", "", ('From SvanPC++'!A1266))</f>
        <v/>
      </c>
      <c r="B1276" s="36"/>
      <c r="C1276" s="36"/>
      <c r="D1276" s="36"/>
      <c r="E1276" s="47"/>
      <c r="F1276" s="19"/>
      <c r="I1276" s="19"/>
      <c r="S1276" s="36"/>
      <c r="T1276" s="36"/>
    </row>
    <row r="1277" spans="1:20" s="38" customFormat="1" hidden="1" x14ac:dyDescent="0.3">
      <c r="A1277" s="36" t="str">
        <f xml:space="preserve"> IF( 'From SvanPC++'!A1267= "", "", ('From SvanPC++'!A1267))</f>
        <v/>
      </c>
      <c r="B1277" s="36"/>
      <c r="C1277" s="36"/>
      <c r="D1277" s="36"/>
      <c r="E1277" s="47"/>
      <c r="F1277" s="19"/>
      <c r="I1277" s="19"/>
      <c r="S1277" s="36"/>
      <c r="T1277" s="36"/>
    </row>
    <row r="1278" spans="1:20" s="38" customFormat="1" hidden="1" x14ac:dyDescent="0.3">
      <c r="A1278" s="36" t="str">
        <f xml:space="preserve"> IF( 'From SvanPC++'!A1268= "", "", ('From SvanPC++'!A1268))</f>
        <v/>
      </c>
      <c r="B1278" s="36"/>
      <c r="C1278" s="36"/>
      <c r="D1278" s="36"/>
      <c r="E1278" s="47"/>
      <c r="F1278" s="19"/>
      <c r="I1278" s="19"/>
      <c r="S1278" s="36"/>
      <c r="T1278" s="36"/>
    </row>
    <row r="1279" spans="1:20" s="38" customFormat="1" hidden="1" x14ac:dyDescent="0.3">
      <c r="A1279" s="36" t="str">
        <f xml:space="preserve"> IF( 'From SvanPC++'!A1269= "", "", ('From SvanPC++'!A1269))</f>
        <v/>
      </c>
      <c r="B1279" s="36"/>
      <c r="C1279" s="36"/>
      <c r="D1279" s="36"/>
      <c r="E1279" s="47"/>
      <c r="F1279" s="19"/>
      <c r="I1279" s="19"/>
      <c r="S1279" s="36"/>
      <c r="T1279" s="36"/>
    </row>
    <row r="1280" spans="1:20" s="38" customFormat="1" hidden="1" x14ac:dyDescent="0.3">
      <c r="A1280" s="36" t="str">
        <f xml:space="preserve"> IF( 'From SvanPC++'!A1270= "", "", ('From SvanPC++'!A1270))</f>
        <v/>
      </c>
      <c r="B1280" s="36"/>
      <c r="C1280" s="36"/>
      <c r="D1280" s="36"/>
      <c r="E1280" s="47"/>
      <c r="F1280" s="19"/>
      <c r="I1280" s="19"/>
      <c r="S1280" s="36"/>
      <c r="T1280" s="36"/>
    </row>
    <row r="1281" spans="1:20" s="38" customFormat="1" hidden="1" x14ac:dyDescent="0.3">
      <c r="A1281" s="36" t="str">
        <f xml:space="preserve"> IF( 'From SvanPC++'!A1271= "", "", ('From SvanPC++'!A1271))</f>
        <v/>
      </c>
      <c r="B1281" s="36"/>
      <c r="C1281" s="36"/>
      <c r="D1281" s="36"/>
      <c r="E1281" s="47"/>
      <c r="F1281" s="19"/>
      <c r="I1281" s="19"/>
      <c r="S1281" s="36"/>
      <c r="T1281" s="36"/>
    </row>
    <row r="1282" spans="1:20" s="38" customFormat="1" hidden="1" x14ac:dyDescent="0.3">
      <c r="A1282" s="36" t="str">
        <f xml:space="preserve"> IF( 'From SvanPC++'!A1272= "", "", ('From SvanPC++'!A1272))</f>
        <v/>
      </c>
      <c r="B1282" s="36"/>
      <c r="C1282" s="36"/>
      <c r="D1282" s="36"/>
      <c r="E1282" s="47"/>
      <c r="F1282" s="19"/>
      <c r="I1282" s="19"/>
      <c r="S1282" s="36"/>
      <c r="T1282" s="36"/>
    </row>
    <row r="1283" spans="1:20" s="38" customFormat="1" hidden="1" x14ac:dyDescent="0.3">
      <c r="A1283" s="36" t="str">
        <f xml:space="preserve"> IF( 'From SvanPC++'!A1273= "", "", ('From SvanPC++'!A1273))</f>
        <v/>
      </c>
      <c r="B1283" s="36"/>
      <c r="C1283" s="36"/>
      <c r="D1283" s="36"/>
      <c r="E1283" s="47"/>
      <c r="F1283" s="19"/>
      <c r="I1283" s="19"/>
      <c r="S1283" s="36"/>
      <c r="T1283" s="36"/>
    </row>
    <row r="1284" spans="1:20" s="38" customFormat="1" hidden="1" x14ac:dyDescent="0.3">
      <c r="A1284" s="36" t="str">
        <f xml:space="preserve"> IF( 'From SvanPC++'!A1274= "", "", ('From SvanPC++'!A1274))</f>
        <v/>
      </c>
      <c r="B1284" s="36"/>
      <c r="C1284" s="36"/>
      <c r="D1284" s="36"/>
      <c r="E1284" s="47"/>
      <c r="F1284" s="19"/>
      <c r="I1284" s="19"/>
      <c r="S1284" s="36"/>
      <c r="T1284" s="36"/>
    </row>
    <row r="1285" spans="1:20" s="38" customFormat="1" hidden="1" x14ac:dyDescent="0.3">
      <c r="A1285" s="36" t="str">
        <f xml:space="preserve"> IF( 'From SvanPC++'!A1275= "", "", ('From SvanPC++'!A1275))</f>
        <v/>
      </c>
      <c r="B1285" s="36"/>
      <c r="C1285" s="36"/>
      <c r="D1285" s="36"/>
      <c r="E1285" s="47"/>
      <c r="F1285" s="19"/>
      <c r="I1285" s="19"/>
      <c r="S1285" s="36"/>
      <c r="T1285" s="36"/>
    </row>
    <row r="1286" spans="1:20" s="38" customFormat="1" hidden="1" x14ac:dyDescent="0.3">
      <c r="A1286" s="36" t="str">
        <f xml:space="preserve"> IF( 'From SvanPC++'!A1276= "", "", ('From SvanPC++'!A1276))</f>
        <v/>
      </c>
      <c r="B1286" s="36"/>
      <c r="C1286" s="36"/>
      <c r="D1286" s="36"/>
      <c r="E1286" s="47"/>
      <c r="F1286" s="19"/>
      <c r="I1286" s="19"/>
      <c r="S1286" s="36"/>
      <c r="T1286" s="36"/>
    </row>
    <row r="1287" spans="1:20" s="38" customFormat="1" hidden="1" x14ac:dyDescent="0.3">
      <c r="A1287" s="36" t="str">
        <f xml:space="preserve"> IF( 'From SvanPC++'!A1277= "", "", ('From SvanPC++'!A1277))</f>
        <v/>
      </c>
      <c r="B1287" s="36"/>
      <c r="C1287" s="36"/>
      <c r="D1287" s="36"/>
      <c r="E1287" s="47"/>
      <c r="F1287" s="19"/>
      <c r="I1287" s="19"/>
      <c r="S1287" s="36"/>
      <c r="T1287" s="36"/>
    </row>
    <row r="1288" spans="1:20" s="38" customFormat="1" hidden="1" x14ac:dyDescent="0.3">
      <c r="A1288" s="36" t="str">
        <f xml:space="preserve"> IF( 'From SvanPC++'!A1278= "", "", ('From SvanPC++'!A1278))</f>
        <v/>
      </c>
      <c r="B1288" s="36"/>
      <c r="C1288" s="36"/>
      <c r="D1288" s="36"/>
      <c r="E1288" s="47"/>
      <c r="F1288" s="19"/>
      <c r="I1288" s="19"/>
      <c r="S1288" s="36"/>
      <c r="T1288" s="36"/>
    </row>
    <row r="1289" spans="1:20" s="38" customFormat="1" hidden="1" x14ac:dyDescent="0.3">
      <c r="A1289" s="36" t="str">
        <f xml:space="preserve"> IF( 'From SvanPC++'!A1279= "", "", ('From SvanPC++'!A1279))</f>
        <v/>
      </c>
      <c r="B1289" s="36"/>
      <c r="C1289" s="36"/>
      <c r="D1289" s="36"/>
      <c r="E1289" s="47"/>
      <c r="F1289" s="19"/>
      <c r="I1289" s="19"/>
      <c r="S1289" s="36"/>
      <c r="T1289" s="36"/>
    </row>
    <row r="1290" spans="1:20" s="38" customFormat="1" hidden="1" x14ac:dyDescent="0.3">
      <c r="A1290" s="36" t="str">
        <f xml:space="preserve"> IF( 'From SvanPC++'!A1280= "", "", ('From SvanPC++'!A1280))</f>
        <v/>
      </c>
      <c r="B1290" s="36"/>
      <c r="C1290" s="36"/>
      <c r="D1290" s="36"/>
      <c r="E1290" s="47"/>
      <c r="F1290" s="19"/>
      <c r="I1290" s="19"/>
      <c r="S1290" s="36"/>
      <c r="T1290" s="36"/>
    </row>
    <row r="1291" spans="1:20" s="38" customFormat="1" hidden="1" x14ac:dyDescent="0.3">
      <c r="A1291" s="36" t="str">
        <f xml:space="preserve"> IF( 'From SvanPC++'!A1281= "", "", ('From SvanPC++'!A1281))</f>
        <v/>
      </c>
      <c r="B1291" s="36"/>
      <c r="C1291" s="36"/>
      <c r="D1291" s="36"/>
      <c r="E1291" s="47"/>
      <c r="F1291" s="19"/>
      <c r="I1291" s="19"/>
      <c r="S1291" s="36"/>
      <c r="T1291" s="36"/>
    </row>
    <row r="1292" spans="1:20" s="38" customFormat="1" hidden="1" x14ac:dyDescent="0.3">
      <c r="A1292" s="36" t="str">
        <f xml:space="preserve"> IF( 'From SvanPC++'!A1282= "", "", ('From SvanPC++'!A1282))</f>
        <v/>
      </c>
      <c r="B1292" s="36"/>
      <c r="C1292" s="36"/>
      <c r="D1292" s="36"/>
      <c r="E1292" s="47"/>
      <c r="F1292" s="19"/>
      <c r="I1292" s="19"/>
      <c r="S1292" s="36"/>
      <c r="T1292" s="36"/>
    </row>
    <row r="1293" spans="1:20" s="38" customFormat="1" hidden="1" x14ac:dyDescent="0.3">
      <c r="A1293" s="36" t="str">
        <f xml:space="preserve"> IF( 'From SvanPC++'!A1283= "", "", ('From SvanPC++'!A1283))</f>
        <v/>
      </c>
      <c r="B1293" s="36"/>
      <c r="C1293" s="36"/>
      <c r="D1293" s="36"/>
      <c r="E1293" s="47"/>
      <c r="F1293" s="19"/>
      <c r="I1293" s="19"/>
      <c r="S1293" s="36"/>
      <c r="T1293" s="36"/>
    </row>
    <row r="1294" spans="1:20" s="38" customFormat="1" hidden="1" x14ac:dyDescent="0.3">
      <c r="A1294" s="36" t="str">
        <f xml:space="preserve"> IF( 'From SvanPC++'!A1284= "", "", ('From SvanPC++'!A1284))</f>
        <v/>
      </c>
      <c r="B1294" s="36"/>
      <c r="C1294" s="36"/>
      <c r="D1294" s="36"/>
      <c r="E1294" s="47"/>
      <c r="F1294" s="19"/>
      <c r="I1294" s="19"/>
      <c r="S1294" s="36"/>
      <c r="T1294" s="36"/>
    </row>
    <row r="1295" spans="1:20" s="38" customFormat="1" hidden="1" x14ac:dyDescent="0.3">
      <c r="A1295" s="36" t="str">
        <f xml:space="preserve"> IF( 'From SvanPC++'!A1285= "", "", ('From SvanPC++'!A1285))</f>
        <v/>
      </c>
      <c r="B1295" s="36"/>
      <c r="C1295" s="36"/>
      <c r="D1295" s="36"/>
      <c r="E1295" s="47"/>
      <c r="F1295" s="19"/>
      <c r="I1295" s="19"/>
      <c r="S1295" s="36"/>
      <c r="T1295" s="36"/>
    </row>
    <row r="1296" spans="1:20" s="38" customFormat="1" hidden="1" x14ac:dyDescent="0.3">
      <c r="A1296" s="36" t="str">
        <f xml:space="preserve"> IF( 'From SvanPC++'!A1286= "", "", ('From SvanPC++'!A1286))</f>
        <v/>
      </c>
      <c r="B1296" s="36"/>
      <c r="C1296" s="36"/>
      <c r="D1296" s="36"/>
      <c r="E1296" s="47"/>
      <c r="F1296" s="19"/>
      <c r="I1296" s="19"/>
      <c r="S1296" s="36"/>
      <c r="T1296" s="36"/>
    </row>
    <row r="1297" spans="1:20" s="38" customFormat="1" hidden="1" x14ac:dyDescent="0.3">
      <c r="A1297" s="36" t="str">
        <f xml:space="preserve"> IF( 'From SvanPC++'!A1287= "", "", ('From SvanPC++'!A1287))</f>
        <v/>
      </c>
      <c r="B1297" s="36"/>
      <c r="C1297" s="36"/>
      <c r="D1297" s="36"/>
      <c r="E1297" s="47"/>
      <c r="F1297" s="19"/>
      <c r="I1297" s="19"/>
      <c r="S1297" s="36"/>
      <c r="T1297" s="36"/>
    </row>
    <row r="1298" spans="1:20" s="38" customFormat="1" hidden="1" x14ac:dyDescent="0.3">
      <c r="A1298" s="36" t="str">
        <f xml:space="preserve"> IF( 'From SvanPC++'!A1288= "", "", ('From SvanPC++'!A1288))</f>
        <v/>
      </c>
      <c r="B1298" s="36"/>
      <c r="C1298" s="36"/>
      <c r="D1298" s="36"/>
      <c r="E1298" s="47"/>
      <c r="F1298" s="19"/>
      <c r="I1298" s="19"/>
      <c r="S1298" s="36"/>
      <c r="T1298" s="36"/>
    </row>
    <row r="1299" spans="1:20" s="38" customFormat="1" hidden="1" x14ac:dyDescent="0.3">
      <c r="A1299" s="36" t="str">
        <f xml:space="preserve"> IF( 'From SvanPC++'!A1289= "", "", ('From SvanPC++'!A1289))</f>
        <v/>
      </c>
      <c r="B1299" s="36"/>
      <c r="C1299" s="36"/>
      <c r="D1299" s="36"/>
      <c r="E1299" s="47"/>
      <c r="F1299" s="19"/>
      <c r="I1299" s="19"/>
      <c r="S1299" s="36"/>
      <c r="T1299" s="36"/>
    </row>
    <row r="1300" spans="1:20" s="38" customFormat="1" hidden="1" x14ac:dyDescent="0.3">
      <c r="A1300" s="36" t="str">
        <f xml:space="preserve"> IF( 'From SvanPC++'!A1290= "", "", ('From SvanPC++'!A1290))</f>
        <v/>
      </c>
      <c r="B1300" s="36"/>
      <c r="C1300" s="36"/>
      <c r="D1300" s="36"/>
      <c r="E1300" s="47"/>
      <c r="F1300" s="19"/>
      <c r="I1300" s="19"/>
      <c r="S1300" s="36"/>
      <c r="T1300" s="36"/>
    </row>
    <row r="1301" spans="1:20" s="38" customFormat="1" hidden="1" x14ac:dyDescent="0.3">
      <c r="A1301" s="36" t="str">
        <f xml:space="preserve"> IF( 'From SvanPC++'!A1291= "", "", ('From SvanPC++'!A1291))</f>
        <v/>
      </c>
      <c r="B1301" s="36"/>
      <c r="C1301" s="36"/>
      <c r="D1301" s="36"/>
      <c r="E1301" s="47"/>
      <c r="F1301" s="19"/>
      <c r="I1301" s="19"/>
      <c r="S1301" s="36"/>
      <c r="T1301" s="36"/>
    </row>
    <row r="1302" spans="1:20" s="38" customFormat="1" hidden="1" x14ac:dyDescent="0.3">
      <c r="A1302" s="36" t="str">
        <f xml:space="preserve"> IF( 'From SvanPC++'!A1292= "", "", ('From SvanPC++'!A1292))</f>
        <v/>
      </c>
      <c r="B1302" s="36"/>
      <c r="C1302" s="36"/>
      <c r="D1302" s="36"/>
      <c r="E1302" s="47"/>
      <c r="F1302" s="19"/>
      <c r="I1302" s="19"/>
      <c r="S1302" s="36"/>
      <c r="T1302" s="36"/>
    </row>
    <row r="1303" spans="1:20" s="38" customFormat="1" hidden="1" x14ac:dyDescent="0.3">
      <c r="A1303" s="36" t="str">
        <f xml:space="preserve"> IF( 'From SvanPC++'!A1293= "", "", ('From SvanPC++'!A1293))</f>
        <v/>
      </c>
      <c r="B1303" s="36"/>
      <c r="C1303" s="36"/>
      <c r="D1303" s="36"/>
      <c r="E1303" s="47"/>
      <c r="F1303" s="19"/>
      <c r="I1303" s="19"/>
      <c r="S1303" s="36"/>
      <c r="T1303" s="36"/>
    </row>
    <row r="1304" spans="1:20" s="38" customFormat="1" hidden="1" x14ac:dyDescent="0.3">
      <c r="A1304" s="36" t="str">
        <f xml:space="preserve"> IF( 'From SvanPC++'!A1294= "", "", ('From SvanPC++'!A1294))</f>
        <v/>
      </c>
      <c r="B1304" s="36"/>
      <c r="C1304" s="36"/>
      <c r="D1304" s="36"/>
      <c r="E1304" s="47"/>
      <c r="F1304" s="19"/>
      <c r="I1304" s="19"/>
      <c r="S1304" s="36"/>
      <c r="T1304" s="36"/>
    </row>
    <row r="1305" spans="1:20" s="38" customFormat="1" hidden="1" x14ac:dyDescent="0.3">
      <c r="A1305" s="36" t="str">
        <f xml:space="preserve"> IF( 'From SvanPC++'!A1295= "", "", ('From SvanPC++'!A1295))</f>
        <v/>
      </c>
      <c r="B1305" s="36"/>
      <c r="C1305" s="36"/>
      <c r="D1305" s="36"/>
      <c r="E1305" s="47"/>
      <c r="F1305" s="19"/>
      <c r="I1305" s="19"/>
      <c r="S1305" s="36"/>
      <c r="T1305" s="36"/>
    </row>
    <row r="1306" spans="1:20" s="38" customFormat="1" hidden="1" x14ac:dyDescent="0.3">
      <c r="A1306" s="36" t="str">
        <f xml:space="preserve"> IF( 'From SvanPC++'!A1296= "", "", ('From SvanPC++'!A1296))</f>
        <v/>
      </c>
      <c r="B1306" s="36"/>
      <c r="C1306" s="36"/>
      <c r="D1306" s="36"/>
      <c r="E1306" s="47"/>
      <c r="F1306" s="19"/>
      <c r="I1306" s="19"/>
      <c r="S1306" s="36"/>
      <c r="T1306" s="36"/>
    </row>
    <row r="1307" spans="1:20" s="38" customFormat="1" hidden="1" x14ac:dyDescent="0.3">
      <c r="A1307" s="36" t="str">
        <f xml:space="preserve"> IF( 'From SvanPC++'!A1297= "", "", ('From SvanPC++'!A1297))</f>
        <v/>
      </c>
      <c r="B1307" s="36"/>
      <c r="C1307" s="36"/>
      <c r="D1307" s="36"/>
      <c r="E1307" s="47"/>
      <c r="F1307" s="19"/>
      <c r="I1307" s="19"/>
      <c r="S1307" s="36"/>
      <c r="T1307" s="36"/>
    </row>
    <row r="1308" spans="1:20" s="38" customFormat="1" hidden="1" x14ac:dyDescent="0.3">
      <c r="A1308" s="36" t="str">
        <f xml:space="preserve"> IF( 'From SvanPC++'!A1298= "", "", ('From SvanPC++'!A1298))</f>
        <v/>
      </c>
      <c r="B1308" s="36"/>
      <c r="C1308" s="36"/>
      <c r="D1308" s="36"/>
      <c r="E1308" s="47"/>
      <c r="F1308" s="19"/>
      <c r="I1308" s="19"/>
      <c r="S1308" s="36"/>
      <c r="T1308" s="36"/>
    </row>
    <row r="1309" spans="1:20" s="38" customFormat="1" hidden="1" x14ac:dyDescent="0.3">
      <c r="A1309" s="36" t="str">
        <f xml:space="preserve"> IF( 'From SvanPC++'!A1299= "", "", ('From SvanPC++'!A1299))</f>
        <v/>
      </c>
      <c r="B1309" s="36"/>
      <c r="C1309" s="36"/>
      <c r="D1309" s="36"/>
      <c r="E1309" s="47"/>
      <c r="F1309" s="19"/>
      <c r="I1309" s="19"/>
      <c r="S1309" s="36"/>
      <c r="T1309" s="36"/>
    </row>
    <row r="1310" spans="1:20" s="38" customFormat="1" hidden="1" x14ac:dyDescent="0.3">
      <c r="A1310" s="36" t="str">
        <f xml:space="preserve"> IF( 'From SvanPC++'!A1300= "", "", ('From SvanPC++'!A1300))</f>
        <v/>
      </c>
      <c r="B1310" s="36"/>
      <c r="C1310" s="36"/>
      <c r="D1310" s="36"/>
      <c r="E1310" s="47"/>
      <c r="F1310" s="19"/>
      <c r="I1310" s="19"/>
      <c r="S1310" s="36"/>
      <c r="T1310" s="36"/>
    </row>
    <row r="1311" spans="1:20" s="38" customFormat="1" hidden="1" x14ac:dyDescent="0.3">
      <c r="A1311" s="36" t="str">
        <f xml:space="preserve"> IF( 'From SvanPC++'!A1301= "", "", ('From SvanPC++'!A1301))</f>
        <v/>
      </c>
      <c r="B1311" s="36"/>
      <c r="C1311" s="36"/>
      <c r="D1311" s="36"/>
      <c r="E1311" s="47"/>
      <c r="F1311" s="19"/>
      <c r="I1311" s="19"/>
      <c r="S1311" s="36"/>
      <c r="T1311" s="36"/>
    </row>
    <row r="1312" spans="1:20" s="38" customFormat="1" hidden="1" x14ac:dyDescent="0.3">
      <c r="A1312" s="36" t="str">
        <f xml:space="preserve"> IF( 'From SvanPC++'!A1302= "", "", ('From SvanPC++'!A1302))</f>
        <v/>
      </c>
      <c r="B1312" s="36"/>
      <c r="C1312" s="36"/>
      <c r="D1312" s="36"/>
      <c r="E1312" s="47"/>
      <c r="F1312" s="19"/>
      <c r="I1312" s="19"/>
      <c r="S1312" s="36"/>
      <c r="T1312" s="36"/>
    </row>
    <row r="1313" spans="1:20" s="38" customFormat="1" hidden="1" x14ac:dyDescent="0.3">
      <c r="A1313" s="36" t="str">
        <f xml:space="preserve"> IF( 'From SvanPC++'!A1303= "", "", ('From SvanPC++'!A1303))</f>
        <v/>
      </c>
      <c r="B1313" s="36"/>
      <c r="C1313" s="36"/>
      <c r="D1313" s="36"/>
      <c r="E1313" s="47"/>
      <c r="F1313" s="19"/>
      <c r="I1313" s="19"/>
      <c r="S1313" s="36"/>
      <c r="T1313" s="36"/>
    </row>
    <row r="1314" spans="1:20" s="38" customFormat="1" hidden="1" x14ac:dyDescent="0.3">
      <c r="A1314" s="36" t="str">
        <f xml:space="preserve"> IF( 'From SvanPC++'!A1304= "", "", ('From SvanPC++'!A1304))</f>
        <v/>
      </c>
      <c r="B1314" s="36"/>
      <c r="C1314" s="36"/>
      <c r="D1314" s="36"/>
      <c r="E1314" s="47"/>
      <c r="F1314" s="19"/>
      <c r="I1314" s="19"/>
      <c r="S1314" s="36"/>
      <c r="T1314" s="36"/>
    </row>
    <row r="1315" spans="1:20" s="38" customFormat="1" hidden="1" x14ac:dyDescent="0.3">
      <c r="A1315" s="36" t="str">
        <f xml:space="preserve"> IF( 'From SvanPC++'!A1305= "", "", ('From SvanPC++'!A1305))</f>
        <v/>
      </c>
      <c r="B1315" s="36"/>
      <c r="C1315" s="36"/>
      <c r="D1315" s="36"/>
      <c r="E1315" s="47"/>
      <c r="F1315" s="19"/>
      <c r="I1315" s="19"/>
      <c r="S1315" s="36"/>
      <c r="T1315" s="36"/>
    </row>
    <row r="1316" spans="1:20" s="38" customFormat="1" hidden="1" x14ac:dyDescent="0.3">
      <c r="A1316" s="36" t="str">
        <f xml:space="preserve"> IF( 'From SvanPC++'!A1306= "", "", ('From SvanPC++'!A1306))</f>
        <v/>
      </c>
      <c r="B1316" s="36"/>
      <c r="C1316" s="36"/>
      <c r="D1316" s="36"/>
      <c r="E1316" s="47"/>
      <c r="F1316" s="19"/>
      <c r="I1316" s="19"/>
      <c r="S1316" s="36"/>
      <c r="T1316" s="36"/>
    </row>
    <row r="1317" spans="1:20" s="38" customFormat="1" hidden="1" x14ac:dyDescent="0.3">
      <c r="A1317" s="36" t="str">
        <f xml:space="preserve"> IF( 'From SvanPC++'!A1307= "", "", ('From SvanPC++'!A1307))</f>
        <v/>
      </c>
      <c r="B1317" s="36"/>
      <c r="C1317" s="36"/>
      <c r="D1317" s="36"/>
      <c r="E1317" s="47"/>
      <c r="F1317" s="19"/>
      <c r="I1317" s="19"/>
      <c r="S1317" s="36"/>
      <c r="T1317" s="36"/>
    </row>
    <row r="1318" spans="1:20" s="38" customFormat="1" hidden="1" x14ac:dyDescent="0.3">
      <c r="A1318" s="36" t="str">
        <f xml:space="preserve"> IF( 'From SvanPC++'!A1308= "", "", ('From SvanPC++'!A1308))</f>
        <v/>
      </c>
      <c r="B1318" s="36"/>
      <c r="C1318" s="36"/>
      <c r="D1318" s="36"/>
      <c r="E1318" s="47"/>
      <c r="F1318" s="19"/>
      <c r="I1318" s="19"/>
      <c r="S1318" s="36"/>
      <c r="T1318" s="36"/>
    </row>
    <row r="1319" spans="1:20" s="38" customFormat="1" hidden="1" x14ac:dyDescent="0.3">
      <c r="A1319" s="36" t="str">
        <f xml:space="preserve"> IF( 'From SvanPC++'!A1309= "", "", ('From SvanPC++'!A1309))</f>
        <v/>
      </c>
      <c r="B1319" s="36"/>
      <c r="C1319" s="36"/>
      <c r="D1319" s="36"/>
      <c r="E1319" s="47"/>
      <c r="F1319" s="19"/>
      <c r="I1319" s="19"/>
      <c r="S1319" s="36"/>
      <c r="T1319" s="36"/>
    </row>
    <row r="1320" spans="1:20" s="38" customFormat="1" hidden="1" x14ac:dyDescent="0.3">
      <c r="A1320" s="36" t="str">
        <f xml:space="preserve"> IF( 'From SvanPC++'!A1310= "", "", ('From SvanPC++'!A1310))</f>
        <v/>
      </c>
      <c r="B1320" s="36"/>
      <c r="C1320" s="36"/>
      <c r="D1320" s="36"/>
      <c r="E1320" s="47"/>
      <c r="F1320" s="19"/>
      <c r="I1320" s="19"/>
      <c r="S1320" s="36"/>
      <c r="T1320" s="36"/>
    </row>
    <row r="1321" spans="1:20" s="38" customFormat="1" hidden="1" x14ac:dyDescent="0.3">
      <c r="A1321" s="36" t="str">
        <f xml:space="preserve"> IF( 'From SvanPC++'!A1311= "", "", ('From SvanPC++'!A1311))</f>
        <v/>
      </c>
      <c r="B1321" s="36"/>
      <c r="C1321" s="36"/>
      <c r="D1321" s="36"/>
      <c r="E1321" s="47"/>
      <c r="F1321" s="19"/>
      <c r="I1321" s="19"/>
      <c r="S1321" s="36"/>
      <c r="T1321" s="36"/>
    </row>
    <row r="1322" spans="1:20" s="38" customFormat="1" hidden="1" x14ac:dyDescent="0.3">
      <c r="A1322" s="36" t="str">
        <f xml:space="preserve"> IF( 'From SvanPC++'!A1312= "", "", ('From SvanPC++'!A1312))</f>
        <v/>
      </c>
      <c r="B1322" s="36"/>
      <c r="C1322" s="36"/>
      <c r="D1322" s="36"/>
      <c r="E1322" s="47"/>
      <c r="F1322" s="19"/>
      <c r="I1322" s="19"/>
      <c r="S1322" s="36"/>
      <c r="T1322" s="36"/>
    </row>
    <row r="1323" spans="1:20" s="38" customFormat="1" hidden="1" x14ac:dyDescent="0.3">
      <c r="A1323" s="36" t="str">
        <f xml:space="preserve"> IF( 'From SvanPC++'!A1313= "", "", ('From SvanPC++'!A1313))</f>
        <v/>
      </c>
      <c r="B1323" s="36"/>
      <c r="C1323" s="36"/>
      <c r="D1323" s="36"/>
      <c r="E1323" s="47"/>
      <c r="F1323" s="19"/>
      <c r="I1323" s="19"/>
      <c r="S1323" s="36"/>
      <c r="T1323" s="36"/>
    </row>
    <row r="1324" spans="1:20" s="38" customFormat="1" hidden="1" x14ac:dyDescent="0.3">
      <c r="A1324" s="36" t="str">
        <f xml:space="preserve"> IF( 'From SvanPC++'!A1314= "", "", ('From SvanPC++'!A1314))</f>
        <v/>
      </c>
      <c r="B1324" s="36"/>
      <c r="C1324" s="36"/>
      <c r="D1324" s="36"/>
      <c r="E1324" s="47"/>
      <c r="F1324" s="19"/>
      <c r="I1324" s="19"/>
      <c r="S1324" s="36"/>
      <c r="T1324" s="36"/>
    </row>
    <row r="1325" spans="1:20" s="38" customFormat="1" hidden="1" x14ac:dyDescent="0.3">
      <c r="A1325" s="36" t="str">
        <f xml:space="preserve"> IF( 'From SvanPC++'!A1315= "", "", ('From SvanPC++'!A1315))</f>
        <v/>
      </c>
      <c r="B1325" s="36"/>
      <c r="C1325" s="36"/>
      <c r="D1325" s="36"/>
      <c r="E1325" s="47"/>
      <c r="F1325" s="19"/>
      <c r="I1325" s="19"/>
      <c r="S1325" s="36"/>
      <c r="T1325" s="36"/>
    </row>
    <row r="1326" spans="1:20" s="38" customFormat="1" hidden="1" x14ac:dyDescent="0.3">
      <c r="A1326" s="36" t="str">
        <f xml:space="preserve"> IF( 'From SvanPC++'!A1316= "", "", ('From SvanPC++'!A1316))</f>
        <v/>
      </c>
      <c r="B1326" s="36"/>
      <c r="C1326" s="36"/>
      <c r="D1326" s="36"/>
      <c r="E1326" s="47"/>
      <c r="F1326" s="19"/>
      <c r="I1326" s="19"/>
      <c r="S1326" s="36"/>
      <c r="T1326" s="36"/>
    </row>
    <row r="1327" spans="1:20" s="38" customFormat="1" hidden="1" x14ac:dyDescent="0.3">
      <c r="A1327" s="36" t="str">
        <f xml:space="preserve"> IF( 'From SvanPC++'!A1317= "", "", ('From SvanPC++'!A1317))</f>
        <v/>
      </c>
      <c r="B1327" s="36"/>
      <c r="C1327" s="36"/>
      <c r="D1327" s="36"/>
      <c r="E1327" s="47"/>
      <c r="F1327" s="19"/>
      <c r="I1327" s="19"/>
      <c r="S1327" s="36"/>
      <c r="T1327" s="36"/>
    </row>
    <row r="1328" spans="1:20" s="38" customFormat="1" hidden="1" x14ac:dyDescent="0.3">
      <c r="A1328" s="36" t="str">
        <f xml:space="preserve"> IF( 'From SvanPC++'!A1318= "", "", ('From SvanPC++'!A1318))</f>
        <v/>
      </c>
      <c r="B1328" s="36"/>
      <c r="C1328" s="36"/>
      <c r="D1328" s="36"/>
      <c r="E1328" s="47"/>
      <c r="F1328" s="19"/>
      <c r="I1328" s="19"/>
      <c r="S1328" s="36"/>
      <c r="T1328" s="36"/>
    </row>
    <row r="1329" spans="1:20" s="38" customFormat="1" hidden="1" x14ac:dyDescent="0.3">
      <c r="A1329" s="36" t="str">
        <f xml:space="preserve"> IF( 'From SvanPC++'!A1319= "", "", ('From SvanPC++'!A1319))</f>
        <v/>
      </c>
      <c r="B1329" s="36"/>
      <c r="C1329" s="36"/>
      <c r="D1329" s="36"/>
      <c r="E1329" s="47"/>
      <c r="F1329" s="19"/>
      <c r="I1329" s="19"/>
      <c r="S1329" s="36"/>
      <c r="T1329" s="36"/>
    </row>
    <row r="1330" spans="1:20" s="38" customFormat="1" hidden="1" x14ac:dyDescent="0.3">
      <c r="A1330" s="36" t="str">
        <f xml:space="preserve"> IF( 'From SvanPC++'!A1320= "", "", ('From SvanPC++'!A1320))</f>
        <v/>
      </c>
      <c r="B1330" s="36"/>
      <c r="C1330" s="36"/>
      <c r="D1330" s="36"/>
      <c r="E1330" s="47"/>
      <c r="F1330" s="19"/>
      <c r="I1330" s="19"/>
      <c r="S1330" s="36"/>
      <c r="T1330" s="36"/>
    </row>
    <row r="1331" spans="1:20" s="38" customFormat="1" hidden="1" x14ac:dyDescent="0.3">
      <c r="A1331" s="36" t="str">
        <f xml:space="preserve"> IF( 'From SvanPC++'!A1321= "", "", ('From SvanPC++'!A1321))</f>
        <v/>
      </c>
      <c r="B1331" s="36"/>
      <c r="C1331" s="36"/>
      <c r="D1331" s="36"/>
      <c r="E1331" s="47"/>
      <c r="F1331" s="19"/>
      <c r="I1331" s="19"/>
      <c r="S1331" s="36"/>
      <c r="T1331" s="36"/>
    </row>
    <row r="1332" spans="1:20" s="38" customFormat="1" hidden="1" x14ac:dyDescent="0.3">
      <c r="A1332" s="36" t="str">
        <f xml:space="preserve"> IF( 'From SvanPC++'!A1322= "", "", ('From SvanPC++'!A1322))</f>
        <v/>
      </c>
      <c r="B1332" s="36"/>
      <c r="C1332" s="36"/>
      <c r="D1332" s="36"/>
      <c r="E1332" s="47"/>
      <c r="F1332" s="19"/>
      <c r="I1332" s="19"/>
      <c r="S1332" s="36"/>
      <c r="T1332" s="36"/>
    </row>
    <row r="1333" spans="1:20" s="38" customFormat="1" hidden="1" x14ac:dyDescent="0.3">
      <c r="A1333" s="36" t="str">
        <f xml:space="preserve"> IF( 'From SvanPC++'!A1323= "", "", ('From SvanPC++'!A1323))</f>
        <v/>
      </c>
      <c r="B1333" s="36"/>
      <c r="C1333" s="36"/>
      <c r="D1333" s="36"/>
      <c r="E1333" s="47"/>
      <c r="F1333" s="19"/>
      <c r="I1333" s="19"/>
      <c r="S1333" s="36"/>
      <c r="T1333" s="36"/>
    </row>
    <row r="1334" spans="1:20" s="38" customFormat="1" hidden="1" x14ac:dyDescent="0.3">
      <c r="A1334" s="36" t="str">
        <f xml:space="preserve"> IF( 'From SvanPC++'!A1324= "", "", ('From SvanPC++'!A1324))</f>
        <v/>
      </c>
      <c r="B1334" s="36"/>
      <c r="C1334" s="36"/>
      <c r="D1334" s="36"/>
      <c r="E1334" s="47"/>
      <c r="F1334" s="19"/>
      <c r="I1334" s="19"/>
      <c r="S1334" s="36"/>
      <c r="T1334" s="36"/>
    </row>
    <row r="1335" spans="1:20" s="38" customFormat="1" hidden="1" x14ac:dyDescent="0.3">
      <c r="A1335" s="36" t="str">
        <f xml:space="preserve"> IF( 'From SvanPC++'!A1325= "", "", ('From SvanPC++'!A1325))</f>
        <v/>
      </c>
      <c r="B1335" s="36"/>
      <c r="C1335" s="36"/>
      <c r="D1335" s="36"/>
      <c r="E1335" s="47"/>
      <c r="F1335" s="19"/>
      <c r="I1335" s="19"/>
      <c r="S1335" s="36"/>
      <c r="T1335" s="36"/>
    </row>
    <row r="1336" spans="1:20" s="38" customFormat="1" hidden="1" x14ac:dyDescent="0.3">
      <c r="A1336" s="36" t="str">
        <f xml:space="preserve"> IF( 'From SvanPC++'!A1326= "", "", ('From SvanPC++'!A1326))</f>
        <v/>
      </c>
      <c r="B1336" s="36"/>
      <c r="C1336" s="36"/>
      <c r="D1336" s="36"/>
      <c r="E1336" s="47"/>
      <c r="F1336" s="19"/>
      <c r="I1336" s="19"/>
      <c r="S1336" s="36"/>
      <c r="T1336" s="36"/>
    </row>
    <row r="1337" spans="1:20" s="38" customFormat="1" hidden="1" x14ac:dyDescent="0.3">
      <c r="A1337" s="36" t="str">
        <f xml:space="preserve"> IF( 'From SvanPC++'!A1327= "", "", ('From SvanPC++'!A1327))</f>
        <v/>
      </c>
      <c r="B1337" s="36"/>
      <c r="C1337" s="36"/>
      <c r="D1337" s="36"/>
      <c r="E1337" s="47"/>
      <c r="F1337" s="19"/>
      <c r="I1337" s="19"/>
      <c r="S1337" s="36"/>
      <c r="T1337" s="36"/>
    </row>
    <row r="1338" spans="1:20" s="38" customFormat="1" hidden="1" x14ac:dyDescent="0.3">
      <c r="A1338" s="36" t="str">
        <f xml:space="preserve"> IF( 'From SvanPC++'!A1328= "", "", ('From SvanPC++'!A1328))</f>
        <v/>
      </c>
      <c r="B1338" s="36"/>
      <c r="C1338" s="36"/>
      <c r="D1338" s="36"/>
      <c r="E1338" s="47"/>
      <c r="F1338" s="19"/>
      <c r="I1338" s="19"/>
      <c r="S1338" s="36"/>
      <c r="T1338" s="36"/>
    </row>
    <row r="1339" spans="1:20" s="38" customFormat="1" hidden="1" x14ac:dyDescent="0.3">
      <c r="A1339" s="36" t="str">
        <f xml:space="preserve"> IF( 'From SvanPC++'!A1329= "", "", ('From SvanPC++'!A1329))</f>
        <v/>
      </c>
      <c r="B1339" s="36"/>
      <c r="C1339" s="36"/>
      <c r="D1339" s="36"/>
      <c r="E1339" s="47"/>
      <c r="F1339" s="19"/>
      <c r="I1339" s="19"/>
      <c r="S1339" s="36"/>
      <c r="T1339" s="36"/>
    </row>
    <row r="1340" spans="1:20" s="38" customFormat="1" hidden="1" x14ac:dyDescent="0.3">
      <c r="A1340" s="36" t="str">
        <f xml:space="preserve"> IF( 'From SvanPC++'!A1330= "", "", ('From SvanPC++'!A1330))</f>
        <v/>
      </c>
      <c r="B1340" s="36"/>
      <c r="C1340" s="36"/>
      <c r="D1340" s="36"/>
      <c r="E1340" s="47"/>
      <c r="F1340" s="19"/>
      <c r="I1340" s="19"/>
      <c r="S1340" s="36"/>
      <c r="T1340" s="36"/>
    </row>
    <row r="1341" spans="1:20" s="38" customFormat="1" hidden="1" x14ac:dyDescent="0.3">
      <c r="A1341" s="36" t="str">
        <f xml:space="preserve"> IF( 'From SvanPC++'!A1331= "", "", ('From SvanPC++'!A1331))</f>
        <v/>
      </c>
      <c r="B1341" s="36"/>
      <c r="C1341" s="36"/>
      <c r="D1341" s="36"/>
      <c r="E1341" s="47"/>
      <c r="F1341" s="19"/>
      <c r="I1341" s="19"/>
      <c r="S1341" s="36"/>
      <c r="T1341" s="36"/>
    </row>
    <row r="1342" spans="1:20" s="38" customFormat="1" hidden="1" x14ac:dyDescent="0.3">
      <c r="A1342" s="36" t="str">
        <f xml:space="preserve"> IF( 'From SvanPC++'!A1332= "", "", ('From SvanPC++'!A1332))</f>
        <v/>
      </c>
      <c r="B1342" s="36"/>
      <c r="C1342" s="36"/>
      <c r="D1342" s="36"/>
      <c r="E1342" s="47"/>
      <c r="F1342" s="19"/>
      <c r="I1342" s="19"/>
      <c r="S1342" s="36"/>
      <c r="T1342" s="36"/>
    </row>
    <row r="1343" spans="1:20" s="38" customFormat="1" hidden="1" x14ac:dyDescent="0.3">
      <c r="A1343" s="36" t="str">
        <f xml:space="preserve"> IF( 'From SvanPC++'!A1333= "", "", ('From SvanPC++'!A1333))</f>
        <v/>
      </c>
      <c r="B1343" s="36"/>
      <c r="C1343" s="36"/>
      <c r="D1343" s="36"/>
      <c r="E1343" s="47"/>
      <c r="F1343" s="19"/>
      <c r="I1343" s="19"/>
      <c r="S1343" s="36"/>
      <c r="T1343" s="36"/>
    </row>
    <row r="1344" spans="1:20" s="38" customFormat="1" hidden="1" x14ac:dyDescent="0.3">
      <c r="A1344" s="36" t="str">
        <f xml:space="preserve"> IF( 'From SvanPC++'!A1334= "", "", ('From SvanPC++'!A1334))</f>
        <v/>
      </c>
      <c r="B1344" s="36"/>
      <c r="C1344" s="36"/>
      <c r="D1344" s="36"/>
      <c r="E1344" s="47"/>
      <c r="F1344" s="19"/>
      <c r="I1344" s="19"/>
      <c r="S1344" s="36"/>
      <c r="T1344" s="36"/>
    </row>
    <row r="1345" spans="1:20" s="38" customFormat="1" hidden="1" x14ac:dyDescent="0.3">
      <c r="A1345" s="36" t="str">
        <f xml:space="preserve"> IF( 'From SvanPC++'!A1335= "", "", ('From SvanPC++'!A1335))</f>
        <v/>
      </c>
      <c r="B1345" s="36"/>
      <c r="C1345" s="36"/>
      <c r="D1345" s="36"/>
      <c r="E1345" s="47"/>
      <c r="F1345" s="19"/>
      <c r="I1345" s="19"/>
      <c r="S1345" s="36"/>
      <c r="T1345" s="36"/>
    </row>
    <row r="1346" spans="1:20" s="38" customFormat="1" hidden="1" x14ac:dyDescent="0.3">
      <c r="A1346" s="36" t="str">
        <f xml:space="preserve"> IF( 'From SvanPC++'!A1336= "", "", ('From SvanPC++'!A1336))</f>
        <v/>
      </c>
      <c r="B1346" s="36"/>
      <c r="C1346" s="36"/>
      <c r="D1346" s="36"/>
      <c r="E1346" s="47"/>
      <c r="F1346" s="19"/>
      <c r="I1346" s="19"/>
      <c r="S1346" s="36"/>
      <c r="T1346" s="36"/>
    </row>
    <row r="1347" spans="1:20" s="38" customFormat="1" hidden="1" x14ac:dyDescent="0.3">
      <c r="A1347" s="36" t="str">
        <f xml:space="preserve"> IF( 'From SvanPC++'!A1337= "", "", ('From SvanPC++'!A1337))</f>
        <v/>
      </c>
      <c r="B1347" s="36"/>
      <c r="C1347" s="36"/>
      <c r="D1347" s="36"/>
      <c r="E1347" s="47"/>
      <c r="F1347" s="19"/>
      <c r="I1347" s="19"/>
      <c r="S1347" s="36"/>
      <c r="T1347" s="36"/>
    </row>
    <row r="1348" spans="1:20" s="38" customFormat="1" hidden="1" x14ac:dyDescent="0.3">
      <c r="A1348" s="36" t="str">
        <f xml:space="preserve"> IF( 'From SvanPC++'!A1338= "", "", ('From SvanPC++'!A1338))</f>
        <v/>
      </c>
      <c r="B1348" s="36"/>
      <c r="C1348" s="36"/>
      <c r="D1348" s="36"/>
      <c r="E1348" s="47"/>
      <c r="F1348" s="19"/>
      <c r="I1348" s="19"/>
      <c r="S1348" s="36"/>
      <c r="T1348" s="36"/>
    </row>
    <row r="1349" spans="1:20" s="38" customFormat="1" hidden="1" x14ac:dyDescent="0.3">
      <c r="A1349" s="36" t="str">
        <f xml:space="preserve"> IF( 'From SvanPC++'!A1339= "", "", ('From SvanPC++'!A1339))</f>
        <v/>
      </c>
      <c r="B1349" s="36"/>
      <c r="C1349" s="36"/>
      <c r="D1349" s="36"/>
      <c r="E1349" s="47"/>
      <c r="F1349" s="19"/>
      <c r="I1349" s="19"/>
      <c r="S1349" s="36"/>
      <c r="T1349" s="36"/>
    </row>
    <row r="1350" spans="1:20" s="38" customFormat="1" hidden="1" x14ac:dyDescent="0.3">
      <c r="A1350" s="36" t="str">
        <f xml:space="preserve"> IF( 'From SvanPC++'!A1340= "", "", ('From SvanPC++'!A1340))</f>
        <v/>
      </c>
      <c r="B1350" s="36"/>
      <c r="C1350" s="36"/>
      <c r="D1350" s="36"/>
      <c r="E1350" s="47"/>
      <c r="F1350" s="19"/>
      <c r="I1350" s="19"/>
      <c r="S1350" s="36"/>
      <c r="T1350" s="36"/>
    </row>
    <row r="1351" spans="1:20" s="38" customFormat="1" hidden="1" x14ac:dyDescent="0.3">
      <c r="A1351" s="36" t="str">
        <f xml:space="preserve"> IF( 'From SvanPC++'!A1341= "", "", ('From SvanPC++'!A1341))</f>
        <v/>
      </c>
      <c r="B1351" s="36"/>
      <c r="C1351" s="36"/>
      <c r="D1351" s="36"/>
      <c r="E1351" s="47"/>
      <c r="F1351" s="19"/>
      <c r="I1351" s="19"/>
      <c r="S1351" s="36"/>
      <c r="T1351" s="36"/>
    </row>
    <row r="1352" spans="1:20" s="38" customFormat="1" hidden="1" x14ac:dyDescent="0.3">
      <c r="A1352" s="36" t="str">
        <f xml:space="preserve"> IF( 'From SvanPC++'!A1342= "", "", ('From SvanPC++'!A1342))</f>
        <v/>
      </c>
      <c r="B1352" s="36"/>
      <c r="C1352" s="36"/>
      <c r="D1352" s="36"/>
      <c r="E1352" s="47"/>
      <c r="F1352" s="19"/>
      <c r="I1352" s="19"/>
      <c r="S1352" s="36"/>
      <c r="T1352" s="36"/>
    </row>
    <row r="1353" spans="1:20" s="38" customFormat="1" hidden="1" x14ac:dyDescent="0.3">
      <c r="A1353" s="36" t="str">
        <f xml:space="preserve"> IF( 'From SvanPC++'!A1343= "", "", ('From SvanPC++'!A1343))</f>
        <v/>
      </c>
      <c r="B1353" s="36"/>
      <c r="C1353" s="36"/>
      <c r="D1353" s="36"/>
      <c r="E1353" s="47"/>
      <c r="F1353" s="19"/>
      <c r="I1353" s="19"/>
      <c r="S1353" s="36"/>
      <c r="T1353" s="36"/>
    </row>
    <row r="1354" spans="1:20" s="38" customFormat="1" hidden="1" x14ac:dyDescent="0.3">
      <c r="A1354" s="36" t="str">
        <f xml:space="preserve"> IF( 'From SvanPC++'!A1344= "", "", ('From SvanPC++'!A1344))</f>
        <v/>
      </c>
      <c r="B1354" s="36"/>
      <c r="C1354" s="36"/>
      <c r="D1354" s="36"/>
      <c r="E1354" s="47"/>
      <c r="F1354" s="19"/>
      <c r="I1354" s="19"/>
      <c r="S1354" s="36"/>
      <c r="T1354" s="36"/>
    </row>
    <row r="1355" spans="1:20" s="38" customFormat="1" hidden="1" x14ac:dyDescent="0.3">
      <c r="A1355" s="36" t="str">
        <f xml:space="preserve"> IF( 'From SvanPC++'!A1345= "", "", ('From SvanPC++'!A1345))</f>
        <v/>
      </c>
      <c r="B1355" s="36"/>
      <c r="C1355" s="36"/>
      <c r="D1355" s="36"/>
      <c r="E1355" s="47"/>
      <c r="F1355" s="19"/>
      <c r="I1355" s="19"/>
      <c r="S1355" s="36"/>
      <c r="T1355" s="36"/>
    </row>
    <row r="1356" spans="1:20" s="38" customFormat="1" hidden="1" x14ac:dyDescent="0.3">
      <c r="A1356" s="36" t="str">
        <f xml:space="preserve"> IF( 'From SvanPC++'!A1346= "", "", ('From SvanPC++'!A1346))</f>
        <v/>
      </c>
      <c r="B1356" s="36"/>
      <c r="C1356" s="36"/>
      <c r="D1356" s="36"/>
      <c r="E1356" s="47"/>
      <c r="F1356" s="19"/>
      <c r="I1356" s="19"/>
      <c r="S1356" s="36"/>
      <c r="T1356" s="36"/>
    </row>
    <row r="1357" spans="1:20" s="38" customFormat="1" hidden="1" x14ac:dyDescent="0.3">
      <c r="A1357" s="36" t="str">
        <f xml:space="preserve"> IF( 'From SvanPC++'!A1347= "", "", ('From SvanPC++'!A1347))</f>
        <v/>
      </c>
      <c r="B1357" s="36"/>
      <c r="C1357" s="36"/>
      <c r="D1357" s="36"/>
      <c r="E1357" s="47"/>
      <c r="F1357" s="19"/>
      <c r="I1357" s="19"/>
      <c r="S1357" s="36"/>
      <c r="T1357" s="36"/>
    </row>
    <row r="1358" spans="1:20" s="38" customFormat="1" hidden="1" x14ac:dyDescent="0.3">
      <c r="A1358" s="36" t="str">
        <f xml:space="preserve"> IF( 'From SvanPC++'!A1348= "", "", ('From SvanPC++'!A1348))</f>
        <v/>
      </c>
      <c r="B1358" s="36"/>
      <c r="C1358" s="36"/>
      <c r="D1358" s="36"/>
      <c r="E1358" s="47"/>
      <c r="F1358" s="19"/>
      <c r="I1358" s="19"/>
      <c r="S1358" s="36"/>
      <c r="T1358" s="36"/>
    </row>
    <row r="1359" spans="1:20" s="38" customFormat="1" hidden="1" x14ac:dyDescent="0.3">
      <c r="A1359" s="36" t="str">
        <f xml:space="preserve"> IF( 'From SvanPC++'!A1349= "", "", ('From SvanPC++'!A1349))</f>
        <v/>
      </c>
      <c r="B1359" s="36"/>
      <c r="C1359" s="36"/>
      <c r="D1359" s="36"/>
      <c r="E1359" s="47"/>
      <c r="F1359" s="19"/>
      <c r="I1359" s="19"/>
      <c r="S1359" s="36"/>
      <c r="T1359" s="36"/>
    </row>
    <row r="1360" spans="1:20" s="38" customFormat="1" hidden="1" x14ac:dyDescent="0.3">
      <c r="A1360" s="36" t="str">
        <f xml:space="preserve"> IF( 'From SvanPC++'!A1350= "", "", ('From SvanPC++'!A1350))</f>
        <v/>
      </c>
      <c r="B1360" s="36"/>
      <c r="C1360" s="36"/>
      <c r="D1360" s="36"/>
      <c r="E1360" s="47"/>
      <c r="F1360" s="19"/>
      <c r="I1360" s="19"/>
      <c r="S1360" s="36"/>
      <c r="T1360" s="36"/>
    </row>
    <row r="1361" spans="1:20" s="38" customFormat="1" hidden="1" x14ac:dyDescent="0.3">
      <c r="A1361" s="36" t="str">
        <f xml:space="preserve"> IF( 'From SvanPC++'!A1351= "", "", ('From SvanPC++'!A1351))</f>
        <v/>
      </c>
      <c r="B1361" s="36"/>
      <c r="C1361" s="36"/>
      <c r="D1361" s="36"/>
      <c r="E1361" s="47"/>
      <c r="F1361" s="19"/>
      <c r="I1361" s="19"/>
      <c r="S1361" s="36"/>
      <c r="T1361" s="36"/>
    </row>
    <row r="1362" spans="1:20" s="38" customFormat="1" hidden="1" x14ac:dyDescent="0.3">
      <c r="A1362" s="36" t="str">
        <f xml:space="preserve"> IF( 'From SvanPC++'!A1352= "", "", ('From SvanPC++'!A1352))</f>
        <v/>
      </c>
      <c r="B1362" s="36"/>
      <c r="C1362" s="36"/>
      <c r="D1362" s="36"/>
      <c r="E1362" s="47"/>
      <c r="F1362" s="19"/>
      <c r="I1362" s="19"/>
      <c r="S1362" s="36"/>
      <c r="T1362" s="36"/>
    </row>
    <row r="1363" spans="1:20" s="38" customFormat="1" hidden="1" x14ac:dyDescent="0.3">
      <c r="A1363" s="36" t="str">
        <f xml:space="preserve"> IF( 'From SvanPC++'!A1353= "", "", ('From SvanPC++'!A1353))</f>
        <v/>
      </c>
      <c r="B1363" s="36"/>
      <c r="C1363" s="36"/>
      <c r="D1363" s="36"/>
      <c r="E1363" s="47"/>
      <c r="F1363" s="19"/>
      <c r="I1363" s="19"/>
      <c r="S1363" s="36"/>
      <c r="T1363" s="36"/>
    </row>
    <row r="1364" spans="1:20" s="38" customFormat="1" hidden="1" x14ac:dyDescent="0.3">
      <c r="A1364" s="36" t="str">
        <f xml:space="preserve"> IF( 'From SvanPC++'!A1354= "", "", ('From SvanPC++'!A1354))</f>
        <v/>
      </c>
      <c r="B1364" s="36"/>
      <c r="C1364" s="36"/>
      <c r="D1364" s="36"/>
      <c r="E1364" s="47"/>
      <c r="F1364" s="19"/>
      <c r="I1364" s="19"/>
      <c r="S1364" s="36"/>
      <c r="T1364" s="36"/>
    </row>
    <row r="1365" spans="1:20" s="38" customFormat="1" hidden="1" x14ac:dyDescent="0.3">
      <c r="A1365" s="36" t="str">
        <f xml:space="preserve"> IF( 'From SvanPC++'!A1355= "", "", ('From SvanPC++'!A1355))</f>
        <v/>
      </c>
      <c r="B1365" s="36"/>
      <c r="C1365" s="36"/>
      <c r="D1365" s="36"/>
      <c r="E1365" s="47"/>
      <c r="F1365" s="19"/>
      <c r="I1365" s="19"/>
      <c r="S1365" s="36"/>
      <c r="T1365" s="36"/>
    </row>
    <row r="1366" spans="1:20" s="38" customFormat="1" hidden="1" x14ac:dyDescent="0.3">
      <c r="A1366" s="36" t="str">
        <f xml:space="preserve"> IF( 'From SvanPC++'!A1356= "", "", ('From SvanPC++'!A1356))</f>
        <v/>
      </c>
      <c r="B1366" s="36"/>
      <c r="C1366" s="36"/>
      <c r="D1366" s="36"/>
      <c r="E1366" s="47"/>
      <c r="F1366" s="19"/>
      <c r="I1366" s="19"/>
      <c r="S1366" s="36"/>
      <c r="T1366" s="36"/>
    </row>
    <row r="1367" spans="1:20" s="38" customFormat="1" hidden="1" x14ac:dyDescent="0.3">
      <c r="A1367" s="36" t="str">
        <f xml:space="preserve"> IF( 'From SvanPC++'!A1357= "", "", ('From SvanPC++'!A1357))</f>
        <v/>
      </c>
      <c r="B1367" s="36"/>
      <c r="C1367" s="36"/>
      <c r="D1367" s="36"/>
      <c r="E1367" s="47"/>
      <c r="F1367" s="19"/>
      <c r="I1367" s="19"/>
      <c r="S1367" s="36"/>
      <c r="T1367" s="36"/>
    </row>
    <row r="1368" spans="1:20" s="38" customFormat="1" hidden="1" x14ac:dyDescent="0.3">
      <c r="A1368" s="36" t="str">
        <f xml:space="preserve"> IF( 'From SvanPC++'!A1358= "", "", ('From SvanPC++'!A1358))</f>
        <v/>
      </c>
      <c r="B1368" s="36"/>
      <c r="C1368" s="36"/>
      <c r="D1368" s="36"/>
      <c r="E1368" s="47"/>
      <c r="F1368" s="19"/>
      <c r="I1368" s="19"/>
      <c r="S1368" s="36"/>
      <c r="T1368" s="36"/>
    </row>
    <row r="1369" spans="1:20" s="38" customFormat="1" hidden="1" x14ac:dyDescent="0.3">
      <c r="A1369" s="36" t="str">
        <f xml:space="preserve"> IF( 'From SvanPC++'!A1359= "", "", ('From SvanPC++'!A1359))</f>
        <v/>
      </c>
      <c r="B1369" s="36"/>
      <c r="C1369" s="36"/>
      <c r="D1369" s="36"/>
      <c r="E1369" s="47"/>
      <c r="F1369" s="19"/>
      <c r="I1369" s="19"/>
      <c r="S1369" s="36"/>
      <c r="T1369" s="36"/>
    </row>
    <row r="1370" spans="1:20" s="38" customFormat="1" hidden="1" x14ac:dyDescent="0.3">
      <c r="A1370" s="36" t="str">
        <f xml:space="preserve"> IF( 'From SvanPC++'!A1360= "", "", ('From SvanPC++'!A1360))</f>
        <v/>
      </c>
      <c r="B1370" s="36"/>
      <c r="C1370" s="36"/>
      <c r="D1370" s="36"/>
      <c r="E1370" s="47"/>
      <c r="F1370" s="19"/>
      <c r="I1370" s="19"/>
      <c r="S1370" s="36"/>
      <c r="T1370" s="36"/>
    </row>
    <row r="1371" spans="1:20" s="38" customFormat="1" hidden="1" x14ac:dyDescent="0.3">
      <c r="A1371" s="36" t="str">
        <f xml:space="preserve"> IF( 'From SvanPC++'!A1361= "", "", ('From SvanPC++'!A1361))</f>
        <v/>
      </c>
      <c r="B1371" s="36"/>
      <c r="C1371" s="36"/>
      <c r="D1371" s="36"/>
      <c r="E1371" s="47"/>
      <c r="F1371" s="19"/>
      <c r="I1371" s="19"/>
      <c r="S1371" s="36"/>
      <c r="T1371" s="36"/>
    </row>
    <row r="1372" spans="1:20" s="38" customFormat="1" hidden="1" x14ac:dyDescent="0.3">
      <c r="A1372" s="36" t="str">
        <f xml:space="preserve"> IF( 'From SvanPC++'!A1362= "", "", ('From SvanPC++'!A1362))</f>
        <v/>
      </c>
      <c r="B1372" s="36"/>
      <c r="C1372" s="36"/>
      <c r="D1372" s="36"/>
      <c r="E1372" s="47"/>
      <c r="F1372" s="19"/>
      <c r="I1372" s="19"/>
      <c r="S1372" s="36"/>
      <c r="T1372" s="36"/>
    </row>
    <row r="1373" spans="1:20" s="38" customFormat="1" hidden="1" x14ac:dyDescent="0.3">
      <c r="A1373" s="36" t="str">
        <f xml:space="preserve"> IF( 'From SvanPC++'!A1363= "", "", ('From SvanPC++'!A1363))</f>
        <v/>
      </c>
      <c r="B1373" s="36"/>
      <c r="C1373" s="36"/>
      <c r="D1373" s="36"/>
      <c r="E1373" s="47"/>
      <c r="F1373" s="19"/>
      <c r="I1373" s="19"/>
      <c r="S1373" s="36"/>
      <c r="T1373" s="36"/>
    </row>
    <row r="1374" spans="1:20" s="38" customFormat="1" hidden="1" x14ac:dyDescent="0.3">
      <c r="A1374" s="36" t="str">
        <f xml:space="preserve"> IF( 'From SvanPC++'!A1364= "", "", ('From SvanPC++'!A1364))</f>
        <v/>
      </c>
      <c r="B1374" s="36"/>
      <c r="C1374" s="36"/>
      <c r="D1374" s="36"/>
      <c r="E1374" s="47"/>
      <c r="F1374" s="19"/>
      <c r="I1374" s="19"/>
      <c r="S1374" s="36"/>
      <c r="T1374" s="36"/>
    </row>
    <row r="1375" spans="1:20" s="38" customFormat="1" hidden="1" x14ac:dyDescent="0.3">
      <c r="A1375" s="36" t="str">
        <f xml:space="preserve"> IF( 'From SvanPC++'!A1365= "", "", ('From SvanPC++'!A1365))</f>
        <v/>
      </c>
      <c r="B1375" s="36"/>
      <c r="C1375" s="36"/>
      <c r="D1375" s="36"/>
      <c r="E1375" s="47"/>
      <c r="F1375" s="19"/>
      <c r="I1375" s="19"/>
      <c r="S1375" s="36"/>
      <c r="T1375" s="36"/>
    </row>
    <row r="1376" spans="1:20" s="38" customFormat="1" hidden="1" x14ac:dyDescent="0.3">
      <c r="A1376" s="36" t="str">
        <f xml:space="preserve"> IF( 'From SvanPC++'!A1366= "", "", ('From SvanPC++'!A1366))</f>
        <v/>
      </c>
      <c r="B1376" s="36"/>
      <c r="C1376" s="36"/>
      <c r="D1376" s="36"/>
      <c r="E1376" s="47"/>
      <c r="F1376" s="19"/>
      <c r="I1376" s="19"/>
      <c r="S1376" s="36"/>
      <c r="T1376" s="36"/>
    </row>
    <row r="1377" spans="1:20" s="38" customFormat="1" hidden="1" x14ac:dyDescent="0.3">
      <c r="A1377" s="36" t="str">
        <f xml:space="preserve"> IF( 'From SvanPC++'!A1367= "", "", ('From SvanPC++'!A1367))</f>
        <v/>
      </c>
      <c r="B1377" s="36"/>
      <c r="C1377" s="36"/>
      <c r="D1377" s="36"/>
      <c r="E1377" s="47"/>
      <c r="F1377" s="19"/>
      <c r="I1377" s="19"/>
      <c r="S1377" s="36"/>
      <c r="T1377" s="36"/>
    </row>
    <row r="1378" spans="1:20" s="38" customFormat="1" hidden="1" x14ac:dyDescent="0.3">
      <c r="A1378" s="36" t="str">
        <f xml:space="preserve"> IF( 'From SvanPC++'!A1368= "", "", ('From SvanPC++'!A1368))</f>
        <v/>
      </c>
      <c r="B1378" s="36"/>
      <c r="C1378" s="36"/>
      <c r="D1378" s="36"/>
      <c r="E1378" s="47"/>
      <c r="F1378" s="19"/>
      <c r="I1378" s="19"/>
      <c r="S1378" s="36"/>
      <c r="T1378" s="36"/>
    </row>
    <row r="1379" spans="1:20" s="38" customFormat="1" hidden="1" x14ac:dyDescent="0.3">
      <c r="A1379" s="36" t="str">
        <f xml:space="preserve"> IF( 'From SvanPC++'!A1369= "", "", ('From SvanPC++'!A1369))</f>
        <v/>
      </c>
      <c r="B1379" s="36"/>
      <c r="C1379" s="36"/>
      <c r="D1379" s="36"/>
      <c r="E1379" s="47"/>
      <c r="F1379" s="19"/>
      <c r="I1379" s="19"/>
      <c r="S1379" s="36"/>
      <c r="T1379" s="36"/>
    </row>
    <row r="1380" spans="1:20" s="38" customFormat="1" hidden="1" x14ac:dyDescent="0.3">
      <c r="A1380" s="36" t="str">
        <f xml:space="preserve"> IF( 'From SvanPC++'!A1370= "", "", ('From SvanPC++'!A1370))</f>
        <v/>
      </c>
      <c r="B1380" s="36"/>
      <c r="C1380" s="36"/>
      <c r="D1380" s="36"/>
      <c r="E1380" s="47"/>
      <c r="F1380" s="19"/>
      <c r="I1380" s="19"/>
      <c r="S1380" s="36"/>
      <c r="T1380" s="36"/>
    </row>
    <row r="1381" spans="1:20" s="38" customFormat="1" hidden="1" x14ac:dyDescent="0.3">
      <c r="A1381" s="36" t="str">
        <f xml:space="preserve"> IF( 'From SvanPC++'!A1371= "", "", ('From SvanPC++'!A1371))</f>
        <v/>
      </c>
      <c r="B1381" s="36"/>
      <c r="C1381" s="36"/>
      <c r="D1381" s="36"/>
      <c r="E1381" s="47"/>
      <c r="F1381" s="19"/>
      <c r="I1381" s="19"/>
      <c r="S1381" s="36"/>
      <c r="T1381" s="36"/>
    </row>
    <row r="1382" spans="1:20" s="38" customFormat="1" hidden="1" x14ac:dyDescent="0.3">
      <c r="A1382" s="36" t="str">
        <f xml:space="preserve"> IF( 'From SvanPC++'!A1372= "", "", ('From SvanPC++'!A1372))</f>
        <v/>
      </c>
      <c r="B1382" s="36"/>
      <c r="C1382" s="36"/>
      <c r="D1382" s="36"/>
      <c r="E1382" s="47"/>
      <c r="F1382" s="19"/>
      <c r="I1382" s="19"/>
      <c r="S1382" s="36"/>
      <c r="T1382" s="36"/>
    </row>
    <row r="1383" spans="1:20" s="38" customFormat="1" hidden="1" x14ac:dyDescent="0.3">
      <c r="A1383" s="36" t="str">
        <f xml:space="preserve"> IF( 'From SvanPC++'!A1373= "", "", ('From SvanPC++'!A1373))</f>
        <v/>
      </c>
      <c r="B1383" s="36"/>
      <c r="C1383" s="36"/>
      <c r="D1383" s="36"/>
      <c r="E1383" s="47"/>
      <c r="F1383" s="19"/>
      <c r="I1383" s="19"/>
      <c r="S1383" s="36"/>
      <c r="T1383" s="36"/>
    </row>
    <row r="1384" spans="1:20" s="38" customFormat="1" hidden="1" x14ac:dyDescent="0.3">
      <c r="A1384" s="36" t="str">
        <f xml:space="preserve"> IF( 'From SvanPC++'!A1374= "", "", ('From SvanPC++'!A1374))</f>
        <v/>
      </c>
      <c r="B1384" s="36"/>
      <c r="C1384" s="36"/>
      <c r="D1384" s="36"/>
      <c r="E1384" s="47"/>
      <c r="F1384" s="19"/>
      <c r="I1384" s="19"/>
      <c r="S1384" s="36"/>
      <c r="T1384" s="36"/>
    </row>
    <row r="1385" spans="1:20" s="38" customFormat="1" hidden="1" x14ac:dyDescent="0.3">
      <c r="A1385" s="36" t="str">
        <f xml:space="preserve"> IF( 'From SvanPC++'!A1375= "", "", ('From SvanPC++'!A1375))</f>
        <v/>
      </c>
      <c r="B1385" s="36"/>
      <c r="C1385" s="36"/>
      <c r="D1385" s="36"/>
      <c r="E1385" s="47"/>
      <c r="F1385" s="19"/>
      <c r="I1385" s="19"/>
      <c r="S1385" s="36"/>
      <c r="T1385" s="36"/>
    </row>
    <row r="1386" spans="1:20" s="38" customFormat="1" hidden="1" x14ac:dyDescent="0.3">
      <c r="A1386" s="36" t="str">
        <f xml:space="preserve"> IF( 'From SvanPC++'!A1376= "", "", ('From SvanPC++'!A1376))</f>
        <v/>
      </c>
      <c r="B1386" s="36"/>
      <c r="C1386" s="36"/>
      <c r="D1386" s="36"/>
      <c r="E1386" s="47"/>
      <c r="F1386" s="19"/>
      <c r="I1386" s="19"/>
      <c r="S1386" s="36"/>
      <c r="T1386" s="36"/>
    </row>
    <row r="1387" spans="1:20" s="38" customFormat="1" hidden="1" x14ac:dyDescent="0.3">
      <c r="A1387" s="36" t="str">
        <f xml:space="preserve"> IF( 'From SvanPC++'!A1377= "", "", ('From SvanPC++'!A1377))</f>
        <v/>
      </c>
      <c r="B1387" s="36"/>
      <c r="C1387" s="36"/>
      <c r="D1387" s="36"/>
      <c r="E1387" s="47"/>
      <c r="F1387" s="19"/>
      <c r="I1387" s="19"/>
      <c r="S1387" s="36"/>
      <c r="T1387" s="36"/>
    </row>
    <row r="1388" spans="1:20" s="38" customFormat="1" hidden="1" x14ac:dyDescent="0.3">
      <c r="A1388" s="36" t="str">
        <f xml:space="preserve"> IF( 'From SvanPC++'!A1378= "", "", ('From SvanPC++'!A1378))</f>
        <v/>
      </c>
      <c r="B1388" s="36"/>
      <c r="C1388" s="36"/>
      <c r="D1388" s="36"/>
      <c r="E1388" s="47"/>
      <c r="F1388" s="19"/>
      <c r="I1388" s="19"/>
      <c r="S1388" s="36"/>
      <c r="T1388" s="36"/>
    </row>
    <row r="1389" spans="1:20" s="38" customFormat="1" hidden="1" x14ac:dyDescent="0.3">
      <c r="A1389" s="36" t="str">
        <f xml:space="preserve"> IF( 'From SvanPC++'!A1379= "", "", ('From SvanPC++'!A1379))</f>
        <v/>
      </c>
      <c r="B1389" s="36"/>
      <c r="C1389" s="36"/>
      <c r="D1389" s="36"/>
      <c r="E1389" s="47"/>
      <c r="F1389" s="19"/>
      <c r="I1389" s="19"/>
      <c r="S1389" s="36"/>
      <c r="T1389" s="36"/>
    </row>
    <row r="1390" spans="1:20" s="38" customFormat="1" hidden="1" x14ac:dyDescent="0.3">
      <c r="A1390" s="36" t="str">
        <f xml:space="preserve"> IF( 'From SvanPC++'!A1380= "", "", ('From SvanPC++'!A1380))</f>
        <v/>
      </c>
      <c r="B1390" s="36"/>
      <c r="C1390" s="36"/>
      <c r="D1390" s="36"/>
      <c r="E1390" s="47"/>
      <c r="F1390" s="19"/>
      <c r="I1390" s="19"/>
      <c r="S1390" s="36"/>
      <c r="T1390" s="36"/>
    </row>
    <row r="1391" spans="1:20" s="38" customFormat="1" hidden="1" x14ac:dyDescent="0.3">
      <c r="A1391" s="36" t="str">
        <f xml:space="preserve"> IF( 'From SvanPC++'!A1381= "", "", ('From SvanPC++'!A1381))</f>
        <v/>
      </c>
      <c r="B1391" s="36"/>
      <c r="C1391" s="36"/>
      <c r="D1391" s="36"/>
      <c r="E1391" s="47"/>
      <c r="F1391" s="19"/>
      <c r="I1391" s="19"/>
      <c r="S1391" s="36"/>
      <c r="T1391" s="36"/>
    </row>
    <row r="1392" spans="1:20" s="38" customFormat="1" hidden="1" x14ac:dyDescent="0.3">
      <c r="A1392" s="36" t="str">
        <f xml:space="preserve"> IF( 'From SvanPC++'!A1382= "", "", ('From SvanPC++'!A1382))</f>
        <v/>
      </c>
      <c r="B1392" s="36"/>
      <c r="C1392" s="36"/>
      <c r="D1392" s="36"/>
      <c r="E1392" s="47"/>
      <c r="F1392" s="19"/>
      <c r="I1392" s="19"/>
      <c r="S1392" s="36"/>
      <c r="T1392" s="36"/>
    </row>
    <row r="1393" spans="1:20" s="38" customFormat="1" hidden="1" x14ac:dyDescent="0.3">
      <c r="A1393" s="36" t="str">
        <f xml:space="preserve"> IF( 'From SvanPC++'!A1383= "", "", ('From SvanPC++'!A1383))</f>
        <v/>
      </c>
      <c r="B1393" s="36"/>
      <c r="C1393" s="36"/>
      <c r="D1393" s="36"/>
      <c r="E1393" s="47"/>
      <c r="F1393" s="19"/>
      <c r="I1393" s="19"/>
      <c r="S1393" s="36"/>
      <c r="T1393" s="36"/>
    </row>
    <row r="1394" spans="1:20" s="38" customFormat="1" hidden="1" x14ac:dyDescent="0.3">
      <c r="A1394" s="36" t="str">
        <f xml:space="preserve"> IF( 'From SvanPC++'!A1384= "", "", ('From SvanPC++'!A1384))</f>
        <v/>
      </c>
      <c r="B1394" s="36"/>
      <c r="C1394" s="36"/>
      <c r="D1394" s="36"/>
      <c r="E1394" s="47"/>
      <c r="F1394" s="19"/>
      <c r="I1394" s="19"/>
      <c r="S1394" s="36"/>
      <c r="T1394" s="36"/>
    </row>
    <row r="1395" spans="1:20" s="38" customFormat="1" hidden="1" x14ac:dyDescent="0.3">
      <c r="A1395" s="36" t="str">
        <f xml:space="preserve"> IF( 'From SvanPC++'!A1385= "", "", ('From SvanPC++'!A1385))</f>
        <v/>
      </c>
      <c r="B1395" s="36"/>
      <c r="C1395" s="36"/>
      <c r="D1395" s="36"/>
      <c r="E1395" s="47"/>
      <c r="F1395" s="19"/>
      <c r="I1395" s="19"/>
      <c r="S1395" s="36"/>
      <c r="T1395" s="36"/>
    </row>
    <row r="1396" spans="1:20" s="38" customFormat="1" hidden="1" x14ac:dyDescent="0.3">
      <c r="A1396" s="36" t="str">
        <f xml:space="preserve"> IF( 'From SvanPC++'!A1386= "", "", ('From SvanPC++'!A1386))</f>
        <v/>
      </c>
      <c r="B1396" s="36"/>
      <c r="C1396" s="36"/>
      <c r="D1396" s="36"/>
      <c r="E1396" s="47"/>
      <c r="F1396" s="19"/>
      <c r="I1396" s="19"/>
      <c r="S1396" s="36"/>
      <c r="T1396" s="36"/>
    </row>
    <row r="1397" spans="1:20" s="38" customFormat="1" hidden="1" x14ac:dyDescent="0.3">
      <c r="A1397" s="36" t="str">
        <f xml:space="preserve"> IF( 'From SvanPC++'!A1387= "", "", ('From SvanPC++'!A1387))</f>
        <v/>
      </c>
      <c r="B1397" s="36"/>
      <c r="C1397" s="36"/>
      <c r="D1397" s="36"/>
      <c r="E1397" s="47"/>
      <c r="F1397" s="19"/>
      <c r="I1397" s="19"/>
      <c r="S1397" s="36"/>
      <c r="T1397" s="36"/>
    </row>
    <row r="1398" spans="1:20" s="38" customFormat="1" hidden="1" x14ac:dyDescent="0.3">
      <c r="A1398" s="36" t="str">
        <f xml:space="preserve"> IF( 'From SvanPC++'!A1388= "", "", ('From SvanPC++'!A1388))</f>
        <v/>
      </c>
      <c r="B1398" s="36"/>
      <c r="C1398" s="36"/>
      <c r="D1398" s="36"/>
      <c r="E1398" s="47"/>
      <c r="F1398" s="19"/>
      <c r="I1398" s="19"/>
      <c r="S1398" s="36"/>
      <c r="T1398" s="36"/>
    </row>
    <row r="1399" spans="1:20" s="38" customFormat="1" hidden="1" x14ac:dyDescent="0.3">
      <c r="A1399" s="36" t="str">
        <f xml:space="preserve"> IF( 'From SvanPC++'!A1389= "", "", ('From SvanPC++'!A1389))</f>
        <v/>
      </c>
      <c r="B1399" s="36"/>
      <c r="C1399" s="36"/>
      <c r="D1399" s="36"/>
      <c r="E1399" s="47"/>
      <c r="F1399" s="19"/>
      <c r="I1399" s="19"/>
      <c r="S1399" s="36"/>
      <c r="T1399" s="36"/>
    </row>
    <row r="1400" spans="1:20" s="38" customFormat="1" hidden="1" x14ac:dyDescent="0.3">
      <c r="A1400" s="36" t="str">
        <f xml:space="preserve"> IF( 'From SvanPC++'!A1390= "", "", ('From SvanPC++'!A1390))</f>
        <v/>
      </c>
      <c r="B1400" s="36"/>
      <c r="C1400" s="36"/>
      <c r="D1400" s="36"/>
      <c r="E1400" s="47"/>
      <c r="F1400" s="19"/>
      <c r="I1400" s="19"/>
      <c r="S1400" s="36"/>
      <c r="T1400" s="36"/>
    </row>
    <row r="1401" spans="1:20" s="38" customFormat="1" hidden="1" x14ac:dyDescent="0.3">
      <c r="A1401" s="36" t="str">
        <f xml:space="preserve"> IF( 'From SvanPC++'!A1391= "", "", ('From SvanPC++'!A1391))</f>
        <v/>
      </c>
      <c r="B1401" s="36"/>
      <c r="C1401" s="36"/>
      <c r="D1401" s="36"/>
      <c r="E1401" s="47"/>
      <c r="F1401" s="19"/>
      <c r="I1401" s="19"/>
      <c r="S1401" s="36"/>
      <c r="T1401" s="36"/>
    </row>
    <row r="1402" spans="1:20" s="38" customFormat="1" hidden="1" x14ac:dyDescent="0.3">
      <c r="A1402" s="36" t="str">
        <f xml:space="preserve"> IF( 'From SvanPC++'!A1392= "", "", ('From SvanPC++'!A1392))</f>
        <v/>
      </c>
      <c r="B1402" s="36"/>
      <c r="C1402" s="36"/>
      <c r="D1402" s="36"/>
      <c r="E1402" s="47"/>
      <c r="F1402" s="19"/>
      <c r="I1402" s="19"/>
      <c r="S1402" s="36"/>
      <c r="T1402" s="36"/>
    </row>
    <row r="1403" spans="1:20" s="38" customFormat="1" hidden="1" x14ac:dyDescent="0.3">
      <c r="A1403" s="36" t="str">
        <f xml:space="preserve"> IF( 'From SvanPC++'!A1393= "", "", ('From SvanPC++'!A1393))</f>
        <v/>
      </c>
      <c r="B1403" s="36"/>
      <c r="C1403" s="36"/>
      <c r="D1403" s="36"/>
      <c r="E1403" s="47"/>
      <c r="F1403" s="19"/>
      <c r="I1403" s="19"/>
      <c r="S1403" s="36"/>
      <c r="T1403" s="36"/>
    </row>
    <row r="1404" spans="1:20" s="38" customFormat="1" hidden="1" x14ac:dyDescent="0.3">
      <c r="A1404" s="36" t="str">
        <f xml:space="preserve"> IF( 'From SvanPC++'!A1394= "", "", ('From SvanPC++'!A1394))</f>
        <v/>
      </c>
      <c r="B1404" s="36"/>
      <c r="C1404" s="36"/>
      <c r="D1404" s="36"/>
      <c r="E1404" s="47"/>
      <c r="F1404" s="19"/>
      <c r="I1404" s="19"/>
      <c r="S1404" s="36"/>
      <c r="T1404" s="36"/>
    </row>
    <row r="1405" spans="1:20" s="38" customFormat="1" hidden="1" x14ac:dyDescent="0.3">
      <c r="A1405" s="36" t="str">
        <f xml:space="preserve"> IF( 'From SvanPC++'!A1395= "", "", ('From SvanPC++'!A1395))</f>
        <v/>
      </c>
      <c r="B1405" s="36"/>
      <c r="C1405" s="36"/>
      <c r="D1405" s="36"/>
      <c r="E1405" s="47"/>
      <c r="F1405" s="19"/>
      <c r="I1405" s="19"/>
      <c r="S1405" s="36"/>
      <c r="T1405" s="36"/>
    </row>
    <row r="1406" spans="1:20" s="38" customFormat="1" hidden="1" x14ac:dyDescent="0.3">
      <c r="A1406" s="36" t="str">
        <f xml:space="preserve"> IF( 'From SvanPC++'!A1396= "", "", ('From SvanPC++'!A1396))</f>
        <v/>
      </c>
      <c r="B1406" s="36"/>
      <c r="C1406" s="36"/>
      <c r="D1406" s="36"/>
      <c r="E1406" s="47"/>
      <c r="F1406" s="19"/>
      <c r="I1406" s="19"/>
      <c r="S1406" s="36"/>
      <c r="T1406" s="36"/>
    </row>
    <row r="1407" spans="1:20" s="38" customFormat="1" hidden="1" x14ac:dyDescent="0.3">
      <c r="A1407" s="36" t="str">
        <f xml:space="preserve"> IF( 'From SvanPC++'!A1397= "", "", ('From SvanPC++'!A1397))</f>
        <v/>
      </c>
      <c r="B1407" s="36"/>
      <c r="C1407" s="36"/>
      <c r="D1407" s="36"/>
      <c r="E1407" s="47"/>
      <c r="F1407" s="19"/>
      <c r="I1407" s="19"/>
      <c r="S1407" s="36"/>
      <c r="T1407" s="36"/>
    </row>
    <row r="1408" spans="1:20" s="38" customFormat="1" hidden="1" x14ac:dyDescent="0.3">
      <c r="A1408" s="36" t="str">
        <f xml:space="preserve"> IF( 'From SvanPC++'!A1398= "", "", ('From SvanPC++'!A1398))</f>
        <v/>
      </c>
      <c r="B1408" s="36"/>
      <c r="C1408" s="36"/>
      <c r="D1408" s="36"/>
      <c r="E1408" s="47"/>
      <c r="F1408" s="19"/>
      <c r="I1408" s="19"/>
      <c r="S1408" s="36"/>
      <c r="T1408" s="36"/>
    </row>
    <row r="1409" spans="1:20" s="38" customFormat="1" hidden="1" x14ac:dyDescent="0.3">
      <c r="A1409" s="36" t="str">
        <f xml:space="preserve"> IF( 'From SvanPC++'!A1399= "", "", ('From SvanPC++'!A1399))</f>
        <v/>
      </c>
      <c r="B1409" s="36"/>
      <c r="C1409" s="36"/>
      <c r="D1409" s="36"/>
      <c r="E1409" s="47"/>
      <c r="F1409" s="19"/>
      <c r="I1409" s="19"/>
      <c r="S1409" s="36"/>
      <c r="T1409" s="36"/>
    </row>
    <row r="1410" spans="1:20" s="38" customFormat="1" hidden="1" x14ac:dyDescent="0.3">
      <c r="A1410" s="36" t="str">
        <f xml:space="preserve"> IF( 'From SvanPC++'!A1400= "", "", ('From SvanPC++'!A1400))</f>
        <v/>
      </c>
      <c r="B1410" s="36"/>
      <c r="C1410" s="36"/>
      <c r="D1410" s="36"/>
      <c r="E1410" s="47"/>
      <c r="F1410" s="19"/>
      <c r="I1410" s="19"/>
      <c r="S1410" s="36"/>
      <c r="T1410" s="36"/>
    </row>
    <row r="1411" spans="1:20" s="38" customFormat="1" hidden="1" x14ac:dyDescent="0.3">
      <c r="A1411" s="36" t="str">
        <f xml:space="preserve"> IF( 'From SvanPC++'!A1401= "", "", ('From SvanPC++'!A1401))</f>
        <v/>
      </c>
      <c r="B1411" s="36"/>
      <c r="C1411" s="36"/>
      <c r="D1411" s="36"/>
      <c r="E1411" s="47"/>
      <c r="F1411" s="19"/>
      <c r="I1411" s="19"/>
      <c r="S1411" s="36"/>
      <c r="T1411" s="36"/>
    </row>
    <row r="1412" spans="1:20" s="38" customFormat="1" hidden="1" x14ac:dyDescent="0.3">
      <c r="A1412" s="36" t="str">
        <f xml:space="preserve"> IF( 'From SvanPC++'!A1402= "", "", ('From SvanPC++'!A1402))</f>
        <v/>
      </c>
      <c r="B1412" s="36"/>
      <c r="C1412" s="36"/>
      <c r="D1412" s="36"/>
      <c r="E1412" s="47"/>
      <c r="F1412" s="19"/>
      <c r="I1412" s="19"/>
      <c r="S1412" s="36"/>
      <c r="T1412" s="36"/>
    </row>
    <row r="1413" spans="1:20" s="38" customFormat="1" hidden="1" x14ac:dyDescent="0.3">
      <c r="A1413" s="36" t="str">
        <f xml:space="preserve"> IF( 'From SvanPC++'!A1403= "", "", ('From SvanPC++'!A1403))</f>
        <v/>
      </c>
      <c r="B1413" s="36"/>
      <c r="C1413" s="36"/>
      <c r="D1413" s="36"/>
      <c r="E1413" s="47"/>
      <c r="F1413" s="19"/>
      <c r="I1413" s="19"/>
      <c r="S1413" s="36"/>
      <c r="T1413" s="36"/>
    </row>
    <row r="1414" spans="1:20" s="38" customFormat="1" hidden="1" x14ac:dyDescent="0.3">
      <c r="A1414" s="36" t="str">
        <f xml:space="preserve"> IF( 'From SvanPC++'!A1404= "", "", ('From SvanPC++'!A1404))</f>
        <v/>
      </c>
      <c r="B1414" s="36"/>
      <c r="C1414" s="36"/>
      <c r="D1414" s="36"/>
      <c r="E1414" s="47"/>
      <c r="F1414" s="19"/>
      <c r="I1414" s="19"/>
      <c r="S1414" s="36"/>
      <c r="T1414" s="36"/>
    </row>
    <row r="1415" spans="1:20" s="38" customFormat="1" hidden="1" x14ac:dyDescent="0.3">
      <c r="A1415" s="36" t="str">
        <f xml:space="preserve"> IF( 'From SvanPC++'!A1405= "", "", ('From SvanPC++'!A1405))</f>
        <v/>
      </c>
      <c r="B1415" s="36"/>
      <c r="C1415" s="36"/>
      <c r="D1415" s="36"/>
      <c r="E1415" s="47"/>
      <c r="F1415" s="19"/>
      <c r="I1415" s="19"/>
      <c r="S1415" s="36"/>
      <c r="T1415" s="36"/>
    </row>
    <row r="1416" spans="1:20" s="38" customFormat="1" hidden="1" x14ac:dyDescent="0.3">
      <c r="A1416" s="36" t="str">
        <f xml:space="preserve"> IF( 'From SvanPC++'!A1406= "", "", ('From SvanPC++'!A1406))</f>
        <v/>
      </c>
      <c r="B1416" s="36"/>
      <c r="C1416" s="36"/>
      <c r="D1416" s="36"/>
      <c r="E1416" s="47"/>
      <c r="F1416" s="19"/>
      <c r="I1416" s="19"/>
      <c r="S1416" s="36"/>
      <c r="T1416" s="36"/>
    </row>
    <row r="1417" spans="1:20" s="38" customFormat="1" hidden="1" x14ac:dyDescent="0.3">
      <c r="A1417" s="36" t="str">
        <f xml:space="preserve"> IF( 'From SvanPC++'!A1407= "", "", ('From SvanPC++'!A1407))</f>
        <v/>
      </c>
      <c r="B1417" s="36"/>
      <c r="C1417" s="36"/>
      <c r="D1417" s="36"/>
      <c r="E1417" s="47"/>
      <c r="F1417" s="19"/>
      <c r="I1417" s="19"/>
      <c r="S1417" s="36"/>
      <c r="T1417" s="36"/>
    </row>
    <row r="1418" spans="1:20" s="38" customFormat="1" hidden="1" x14ac:dyDescent="0.3">
      <c r="A1418" s="36" t="str">
        <f xml:space="preserve"> IF( 'From SvanPC++'!A1408= "", "", ('From SvanPC++'!A1408))</f>
        <v/>
      </c>
      <c r="B1418" s="36"/>
      <c r="C1418" s="36"/>
      <c r="D1418" s="36"/>
      <c r="E1418" s="47"/>
      <c r="F1418" s="19"/>
      <c r="I1418" s="19"/>
      <c r="S1418" s="36"/>
      <c r="T1418" s="36"/>
    </row>
    <row r="1419" spans="1:20" s="38" customFormat="1" hidden="1" x14ac:dyDescent="0.3">
      <c r="A1419" s="36" t="str">
        <f xml:space="preserve"> IF( 'From SvanPC++'!A1409= "", "", ('From SvanPC++'!A1409))</f>
        <v/>
      </c>
      <c r="B1419" s="36"/>
      <c r="C1419" s="36"/>
      <c r="D1419" s="36"/>
      <c r="E1419" s="47"/>
      <c r="F1419" s="19"/>
      <c r="I1419" s="19"/>
      <c r="S1419" s="36"/>
      <c r="T1419" s="36"/>
    </row>
    <row r="1420" spans="1:20" s="38" customFormat="1" hidden="1" x14ac:dyDescent="0.3">
      <c r="A1420" s="36" t="str">
        <f xml:space="preserve"> IF( 'From SvanPC++'!A1410= "", "", ('From SvanPC++'!A1410))</f>
        <v/>
      </c>
      <c r="B1420" s="36"/>
      <c r="C1420" s="36"/>
      <c r="D1420" s="36"/>
      <c r="E1420" s="47"/>
      <c r="F1420" s="19"/>
      <c r="I1420" s="19"/>
      <c r="S1420" s="36"/>
      <c r="T1420" s="36"/>
    </row>
    <row r="1421" spans="1:20" s="38" customFormat="1" hidden="1" x14ac:dyDescent="0.3">
      <c r="A1421" s="36" t="str">
        <f xml:space="preserve"> IF( 'From SvanPC++'!A1411= "", "", ('From SvanPC++'!A1411))</f>
        <v/>
      </c>
      <c r="B1421" s="36"/>
      <c r="C1421" s="36"/>
      <c r="D1421" s="36"/>
      <c r="E1421" s="47"/>
      <c r="F1421" s="19"/>
      <c r="I1421" s="19"/>
      <c r="S1421" s="36"/>
      <c r="T1421" s="36"/>
    </row>
    <row r="1422" spans="1:20" s="38" customFormat="1" hidden="1" x14ac:dyDescent="0.3">
      <c r="A1422" s="36" t="str">
        <f xml:space="preserve"> IF( 'From SvanPC++'!A1412= "", "", ('From SvanPC++'!A1412))</f>
        <v/>
      </c>
      <c r="B1422" s="36"/>
      <c r="C1422" s="36"/>
      <c r="D1422" s="36"/>
      <c r="E1422" s="47"/>
      <c r="F1422" s="19"/>
      <c r="I1422" s="19"/>
      <c r="S1422" s="36"/>
      <c r="T1422" s="36"/>
    </row>
    <row r="1423" spans="1:20" s="38" customFormat="1" hidden="1" x14ac:dyDescent="0.3">
      <c r="A1423" s="36" t="str">
        <f xml:space="preserve"> IF( 'From SvanPC++'!A1413= "", "", ('From SvanPC++'!A1413))</f>
        <v/>
      </c>
      <c r="B1423" s="36"/>
      <c r="C1423" s="36"/>
      <c r="D1423" s="36"/>
      <c r="E1423" s="47"/>
      <c r="F1423" s="19"/>
      <c r="I1423" s="19"/>
      <c r="S1423" s="36"/>
      <c r="T1423" s="36"/>
    </row>
    <row r="1424" spans="1:20" s="38" customFormat="1" hidden="1" x14ac:dyDescent="0.3">
      <c r="A1424" s="36" t="str">
        <f xml:space="preserve"> IF( 'From SvanPC++'!A1414= "", "", ('From SvanPC++'!A1414))</f>
        <v/>
      </c>
      <c r="B1424" s="36"/>
      <c r="C1424" s="36"/>
      <c r="D1424" s="36"/>
      <c r="E1424" s="47"/>
      <c r="F1424" s="19"/>
      <c r="I1424" s="19"/>
      <c r="S1424" s="36"/>
      <c r="T1424" s="36"/>
    </row>
    <row r="1425" spans="1:20" s="38" customFormat="1" hidden="1" x14ac:dyDescent="0.3">
      <c r="A1425" s="36" t="str">
        <f xml:space="preserve"> IF( 'From SvanPC++'!A1415= "", "", ('From SvanPC++'!A1415))</f>
        <v/>
      </c>
      <c r="B1425" s="36"/>
      <c r="C1425" s="36"/>
      <c r="D1425" s="36"/>
      <c r="E1425" s="47"/>
      <c r="F1425" s="19"/>
      <c r="I1425" s="19"/>
      <c r="S1425" s="36"/>
      <c r="T1425" s="36"/>
    </row>
    <row r="1426" spans="1:20" s="38" customFormat="1" hidden="1" x14ac:dyDescent="0.3">
      <c r="A1426" s="36" t="str">
        <f xml:space="preserve"> IF( 'From SvanPC++'!A1416= "", "", ('From SvanPC++'!A1416))</f>
        <v/>
      </c>
      <c r="B1426" s="36"/>
      <c r="C1426" s="36"/>
      <c r="D1426" s="36"/>
      <c r="E1426" s="47"/>
      <c r="F1426" s="19"/>
      <c r="I1426" s="19"/>
      <c r="S1426" s="36"/>
      <c r="T1426" s="36"/>
    </row>
    <row r="1427" spans="1:20" s="38" customFormat="1" hidden="1" x14ac:dyDescent="0.3">
      <c r="A1427" s="36" t="str">
        <f xml:space="preserve"> IF( 'From SvanPC++'!A1417= "", "", ('From SvanPC++'!A1417))</f>
        <v/>
      </c>
      <c r="B1427" s="36"/>
      <c r="C1427" s="36"/>
      <c r="D1427" s="36"/>
      <c r="E1427" s="47"/>
      <c r="F1427" s="19"/>
      <c r="I1427" s="19"/>
      <c r="S1427" s="36"/>
      <c r="T1427" s="36"/>
    </row>
    <row r="1428" spans="1:20" s="38" customFormat="1" hidden="1" x14ac:dyDescent="0.3">
      <c r="A1428" s="36" t="str">
        <f xml:space="preserve"> IF( 'From SvanPC++'!A1418= "", "", ('From SvanPC++'!A1418))</f>
        <v/>
      </c>
      <c r="B1428" s="36"/>
      <c r="C1428" s="36"/>
      <c r="D1428" s="36"/>
      <c r="E1428" s="47"/>
      <c r="F1428" s="19"/>
      <c r="I1428" s="19"/>
      <c r="S1428" s="36"/>
      <c r="T1428" s="36"/>
    </row>
    <row r="1429" spans="1:20" s="38" customFormat="1" hidden="1" x14ac:dyDescent="0.3">
      <c r="A1429" s="36" t="str">
        <f xml:space="preserve"> IF( 'From SvanPC++'!A1419= "", "", ('From SvanPC++'!A1419))</f>
        <v/>
      </c>
      <c r="B1429" s="36"/>
      <c r="C1429" s="36"/>
      <c r="D1429" s="36"/>
      <c r="E1429" s="47"/>
      <c r="F1429" s="19"/>
      <c r="I1429" s="19"/>
      <c r="S1429" s="36"/>
      <c r="T1429" s="36"/>
    </row>
    <row r="1430" spans="1:20" s="38" customFormat="1" hidden="1" x14ac:dyDescent="0.3">
      <c r="A1430" s="36" t="str">
        <f xml:space="preserve"> IF( 'From SvanPC++'!A1420= "", "", ('From SvanPC++'!A1420))</f>
        <v/>
      </c>
      <c r="B1430" s="36"/>
      <c r="C1430" s="36"/>
      <c r="D1430" s="36"/>
      <c r="E1430" s="47"/>
      <c r="F1430" s="19"/>
      <c r="I1430" s="19"/>
      <c r="S1430" s="36"/>
      <c r="T1430" s="36"/>
    </row>
    <row r="1431" spans="1:20" s="38" customFormat="1" hidden="1" x14ac:dyDescent="0.3">
      <c r="A1431" s="36" t="str">
        <f xml:space="preserve"> IF( 'From SvanPC++'!A1421= "", "", ('From SvanPC++'!A1421))</f>
        <v/>
      </c>
      <c r="B1431" s="36"/>
      <c r="C1431" s="36"/>
      <c r="D1431" s="36"/>
      <c r="E1431" s="47"/>
      <c r="F1431" s="19"/>
      <c r="I1431" s="19"/>
      <c r="S1431" s="36"/>
      <c r="T1431" s="36"/>
    </row>
    <row r="1432" spans="1:20" s="38" customFormat="1" hidden="1" x14ac:dyDescent="0.3">
      <c r="A1432" s="36" t="str">
        <f xml:space="preserve"> IF( 'From SvanPC++'!A1422= "", "", ('From SvanPC++'!A1422))</f>
        <v/>
      </c>
      <c r="B1432" s="36"/>
      <c r="C1432" s="36"/>
      <c r="D1432" s="36"/>
      <c r="E1432" s="47"/>
      <c r="F1432" s="19"/>
      <c r="I1432" s="19"/>
      <c r="S1432" s="36"/>
      <c r="T1432" s="36"/>
    </row>
    <row r="1433" spans="1:20" s="38" customFormat="1" hidden="1" x14ac:dyDescent="0.3">
      <c r="A1433" s="36" t="str">
        <f xml:space="preserve"> IF( 'From SvanPC++'!A1423= "", "", ('From SvanPC++'!A1423))</f>
        <v/>
      </c>
      <c r="B1433" s="36"/>
      <c r="C1433" s="36"/>
      <c r="D1433" s="36"/>
      <c r="E1433" s="47"/>
      <c r="F1433" s="19"/>
      <c r="I1433" s="19"/>
      <c r="S1433" s="36"/>
      <c r="T1433" s="36"/>
    </row>
    <row r="1434" spans="1:20" s="38" customFormat="1" hidden="1" x14ac:dyDescent="0.3">
      <c r="A1434" s="36" t="str">
        <f xml:space="preserve"> IF( 'From SvanPC++'!A1424= "", "", ('From SvanPC++'!A1424))</f>
        <v/>
      </c>
      <c r="B1434" s="36"/>
      <c r="C1434" s="36"/>
      <c r="D1434" s="36"/>
      <c r="E1434" s="47"/>
      <c r="F1434" s="19"/>
      <c r="I1434" s="19"/>
      <c r="S1434" s="36"/>
      <c r="T1434" s="36"/>
    </row>
    <row r="1435" spans="1:20" s="38" customFormat="1" hidden="1" x14ac:dyDescent="0.3">
      <c r="A1435" s="36" t="str">
        <f xml:space="preserve"> IF( 'From SvanPC++'!A1425= "", "", ('From SvanPC++'!A1425))</f>
        <v/>
      </c>
      <c r="B1435" s="36"/>
      <c r="C1435" s="36"/>
      <c r="D1435" s="36"/>
      <c r="E1435" s="47"/>
      <c r="F1435" s="19"/>
      <c r="I1435" s="19"/>
      <c r="S1435" s="36"/>
      <c r="T1435" s="36"/>
    </row>
    <row r="1436" spans="1:20" s="38" customFormat="1" hidden="1" x14ac:dyDescent="0.3">
      <c r="A1436" s="36" t="str">
        <f xml:space="preserve"> IF( 'From SvanPC++'!A1426= "", "", ('From SvanPC++'!A1426))</f>
        <v/>
      </c>
      <c r="B1436" s="36"/>
      <c r="C1436" s="36"/>
      <c r="D1436" s="36"/>
      <c r="E1436" s="47"/>
      <c r="F1436" s="19"/>
      <c r="I1436" s="19"/>
      <c r="S1436" s="36"/>
      <c r="T1436" s="36"/>
    </row>
    <row r="1437" spans="1:20" s="38" customFormat="1" hidden="1" x14ac:dyDescent="0.3">
      <c r="A1437" s="36" t="str">
        <f xml:space="preserve"> IF( 'From SvanPC++'!A1427= "", "", ('From SvanPC++'!A1427))</f>
        <v/>
      </c>
      <c r="B1437" s="36"/>
      <c r="C1437" s="36"/>
      <c r="D1437" s="36"/>
      <c r="E1437" s="47"/>
      <c r="F1437" s="19"/>
      <c r="I1437" s="19"/>
      <c r="S1437" s="36"/>
      <c r="T1437" s="36"/>
    </row>
    <row r="1438" spans="1:20" s="38" customFormat="1" hidden="1" x14ac:dyDescent="0.3">
      <c r="A1438" s="36" t="str">
        <f xml:space="preserve"> IF( 'From SvanPC++'!A1428= "", "", ('From SvanPC++'!A1428))</f>
        <v/>
      </c>
      <c r="B1438" s="36"/>
      <c r="C1438" s="36"/>
      <c r="D1438" s="36"/>
      <c r="E1438" s="47"/>
      <c r="F1438" s="19"/>
      <c r="I1438" s="19"/>
      <c r="S1438" s="36"/>
      <c r="T1438" s="36"/>
    </row>
    <row r="1439" spans="1:20" s="38" customFormat="1" hidden="1" x14ac:dyDescent="0.3">
      <c r="A1439" s="36" t="str">
        <f xml:space="preserve"> IF( 'From SvanPC++'!A1429= "", "", ('From SvanPC++'!A1429))</f>
        <v/>
      </c>
      <c r="B1439" s="36"/>
      <c r="C1439" s="36"/>
      <c r="D1439" s="36"/>
      <c r="E1439" s="47"/>
      <c r="F1439" s="19"/>
      <c r="I1439" s="19"/>
      <c r="S1439" s="36"/>
      <c r="T1439" s="36"/>
    </row>
    <row r="1440" spans="1:20" s="38" customFormat="1" hidden="1" x14ac:dyDescent="0.3">
      <c r="A1440" s="36" t="str">
        <f xml:space="preserve"> IF( 'From SvanPC++'!A1430= "", "", ('From SvanPC++'!A1430))</f>
        <v/>
      </c>
      <c r="B1440" s="36"/>
      <c r="C1440" s="36"/>
      <c r="D1440" s="36"/>
      <c r="E1440" s="47"/>
      <c r="F1440" s="19"/>
      <c r="I1440" s="19"/>
      <c r="S1440" s="36"/>
      <c r="T1440" s="36"/>
    </row>
    <row r="1441" spans="1:20" s="38" customFormat="1" hidden="1" x14ac:dyDescent="0.3">
      <c r="A1441" s="36" t="str">
        <f xml:space="preserve"> IF( 'From SvanPC++'!A1431= "", "", ('From SvanPC++'!A1431))</f>
        <v/>
      </c>
      <c r="B1441" s="36"/>
      <c r="C1441" s="36"/>
      <c r="D1441" s="36"/>
      <c r="E1441" s="47"/>
      <c r="F1441" s="19"/>
      <c r="I1441" s="19"/>
      <c r="S1441" s="36"/>
      <c r="T1441" s="36"/>
    </row>
    <row r="1442" spans="1:20" s="38" customFormat="1" hidden="1" x14ac:dyDescent="0.3">
      <c r="A1442" s="36" t="str">
        <f xml:space="preserve"> IF( 'From SvanPC++'!A1432= "", "", ('From SvanPC++'!A1432))</f>
        <v/>
      </c>
      <c r="B1442" s="36"/>
      <c r="C1442" s="36"/>
      <c r="D1442" s="36"/>
      <c r="E1442" s="47"/>
      <c r="F1442" s="19"/>
      <c r="I1442" s="19"/>
      <c r="S1442" s="36"/>
      <c r="T1442" s="36"/>
    </row>
    <row r="1443" spans="1:20" s="38" customFormat="1" hidden="1" x14ac:dyDescent="0.3">
      <c r="A1443" s="36" t="str">
        <f xml:space="preserve"> IF( 'From SvanPC++'!A1433= "", "", ('From SvanPC++'!A1433))</f>
        <v/>
      </c>
      <c r="B1443" s="36"/>
      <c r="C1443" s="36"/>
      <c r="D1443" s="36"/>
      <c r="E1443" s="47"/>
      <c r="F1443" s="19"/>
      <c r="I1443" s="19"/>
      <c r="S1443" s="36"/>
      <c r="T1443" s="36"/>
    </row>
    <row r="1444" spans="1:20" s="38" customFormat="1" hidden="1" x14ac:dyDescent="0.3">
      <c r="A1444" s="36" t="str">
        <f xml:space="preserve"> IF( 'From SvanPC++'!A1434= "", "", ('From SvanPC++'!A1434))</f>
        <v/>
      </c>
      <c r="B1444" s="36"/>
      <c r="C1444" s="36"/>
      <c r="D1444" s="36"/>
      <c r="E1444" s="47"/>
      <c r="F1444" s="19"/>
      <c r="I1444" s="19"/>
      <c r="S1444" s="36"/>
      <c r="T1444" s="36"/>
    </row>
    <row r="1445" spans="1:20" s="38" customFormat="1" hidden="1" x14ac:dyDescent="0.3">
      <c r="A1445" s="36" t="str">
        <f xml:space="preserve"> IF( 'From SvanPC++'!A1435= "", "", ('From SvanPC++'!A1435))</f>
        <v/>
      </c>
      <c r="B1445" s="36"/>
      <c r="C1445" s="36"/>
      <c r="D1445" s="36"/>
      <c r="E1445" s="47"/>
      <c r="F1445" s="19"/>
      <c r="I1445" s="19"/>
      <c r="S1445" s="36"/>
      <c r="T1445" s="36"/>
    </row>
    <row r="1446" spans="1:20" s="38" customFormat="1" hidden="1" x14ac:dyDescent="0.3">
      <c r="A1446" s="36" t="str">
        <f xml:space="preserve"> IF( 'From SvanPC++'!A1436= "", "", ('From SvanPC++'!A1436))</f>
        <v/>
      </c>
      <c r="B1446" s="36"/>
      <c r="C1446" s="36"/>
      <c r="D1446" s="36"/>
      <c r="E1446" s="47"/>
      <c r="F1446" s="19"/>
      <c r="I1446" s="19"/>
      <c r="S1446" s="36"/>
      <c r="T1446" s="36"/>
    </row>
    <row r="1447" spans="1:20" s="38" customFormat="1" hidden="1" x14ac:dyDescent="0.3">
      <c r="A1447" s="36" t="str">
        <f xml:space="preserve"> IF( 'From SvanPC++'!A1437= "", "", ('From SvanPC++'!A1437))</f>
        <v/>
      </c>
      <c r="B1447" s="36"/>
      <c r="C1447" s="36"/>
      <c r="D1447" s="36"/>
      <c r="E1447" s="47"/>
      <c r="F1447" s="19"/>
      <c r="I1447" s="19"/>
      <c r="S1447" s="36"/>
      <c r="T1447" s="36"/>
    </row>
    <row r="1448" spans="1:20" s="38" customFormat="1" hidden="1" x14ac:dyDescent="0.3">
      <c r="A1448" s="36" t="str">
        <f xml:space="preserve"> IF( 'From SvanPC++'!A1438= "", "", ('From SvanPC++'!A1438))</f>
        <v/>
      </c>
      <c r="B1448" s="36"/>
      <c r="C1448" s="36"/>
      <c r="D1448" s="36"/>
      <c r="E1448" s="47"/>
      <c r="F1448" s="19"/>
      <c r="I1448" s="19"/>
      <c r="S1448" s="36"/>
      <c r="T1448" s="36"/>
    </row>
    <row r="1449" spans="1:20" s="38" customFormat="1" hidden="1" x14ac:dyDescent="0.3">
      <c r="A1449" s="36" t="str">
        <f xml:space="preserve"> IF( 'From SvanPC++'!A1439= "", "", ('From SvanPC++'!A1439))</f>
        <v/>
      </c>
      <c r="B1449" s="36"/>
      <c r="C1449" s="36"/>
      <c r="D1449" s="36"/>
      <c r="E1449" s="47"/>
      <c r="F1449" s="19"/>
      <c r="I1449" s="19"/>
      <c r="S1449" s="36"/>
      <c r="T1449" s="36"/>
    </row>
    <row r="1450" spans="1:20" s="38" customFormat="1" hidden="1" x14ac:dyDescent="0.3">
      <c r="A1450" s="36" t="str">
        <f xml:space="preserve"> IF( 'From SvanPC++'!A1440= "", "", ('From SvanPC++'!A1440))</f>
        <v/>
      </c>
      <c r="B1450" s="36"/>
      <c r="C1450" s="36"/>
      <c r="D1450" s="36"/>
      <c r="E1450" s="47"/>
      <c r="F1450" s="19"/>
      <c r="I1450" s="19"/>
      <c r="S1450" s="36"/>
      <c r="T1450" s="36"/>
    </row>
    <row r="1451" spans="1:20" s="38" customFormat="1" hidden="1" x14ac:dyDescent="0.3">
      <c r="A1451" s="36" t="str">
        <f xml:space="preserve"> IF( 'From SvanPC++'!A1441= "", "", ('From SvanPC++'!A1441))</f>
        <v/>
      </c>
      <c r="B1451" s="36"/>
      <c r="C1451" s="36"/>
      <c r="D1451" s="36"/>
      <c r="E1451" s="47"/>
      <c r="F1451" s="19"/>
      <c r="I1451" s="19"/>
      <c r="S1451" s="36"/>
      <c r="T1451" s="36"/>
    </row>
    <row r="1452" spans="1:20" s="38" customFormat="1" hidden="1" x14ac:dyDescent="0.3">
      <c r="A1452" s="36" t="str">
        <f xml:space="preserve"> IF( 'From SvanPC++'!A1442= "", "", ('From SvanPC++'!A1442))</f>
        <v/>
      </c>
      <c r="B1452" s="36"/>
      <c r="C1452" s="36"/>
      <c r="D1452" s="36"/>
      <c r="E1452" s="47"/>
      <c r="F1452" s="19"/>
      <c r="I1452" s="19"/>
      <c r="S1452" s="36"/>
      <c r="T1452" s="36"/>
    </row>
    <row r="1453" spans="1:20" s="38" customFormat="1" hidden="1" x14ac:dyDescent="0.3">
      <c r="A1453" s="36" t="str">
        <f xml:space="preserve"> IF( 'From SvanPC++'!A1443= "", "", ('From SvanPC++'!A1443))</f>
        <v/>
      </c>
      <c r="B1453" s="36"/>
      <c r="C1453" s="36"/>
      <c r="D1453" s="36"/>
      <c r="E1453" s="47"/>
      <c r="F1453" s="19"/>
      <c r="I1453" s="19"/>
      <c r="S1453" s="36"/>
      <c r="T1453" s="36"/>
    </row>
    <row r="1454" spans="1:20" s="38" customFormat="1" hidden="1" x14ac:dyDescent="0.3">
      <c r="A1454" s="36" t="str">
        <f xml:space="preserve"> IF( 'From SvanPC++'!A1444= "", "", ('From SvanPC++'!A1444))</f>
        <v/>
      </c>
      <c r="B1454" s="36"/>
      <c r="C1454" s="36"/>
      <c r="D1454" s="36"/>
      <c r="E1454" s="47"/>
      <c r="F1454" s="19"/>
      <c r="I1454" s="19"/>
      <c r="S1454" s="36"/>
      <c r="T1454" s="36"/>
    </row>
    <row r="1455" spans="1:20" s="38" customFormat="1" hidden="1" x14ac:dyDescent="0.3">
      <c r="A1455" s="36" t="str">
        <f xml:space="preserve"> IF( 'From SvanPC++'!A1445= "", "", ('From SvanPC++'!A1445))</f>
        <v/>
      </c>
      <c r="B1455" s="36"/>
      <c r="C1455" s="36"/>
      <c r="D1455" s="36"/>
      <c r="E1455" s="47"/>
      <c r="F1455" s="19"/>
      <c r="I1455" s="19"/>
      <c r="S1455" s="36"/>
      <c r="T1455" s="36"/>
    </row>
    <row r="1456" spans="1:20" s="38" customFormat="1" hidden="1" x14ac:dyDescent="0.3">
      <c r="A1456" s="36" t="str">
        <f xml:space="preserve"> IF( 'From SvanPC++'!A1446= "", "", ('From SvanPC++'!A1446))</f>
        <v/>
      </c>
      <c r="B1456" s="36"/>
      <c r="C1456" s="36"/>
      <c r="D1456" s="36"/>
      <c r="E1456" s="47"/>
      <c r="F1456" s="19"/>
      <c r="I1456" s="19"/>
      <c r="S1456" s="36"/>
      <c r="T1456" s="36"/>
    </row>
    <row r="1457" spans="1:20" s="38" customFormat="1" hidden="1" x14ac:dyDescent="0.3">
      <c r="A1457" s="36" t="str">
        <f xml:space="preserve"> IF( 'From SvanPC++'!A1447= "", "", ('From SvanPC++'!A1447))</f>
        <v/>
      </c>
      <c r="B1457" s="36"/>
      <c r="C1457" s="36"/>
      <c r="D1457" s="36"/>
      <c r="E1457" s="47"/>
      <c r="F1457" s="19"/>
      <c r="I1457" s="19"/>
      <c r="S1457" s="36"/>
      <c r="T1457" s="36"/>
    </row>
    <row r="1458" spans="1:20" s="38" customFormat="1" hidden="1" x14ac:dyDescent="0.3">
      <c r="A1458" s="36" t="str">
        <f xml:space="preserve"> IF( 'From SvanPC++'!A1448= "", "", ('From SvanPC++'!A1448))</f>
        <v/>
      </c>
      <c r="B1458" s="36"/>
      <c r="C1458" s="36"/>
      <c r="D1458" s="36"/>
      <c r="E1458" s="47"/>
      <c r="F1458" s="19"/>
      <c r="I1458" s="19"/>
      <c r="S1458" s="36"/>
      <c r="T1458" s="36"/>
    </row>
    <row r="1459" spans="1:20" s="38" customFormat="1" hidden="1" x14ac:dyDescent="0.3">
      <c r="A1459" s="36" t="str">
        <f xml:space="preserve"> IF( 'From SvanPC++'!A1449= "", "", ('From SvanPC++'!A1449))</f>
        <v/>
      </c>
      <c r="B1459" s="36"/>
      <c r="C1459" s="36"/>
      <c r="D1459" s="36"/>
      <c r="E1459" s="47"/>
      <c r="F1459" s="19"/>
      <c r="I1459" s="19"/>
      <c r="S1459" s="36"/>
      <c r="T1459" s="36"/>
    </row>
    <row r="1460" spans="1:20" s="38" customFormat="1" hidden="1" x14ac:dyDescent="0.3">
      <c r="A1460" s="36" t="str">
        <f xml:space="preserve"> IF( 'From SvanPC++'!A1450= "", "", ('From SvanPC++'!A1450))</f>
        <v/>
      </c>
      <c r="B1460" s="36"/>
      <c r="C1460" s="36"/>
      <c r="D1460" s="36"/>
      <c r="E1460" s="47"/>
      <c r="F1460" s="19"/>
      <c r="I1460" s="19"/>
      <c r="S1460" s="36"/>
      <c r="T1460" s="36"/>
    </row>
    <row r="1461" spans="1:20" s="38" customFormat="1" hidden="1" x14ac:dyDescent="0.3">
      <c r="A1461" s="36" t="str">
        <f xml:space="preserve"> IF( 'From SvanPC++'!A1451= "", "", ('From SvanPC++'!A1451))</f>
        <v/>
      </c>
      <c r="B1461" s="36"/>
      <c r="C1461" s="36"/>
      <c r="D1461" s="36"/>
      <c r="E1461" s="47"/>
      <c r="F1461" s="19"/>
      <c r="I1461" s="19"/>
      <c r="S1461" s="36"/>
      <c r="T1461" s="36"/>
    </row>
    <row r="1462" spans="1:20" s="38" customFormat="1" hidden="1" x14ac:dyDescent="0.3">
      <c r="A1462" s="36" t="str">
        <f xml:space="preserve"> IF( 'From SvanPC++'!A1452= "", "", ('From SvanPC++'!A1452))</f>
        <v/>
      </c>
      <c r="B1462" s="36"/>
      <c r="C1462" s="36"/>
      <c r="D1462" s="36"/>
      <c r="E1462" s="47"/>
      <c r="F1462" s="19"/>
      <c r="I1462" s="19"/>
      <c r="S1462" s="36"/>
      <c r="T1462" s="36"/>
    </row>
    <row r="1463" spans="1:20" s="38" customFormat="1" hidden="1" x14ac:dyDescent="0.3">
      <c r="A1463" s="36" t="str">
        <f xml:space="preserve"> IF( 'From SvanPC++'!A1453= "", "", ('From SvanPC++'!A1453))</f>
        <v/>
      </c>
      <c r="B1463" s="36"/>
      <c r="C1463" s="36"/>
      <c r="D1463" s="36"/>
      <c r="E1463" s="47"/>
      <c r="F1463" s="19"/>
      <c r="I1463" s="19"/>
      <c r="S1463" s="36"/>
      <c r="T1463" s="36"/>
    </row>
    <row r="1464" spans="1:20" s="38" customFormat="1" hidden="1" x14ac:dyDescent="0.3">
      <c r="A1464" s="36" t="str">
        <f xml:space="preserve"> IF( 'From SvanPC++'!A1454= "", "", ('From SvanPC++'!A1454))</f>
        <v/>
      </c>
      <c r="B1464" s="36"/>
      <c r="C1464" s="36"/>
      <c r="D1464" s="36"/>
      <c r="E1464" s="47"/>
      <c r="F1464" s="19"/>
      <c r="I1464" s="19"/>
      <c r="S1464" s="36"/>
      <c r="T1464" s="36"/>
    </row>
    <row r="1465" spans="1:20" s="38" customFormat="1" hidden="1" x14ac:dyDescent="0.3">
      <c r="A1465" s="36" t="str">
        <f xml:space="preserve"> IF( 'From SvanPC++'!A1455= "", "", ('From SvanPC++'!A1455))</f>
        <v/>
      </c>
      <c r="B1465" s="36"/>
      <c r="C1465" s="36"/>
      <c r="D1465" s="36"/>
      <c r="E1465" s="47"/>
      <c r="F1465" s="19"/>
      <c r="I1465" s="19"/>
      <c r="S1465" s="36"/>
      <c r="T1465" s="36"/>
    </row>
    <row r="1466" spans="1:20" s="38" customFormat="1" hidden="1" x14ac:dyDescent="0.3">
      <c r="A1466" s="36" t="str">
        <f xml:space="preserve"> IF( 'From SvanPC++'!A1456= "", "", ('From SvanPC++'!A1456))</f>
        <v/>
      </c>
      <c r="B1466" s="36"/>
      <c r="C1466" s="36"/>
      <c r="D1466" s="36"/>
      <c r="E1466" s="47"/>
      <c r="F1466" s="19"/>
      <c r="I1466" s="19"/>
      <c r="S1466" s="36"/>
      <c r="T1466" s="36"/>
    </row>
    <row r="1467" spans="1:20" s="38" customFormat="1" hidden="1" x14ac:dyDescent="0.3">
      <c r="A1467" s="36" t="str">
        <f xml:space="preserve"> IF( 'From SvanPC++'!A1457= "", "", ('From SvanPC++'!A1457))</f>
        <v/>
      </c>
      <c r="B1467" s="36"/>
      <c r="C1467" s="36"/>
      <c r="D1467" s="36"/>
      <c r="E1467" s="47"/>
      <c r="F1467" s="19"/>
      <c r="I1467" s="19"/>
      <c r="S1467" s="36"/>
      <c r="T1467" s="36"/>
    </row>
    <row r="1468" spans="1:20" s="38" customFormat="1" hidden="1" x14ac:dyDescent="0.3">
      <c r="A1468" s="36" t="str">
        <f xml:space="preserve"> IF( 'From SvanPC++'!A1458= "", "", ('From SvanPC++'!A1458))</f>
        <v/>
      </c>
      <c r="B1468" s="36"/>
      <c r="C1468" s="36"/>
      <c r="D1468" s="36"/>
      <c r="E1468" s="47"/>
      <c r="F1468" s="19"/>
      <c r="I1468" s="19"/>
      <c r="S1468" s="36"/>
      <c r="T1468" s="36"/>
    </row>
    <row r="1469" spans="1:20" s="38" customFormat="1" hidden="1" x14ac:dyDescent="0.3">
      <c r="A1469" s="36" t="str">
        <f xml:space="preserve"> IF( 'From SvanPC++'!A1459= "", "", ('From SvanPC++'!A1459))</f>
        <v/>
      </c>
      <c r="B1469" s="36"/>
      <c r="C1469" s="36"/>
      <c r="D1469" s="36"/>
      <c r="E1469" s="47"/>
      <c r="F1469" s="19"/>
      <c r="I1469" s="19"/>
      <c r="S1469" s="36"/>
      <c r="T1469" s="36"/>
    </row>
    <row r="1470" spans="1:20" s="38" customFormat="1" hidden="1" x14ac:dyDescent="0.3">
      <c r="A1470" s="36" t="str">
        <f xml:space="preserve"> IF( 'From SvanPC++'!A1460= "", "", ('From SvanPC++'!A1460))</f>
        <v/>
      </c>
      <c r="B1470" s="36"/>
      <c r="C1470" s="36"/>
      <c r="D1470" s="36"/>
      <c r="E1470" s="47"/>
      <c r="F1470" s="19"/>
      <c r="I1470" s="19"/>
      <c r="S1470" s="36"/>
      <c r="T1470" s="36"/>
    </row>
    <row r="1471" spans="1:20" s="38" customFormat="1" hidden="1" x14ac:dyDescent="0.3">
      <c r="A1471" s="36" t="str">
        <f xml:space="preserve"> IF( 'From SvanPC++'!A1461= "", "", ('From SvanPC++'!A1461))</f>
        <v/>
      </c>
      <c r="B1471" s="36"/>
      <c r="C1471" s="36"/>
      <c r="D1471" s="36"/>
      <c r="E1471" s="47"/>
      <c r="F1471" s="19"/>
      <c r="I1471" s="19"/>
      <c r="S1471" s="36"/>
      <c r="T1471" s="36"/>
    </row>
    <row r="1472" spans="1:20" s="38" customFormat="1" hidden="1" x14ac:dyDescent="0.3">
      <c r="A1472" s="36" t="str">
        <f xml:space="preserve"> IF( 'From SvanPC++'!A1462= "", "", ('From SvanPC++'!A1462))</f>
        <v/>
      </c>
      <c r="B1472" s="36"/>
      <c r="C1472" s="36"/>
      <c r="D1472" s="36"/>
      <c r="E1472" s="47"/>
      <c r="F1472" s="19"/>
      <c r="I1472" s="19"/>
      <c r="S1472" s="36"/>
      <c r="T1472" s="36"/>
    </row>
    <row r="1473" spans="1:20" s="38" customFormat="1" hidden="1" x14ac:dyDescent="0.3">
      <c r="A1473" s="36" t="str">
        <f xml:space="preserve"> IF( 'From SvanPC++'!A1463= "", "", ('From SvanPC++'!A1463))</f>
        <v/>
      </c>
      <c r="B1473" s="36"/>
      <c r="C1473" s="36"/>
      <c r="D1473" s="36"/>
      <c r="E1473" s="47"/>
      <c r="F1473" s="19"/>
      <c r="I1473" s="19"/>
      <c r="S1473" s="36"/>
      <c r="T1473" s="36"/>
    </row>
    <row r="1474" spans="1:20" s="38" customFormat="1" hidden="1" x14ac:dyDescent="0.3">
      <c r="A1474" s="36" t="str">
        <f xml:space="preserve"> IF( 'From SvanPC++'!A1464= "", "", ('From SvanPC++'!A1464))</f>
        <v/>
      </c>
      <c r="B1474" s="36"/>
      <c r="C1474" s="36"/>
      <c r="D1474" s="36"/>
      <c r="E1474" s="47"/>
      <c r="F1474" s="19"/>
      <c r="I1474" s="19"/>
      <c r="S1474" s="36"/>
      <c r="T1474" s="36"/>
    </row>
    <row r="1475" spans="1:20" s="38" customFormat="1" hidden="1" x14ac:dyDescent="0.3">
      <c r="A1475" s="36" t="str">
        <f xml:space="preserve"> IF( 'From SvanPC++'!A1465= "", "", ('From SvanPC++'!A1465))</f>
        <v/>
      </c>
      <c r="B1475" s="36"/>
      <c r="C1475" s="36"/>
      <c r="D1475" s="36"/>
      <c r="E1475" s="47"/>
      <c r="F1475" s="19"/>
      <c r="I1475" s="19"/>
      <c r="S1475" s="36"/>
      <c r="T1475" s="36"/>
    </row>
    <row r="1476" spans="1:20" s="38" customFormat="1" hidden="1" x14ac:dyDescent="0.3">
      <c r="A1476" s="36" t="str">
        <f xml:space="preserve"> IF( 'From SvanPC++'!A1466= "", "", ('From SvanPC++'!A1466))</f>
        <v/>
      </c>
      <c r="B1476" s="36"/>
      <c r="C1476" s="36"/>
      <c r="D1476" s="36"/>
      <c r="E1476" s="47"/>
      <c r="F1476" s="19"/>
      <c r="I1476" s="19"/>
      <c r="S1476" s="36"/>
      <c r="T1476" s="36"/>
    </row>
    <row r="1477" spans="1:20" s="38" customFormat="1" hidden="1" x14ac:dyDescent="0.3">
      <c r="A1477" s="36" t="str">
        <f xml:space="preserve"> IF( 'From SvanPC++'!A1467= "", "", ('From SvanPC++'!A1467))</f>
        <v/>
      </c>
      <c r="B1477" s="36"/>
      <c r="C1477" s="36"/>
      <c r="D1477" s="36"/>
      <c r="E1477" s="47"/>
      <c r="F1477" s="19"/>
      <c r="I1477" s="19"/>
      <c r="S1477" s="36"/>
      <c r="T1477" s="36"/>
    </row>
    <row r="1478" spans="1:20" s="38" customFormat="1" hidden="1" x14ac:dyDescent="0.3">
      <c r="A1478" s="36" t="str">
        <f xml:space="preserve"> IF( 'From SvanPC++'!A1468= "", "", ('From SvanPC++'!A1468))</f>
        <v/>
      </c>
      <c r="B1478" s="36"/>
      <c r="C1478" s="36"/>
      <c r="D1478" s="36"/>
      <c r="E1478" s="47"/>
      <c r="F1478" s="19"/>
      <c r="I1478" s="19"/>
      <c r="S1478" s="36"/>
      <c r="T1478" s="36"/>
    </row>
    <row r="1479" spans="1:20" s="38" customFormat="1" hidden="1" x14ac:dyDescent="0.3">
      <c r="A1479" s="36" t="str">
        <f xml:space="preserve"> IF( 'From SvanPC++'!A1469= "", "", ('From SvanPC++'!A1469))</f>
        <v/>
      </c>
      <c r="B1479" s="36"/>
      <c r="C1479" s="36"/>
      <c r="D1479" s="36"/>
      <c r="E1479" s="47"/>
      <c r="F1479" s="19"/>
      <c r="I1479" s="19"/>
      <c r="S1479" s="36"/>
      <c r="T1479" s="36"/>
    </row>
    <row r="1480" spans="1:20" s="38" customFormat="1" hidden="1" x14ac:dyDescent="0.3">
      <c r="A1480" s="36" t="str">
        <f xml:space="preserve"> IF( 'From SvanPC++'!A1470= "", "", ('From SvanPC++'!A1470))</f>
        <v/>
      </c>
      <c r="B1480" s="36"/>
      <c r="C1480" s="36"/>
      <c r="D1480" s="36"/>
      <c r="E1480" s="47"/>
      <c r="F1480" s="19"/>
      <c r="I1480" s="19"/>
      <c r="S1480" s="36"/>
      <c r="T1480" s="36"/>
    </row>
    <row r="1481" spans="1:20" s="38" customFormat="1" hidden="1" x14ac:dyDescent="0.3">
      <c r="A1481" s="36" t="str">
        <f xml:space="preserve"> IF( 'From SvanPC++'!A1471= "", "", ('From SvanPC++'!A1471))</f>
        <v/>
      </c>
      <c r="B1481" s="36"/>
      <c r="C1481" s="36"/>
      <c r="D1481" s="36"/>
      <c r="E1481" s="47"/>
      <c r="F1481" s="19"/>
      <c r="I1481" s="19"/>
      <c r="S1481" s="36"/>
      <c r="T1481" s="36"/>
    </row>
    <row r="1482" spans="1:20" s="38" customFormat="1" hidden="1" x14ac:dyDescent="0.3">
      <c r="A1482" s="36" t="str">
        <f xml:space="preserve"> IF( 'From SvanPC++'!A1472= "", "", ('From SvanPC++'!A1472))</f>
        <v/>
      </c>
      <c r="B1482" s="36"/>
      <c r="C1482" s="36"/>
      <c r="D1482" s="36"/>
      <c r="E1482" s="47"/>
      <c r="F1482" s="19"/>
      <c r="I1482" s="19"/>
      <c r="S1482" s="36"/>
      <c r="T1482" s="36"/>
    </row>
    <row r="1483" spans="1:20" s="38" customFormat="1" hidden="1" x14ac:dyDescent="0.3">
      <c r="A1483" s="36" t="str">
        <f xml:space="preserve"> IF( 'From SvanPC++'!A1473= "", "", ('From SvanPC++'!A1473))</f>
        <v/>
      </c>
      <c r="B1483" s="36"/>
      <c r="C1483" s="36"/>
      <c r="D1483" s="36"/>
      <c r="E1483" s="47"/>
      <c r="F1483" s="19"/>
      <c r="I1483" s="19"/>
      <c r="S1483" s="36"/>
      <c r="T1483" s="36"/>
    </row>
    <row r="1484" spans="1:20" s="38" customFormat="1" hidden="1" x14ac:dyDescent="0.3">
      <c r="A1484" s="36" t="str">
        <f xml:space="preserve"> IF( 'From SvanPC++'!A1474= "", "", ('From SvanPC++'!A1474))</f>
        <v/>
      </c>
      <c r="B1484" s="36"/>
      <c r="C1484" s="36"/>
      <c r="D1484" s="36"/>
      <c r="E1484" s="47"/>
      <c r="F1484" s="19"/>
      <c r="I1484" s="19"/>
      <c r="S1484" s="36"/>
      <c r="T1484" s="36"/>
    </row>
    <row r="1485" spans="1:20" s="38" customFormat="1" hidden="1" x14ac:dyDescent="0.3">
      <c r="A1485" s="36" t="str">
        <f xml:space="preserve"> IF( 'From SvanPC++'!A1475= "", "", ('From SvanPC++'!A1475))</f>
        <v/>
      </c>
      <c r="B1485" s="36"/>
      <c r="C1485" s="36"/>
      <c r="D1485" s="36"/>
      <c r="E1485" s="47"/>
      <c r="F1485" s="19"/>
      <c r="I1485" s="19"/>
      <c r="S1485" s="36"/>
      <c r="T1485" s="36"/>
    </row>
    <row r="1486" spans="1:20" s="38" customFormat="1" hidden="1" x14ac:dyDescent="0.3">
      <c r="A1486" s="36" t="str">
        <f xml:space="preserve"> IF( 'From SvanPC++'!A1476= "", "", ('From SvanPC++'!A1476))</f>
        <v/>
      </c>
      <c r="B1486" s="36"/>
      <c r="C1486" s="36"/>
      <c r="D1486" s="36"/>
      <c r="E1486" s="47"/>
      <c r="F1486" s="19"/>
      <c r="I1486" s="19"/>
      <c r="S1486" s="36"/>
      <c r="T1486" s="36"/>
    </row>
    <row r="1487" spans="1:20" s="38" customFormat="1" hidden="1" x14ac:dyDescent="0.3">
      <c r="A1487" s="36" t="str">
        <f xml:space="preserve"> IF( 'From SvanPC++'!A1477= "", "", ('From SvanPC++'!A1477))</f>
        <v/>
      </c>
      <c r="B1487" s="36"/>
      <c r="C1487" s="36"/>
      <c r="D1487" s="36"/>
      <c r="E1487" s="47"/>
      <c r="F1487" s="19"/>
      <c r="I1487" s="19"/>
      <c r="S1487" s="36"/>
      <c r="T1487" s="36"/>
    </row>
    <row r="1488" spans="1:20" s="38" customFormat="1" hidden="1" x14ac:dyDescent="0.3">
      <c r="A1488" s="36" t="str">
        <f xml:space="preserve"> IF( 'From SvanPC++'!A1478= "", "", ('From SvanPC++'!A1478))</f>
        <v/>
      </c>
      <c r="B1488" s="36"/>
      <c r="C1488" s="36"/>
      <c r="D1488" s="36"/>
      <c r="E1488" s="47"/>
      <c r="F1488" s="19"/>
      <c r="I1488" s="19"/>
      <c r="S1488" s="36"/>
      <c r="T1488" s="36"/>
    </row>
    <row r="1489" spans="1:20" s="38" customFormat="1" hidden="1" x14ac:dyDescent="0.3">
      <c r="A1489" s="36" t="str">
        <f xml:space="preserve"> IF( 'From SvanPC++'!A1479= "", "", ('From SvanPC++'!A1479))</f>
        <v/>
      </c>
      <c r="B1489" s="36"/>
      <c r="C1489" s="36"/>
      <c r="D1489" s="36"/>
      <c r="E1489" s="47"/>
      <c r="F1489" s="19"/>
      <c r="I1489" s="19"/>
      <c r="S1489" s="36"/>
      <c r="T1489" s="36"/>
    </row>
    <row r="1490" spans="1:20" s="38" customFormat="1" hidden="1" x14ac:dyDescent="0.3">
      <c r="A1490" s="36" t="str">
        <f xml:space="preserve"> IF( 'From SvanPC++'!A1480= "", "", ('From SvanPC++'!A1480))</f>
        <v/>
      </c>
      <c r="B1490" s="36"/>
      <c r="C1490" s="36"/>
      <c r="D1490" s="36"/>
      <c r="E1490" s="47"/>
      <c r="F1490" s="19"/>
      <c r="I1490" s="19"/>
      <c r="S1490" s="36"/>
      <c r="T1490" s="36"/>
    </row>
    <row r="1491" spans="1:20" s="38" customFormat="1" hidden="1" x14ac:dyDescent="0.3">
      <c r="A1491" s="36" t="str">
        <f xml:space="preserve"> IF( 'From SvanPC++'!A1481= "", "", ('From SvanPC++'!A1481))</f>
        <v/>
      </c>
      <c r="B1491" s="36"/>
      <c r="C1491" s="36"/>
      <c r="D1491" s="36"/>
      <c r="E1491" s="47"/>
      <c r="F1491" s="19"/>
      <c r="I1491" s="19"/>
      <c r="S1491" s="36"/>
      <c r="T1491" s="36"/>
    </row>
    <row r="1492" spans="1:20" s="38" customFormat="1" hidden="1" x14ac:dyDescent="0.3">
      <c r="A1492" s="36" t="str">
        <f xml:space="preserve"> IF( 'From SvanPC++'!A1482= "", "", ('From SvanPC++'!A1482))</f>
        <v/>
      </c>
      <c r="B1492" s="36"/>
      <c r="C1492" s="36"/>
      <c r="D1492" s="36"/>
      <c r="E1492" s="47"/>
      <c r="F1492" s="19"/>
      <c r="I1492" s="19"/>
      <c r="S1492" s="36"/>
      <c r="T1492" s="36"/>
    </row>
    <row r="1493" spans="1:20" s="38" customFormat="1" hidden="1" x14ac:dyDescent="0.3">
      <c r="A1493" s="36" t="str">
        <f xml:space="preserve"> IF( 'From SvanPC++'!A1483= "", "", ('From SvanPC++'!A1483))</f>
        <v/>
      </c>
      <c r="B1493" s="36"/>
      <c r="C1493" s="36"/>
      <c r="D1493" s="36"/>
      <c r="E1493" s="47"/>
      <c r="F1493" s="19"/>
      <c r="I1493" s="19"/>
      <c r="S1493" s="36"/>
      <c r="T1493" s="36"/>
    </row>
    <row r="1494" spans="1:20" s="38" customFormat="1" hidden="1" x14ac:dyDescent="0.3">
      <c r="A1494" s="36" t="str">
        <f xml:space="preserve"> IF( 'From SvanPC++'!A1484= "", "", ('From SvanPC++'!A1484))</f>
        <v/>
      </c>
      <c r="B1494" s="36"/>
      <c r="C1494" s="36"/>
      <c r="D1494" s="36"/>
      <c r="E1494" s="47"/>
      <c r="F1494" s="19"/>
      <c r="I1494" s="19"/>
      <c r="S1494" s="36"/>
      <c r="T1494" s="36"/>
    </row>
    <row r="1495" spans="1:20" s="38" customFormat="1" hidden="1" x14ac:dyDescent="0.3">
      <c r="A1495" s="36" t="str">
        <f xml:space="preserve"> IF( 'From SvanPC++'!A1485= "", "", ('From SvanPC++'!A1485))</f>
        <v/>
      </c>
      <c r="B1495" s="36"/>
      <c r="C1495" s="36"/>
      <c r="D1495" s="36"/>
      <c r="E1495" s="47"/>
      <c r="F1495" s="19"/>
      <c r="I1495" s="19"/>
      <c r="S1495" s="36"/>
      <c r="T1495" s="36"/>
    </row>
    <row r="1496" spans="1:20" s="38" customFormat="1" hidden="1" x14ac:dyDescent="0.3">
      <c r="A1496" s="36" t="str">
        <f xml:space="preserve"> IF( 'From SvanPC++'!A1486= "", "", ('From SvanPC++'!A1486))</f>
        <v/>
      </c>
      <c r="B1496" s="36"/>
      <c r="C1496" s="36"/>
      <c r="D1496" s="36"/>
      <c r="E1496" s="47"/>
      <c r="F1496" s="19"/>
      <c r="I1496" s="19"/>
      <c r="S1496" s="36"/>
      <c r="T1496" s="36"/>
    </row>
    <row r="1497" spans="1:20" s="38" customFormat="1" hidden="1" x14ac:dyDescent="0.3">
      <c r="A1497" s="36" t="str">
        <f xml:space="preserve"> IF( 'From SvanPC++'!A1487= "", "", ('From SvanPC++'!A1487))</f>
        <v/>
      </c>
      <c r="B1497" s="36"/>
      <c r="C1497" s="36"/>
      <c r="D1497" s="36"/>
      <c r="E1497" s="47"/>
      <c r="F1497" s="19"/>
      <c r="I1497" s="19"/>
      <c r="S1497" s="36"/>
      <c r="T1497" s="36"/>
    </row>
    <row r="1498" spans="1:20" s="38" customFormat="1" hidden="1" x14ac:dyDescent="0.3">
      <c r="A1498" s="36" t="str">
        <f xml:space="preserve"> IF( 'From SvanPC++'!A1488= "", "", ('From SvanPC++'!A1488))</f>
        <v/>
      </c>
      <c r="B1498" s="36"/>
      <c r="C1498" s="36"/>
      <c r="D1498" s="36"/>
      <c r="E1498" s="47"/>
      <c r="F1498" s="19"/>
      <c r="I1498" s="19"/>
      <c r="S1498" s="36"/>
      <c r="T1498" s="36"/>
    </row>
    <row r="1499" spans="1:20" s="38" customFormat="1" hidden="1" x14ac:dyDescent="0.3">
      <c r="A1499" s="36" t="str">
        <f xml:space="preserve"> IF( 'From SvanPC++'!A1489= "", "", ('From SvanPC++'!A1489))</f>
        <v/>
      </c>
      <c r="B1499" s="36"/>
      <c r="C1499" s="36"/>
      <c r="D1499" s="36"/>
      <c r="E1499" s="47"/>
      <c r="F1499" s="19"/>
      <c r="I1499" s="19"/>
      <c r="S1499" s="36"/>
      <c r="T1499" s="36"/>
    </row>
    <row r="1500" spans="1:20" s="38" customFormat="1" hidden="1" x14ac:dyDescent="0.3">
      <c r="A1500" s="36" t="str">
        <f xml:space="preserve"> IF( 'From SvanPC++'!A1490= "", "", ('From SvanPC++'!A1490))</f>
        <v/>
      </c>
      <c r="B1500" s="36"/>
      <c r="C1500" s="36"/>
      <c r="D1500" s="36"/>
      <c r="E1500" s="47"/>
      <c r="F1500" s="19"/>
      <c r="I1500" s="19"/>
      <c r="S1500" s="36"/>
      <c r="T1500" s="36"/>
    </row>
    <row r="1501" spans="1:20" s="38" customFormat="1" hidden="1" x14ac:dyDescent="0.3">
      <c r="A1501" s="36" t="str">
        <f xml:space="preserve"> IF( 'From SvanPC++'!A1491= "", "", ('From SvanPC++'!A1491))</f>
        <v/>
      </c>
      <c r="B1501" s="36"/>
      <c r="C1501" s="36"/>
      <c r="D1501" s="36"/>
      <c r="E1501" s="47"/>
      <c r="F1501" s="19"/>
      <c r="I1501" s="19"/>
      <c r="S1501" s="36"/>
      <c r="T1501" s="36"/>
    </row>
    <row r="1502" spans="1:20" s="38" customFormat="1" hidden="1" x14ac:dyDescent="0.3">
      <c r="A1502" s="36" t="str">
        <f xml:space="preserve"> IF( 'From SvanPC++'!A1492= "", "", ('From SvanPC++'!A1492))</f>
        <v/>
      </c>
      <c r="B1502" s="36"/>
      <c r="C1502" s="36"/>
      <c r="D1502" s="36"/>
      <c r="E1502" s="47"/>
      <c r="F1502" s="19"/>
      <c r="I1502" s="19"/>
      <c r="S1502" s="36"/>
      <c r="T1502" s="36"/>
    </row>
    <row r="1503" spans="1:20" s="38" customFormat="1" hidden="1" x14ac:dyDescent="0.3">
      <c r="A1503" s="36" t="str">
        <f xml:space="preserve"> IF( 'From SvanPC++'!A1493= "", "", ('From SvanPC++'!A1493))</f>
        <v/>
      </c>
      <c r="B1503" s="36"/>
      <c r="C1503" s="36"/>
      <c r="D1503" s="36"/>
      <c r="E1503" s="47"/>
      <c r="F1503" s="19"/>
      <c r="I1503" s="19"/>
      <c r="S1503" s="36"/>
      <c r="T1503" s="36"/>
    </row>
    <row r="1504" spans="1:20" s="38" customFormat="1" hidden="1" x14ac:dyDescent="0.3">
      <c r="A1504" s="36" t="str">
        <f xml:space="preserve"> IF( 'From SvanPC++'!A1494= "", "", ('From SvanPC++'!A1494))</f>
        <v/>
      </c>
      <c r="B1504" s="36"/>
      <c r="C1504" s="36"/>
      <c r="D1504" s="36"/>
      <c r="E1504" s="47"/>
      <c r="F1504" s="19"/>
      <c r="I1504" s="19"/>
      <c r="S1504" s="36"/>
      <c r="T1504" s="36"/>
    </row>
    <row r="1505" spans="1:20" s="38" customFormat="1" hidden="1" x14ac:dyDescent="0.3">
      <c r="A1505" s="36" t="str">
        <f xml:space="preserve"> IF( 'From SvanPC++'!A1495= "", "", ('From SvanPC++'!A1495))</f>
        <v/>
      </c>
      <c r="B1505" s="36"/>
      <c r="C1505" s="36"/>
      <c r="D1505" s="36"/>
      <c r="E1505" s="47"/>
      <c r="F1505" s="19"/>
      <c r="I1505" s="19"/>
      <c r="S1505" s="36"/>
      <c r="T1505" s="36"/>
    </row>
    <row r="1506" spans="1:20" s="38" customFormat="1" hidden="1" x14ac:dyDescent="0.3">
      <c r="A1506" s="36" t="str">
        <f xml:space="preserve"> IF( 'From SvanPC++'!A1496= "", "", ('From SvanPC++'!A1496))</f>
        <v/>
      </c>
      <c r="B1506" s="36"/>
      <c r="C1506" s="36"/>
      <c r="D1506" s="36"/>
      <c r="E1506" s="47"/>
      <c r="F1506" s="19"/>
      <c r="I1506" s="19"/>
      <c r="S1506" s="36"/>
      <c r="T1506" s="36"/>
    </row>
    <row r="1507" spans="1:20" s="38" customFormat="1" hidden="1" x14ac:dyDescent="0.3">
      <c r="A1507" s="36" t="str">
        <f xml:space="preserve"> IF( 'From SvanPC++'!A1497= "", "", ('From SvanPC++'!A1497))</f>
        <v/>
      </c>
      <c r="B1507" s="36"/>
      <c r="C1507" s="36"/>
      <c r="D1507" s="36"/>
      <c r="E1507" s="47"/>
      <c r="F1507" s="19"/>
      <c r="I1507" s="19"/>
      <c r="S1507" s="36"/>
      <c r="T1507" s="36"/>
    </row>
    <row r="1508" spans="1:20" s="38" customFormat="1" hidden="1" x14ac:dyDescent="0.3">
      <c r="A1508" s="36" t="str">
        <f xml:space="preserve"> IF( 'From SvanPC++'!A1498= "", "", ('From SvanPC++'!A1498))</f>
        <v/>
      </c>
      <c r="B1508" s="36"/>
      <c r="C1508" s="36"/>
      <c r="D1508" s="36"/>
      <c r="E1508" s="47"/>
      <c r="F1508" s="19"/>
      <c r="I1508" s="19"/>
      <c r="S1508" s="36"/>
      <c r="T1508" s="36"/>
    </row>
    <row r="1509" spans="1:20" s="38" customFormat="1" hidden="1" x14ac:dyDescent="0.3">
      <c r="A1509" s="36" t="str">
        <f xml:space="preserve"> IF( 'From SvanPC++'!A1499= "", "", ('From SvanPC++'!A1499))</f>
        <v/>
      </c>
      <c r="B1509" s="36"/>
      <c r="C1509" s="36"/>
      <c r="D1509" s="36"/>
      <c r="E1509" s="47"/>
      <c r="F1509" s="19"/>
      <c r="I1509" s="19"/>
      <c r="S1509" s="36"/>
      <c r="T1509" s="36"/>
    </row>
    <row r="1510" spans="1:20" s="38" customFormat="1" hidden="1" x14ac:dyDescent="0.3">
      <c r="A1510" s="36" t="str">
        <f xml:space="preserve"> IF( 'From SvanPC++'!A1500= "", "", ('From SvanPC++'!A1500))</f>
        <v/>
      </c>
      <c r="B1510" s="36"/>
      <c r="C1510" s="36"/>
      <c r="D1510" s="36"/>
      <c r="E1510" s="47"/>
      <c r="F1510" s="19"/>
      <c r="I1510" s="19"/>
      <c r="S1510" s="36"/>
      <c r="T1510" s="36"/>
    </row>
  </sheetData>
  <sheetProtection sheet="1" objects="1" scenarios="1"/>
  <autoFilter ref="B22:I1510" xr:uid="{70182F3A-E0BE-4B28-88AA-BB5BB9AE5B3B}">
    <filterColumn colId="7">
      <customFilters>
        <customFilter operator="notEqual" val=" "/>
      </customFilters>
    </filterColumn>
  </autoFilter>
  <mergeCells count="4">
    <mergeCell ref="B1:C1"/>
    <mergeCell ref="E1:F1"/>
    <mergeCell ref="B13:C13"/>
    <mergeCell ref="E13:F1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AA0E6-2BE9-4EC7-ACCE-269945842879}">
  <sheetPr codeName="Sheet7">
    <tabColor rgb="FFFFC000"/>
  </sheetPr>
  <dimension ref="A1:R1500"/>
  <sheetViews>
    <sheetView zoomScaleNormal="100" workbookViewId="0">
      <pane xSplit="18" ySplit="5" topLeftCell="S6" activePane="bottomRight" state="frozen"/>
      <selection pane="topRight" activeCell="T1" sqref="T1"/>
      <selection pane="bottomLeft" activeCell="A6" sqref="A6"/>
      <selection pane="bottomRight" activeCell="A6" sqref="A6"/>
    </sheetView>
  </sheetViews>
  <sheetFormatPr defaultRowHeight="15" x14ac:dyDescent="0.3"/>
  <cols>
    <col min="1" max="2" width="9.140625" style="36"/>
    <col min="3" max="3" width="33.140625" style="47" customWidth="1"/>
    <col min="4" max="5" width="12.42578125" style="37" customWidth="1"/>
    <col min="6" max="13" width="9.140625" style="38"/>
    <col min="14" max="14" width="9.140625" style="38" customWidth="1"/>
    <col min="15" max="17" width="9.140625" style="38"/>
    <col min="18" max="16384" width="9.140625" style="36"/>
  </cols>
  <sheetData>
    <row r="1" spans="1:18" ht="15" customHeight="1" x14ac:dyDescent="0.3">
      <c r="A1" s="9" t="s">
        <v>937</v>
      </c>
      <c r="B1" s="126"/>
      <c r="C1" s="127"/>
      <c r="D1" s="128"/>
      <c r="E1" s="128"/>
      <c r="F1" s="50"/>
      <c r="G1" s="43"/>
      <c r="H1" s="139" t="s">
        <v>939</v>
      </c>
      <c r="I1" s="140"/>
      <c r="J1" s="140"/>
      <c r="K1" s="140"/>
      <c r="L1" s="140"/>
      <c r="M1" s="50"/>
      <c r="N1" s="50"/>
      <c r="O1" s="50"/>
      <c r="P1" s="50"/>
      <c r="Q1" s="50"/>
      <c r="R1" s="10"/>
    </row>
    <row r="2" spans="1:18" ht="15" customHeight="1" x14ac:dyDescent="0.3">
      <c r="A2" s="11" t="s">
        <v>938</v>
      </c>
      <c r="B2" s="44"/>
      <c r="C2" s="46"/>
      <c r="D2" s="45"/>
      <c r="E2" s="45"/>
      <c r="F2" s="43"/>
      <c r="G2" s="43"/>
      <c r="H2" s="139" t="s">
        <v>930</v>
      </c>
      <c r="I2" s="139"/>
      <c r="J2" s="139"/>
      <c r="K2" s="139"/>
      <c r="L2" s="139"/>
      <c r="M2" s="43"/>
      <c r="N2" s="43"/>
      <c r="O2" s="43"/>
      <c r="P2" s="43"/>
      <c r="Q2" s="43"/>
      <c r="R2" s="12"/>
    </row>
    <row r="3" spans="1:18" ht="15" customHeight="1" x14ac:dyDescent="0.3">
      <c r="A3" s="11"/>
      <c r="B3" s="44"/>
      <c r="C3" s="138"/>
      <c r="D3" s="45"/>
      <c r="E3" s="45"/>
      <c r="F3" s="43"/>
      <c r="G3" s="43"/>
      <c r="H3" s="139" t="s">
        <v>932</v>
      </c>
      <c r="I3" s="139"/>
      <c r="J3" s="139"/>
      <c r="K3" s="139"/>
      <c r="L3" s="139"/>
      <c r="M3" s="43"/>
      <c r="N3" s="43"/>
      <c r="O3" s="57" t="s">
        <v>929</v>
      </c>
      <c r="P3" s="50"/>
      <c r="Q3" s="66"/>
      <c r="R3" s="12"/>
    </row>
    <row r="4" spans="1:18" ht="15" customHeight="1" x14ac:dyDescent="0.3">
      <c r="A4" s="11"/>
      <c r="B4" s="44"/>
      <c r="C4" s="150" t="s">
        <v>931</v>
      </c>
      <c r="D4" s="152"/>
      <c r="E4" s="48"/>
      <c r="F4" s="43"/>
      <c r="G4" s="153" t="s">
        <v>3</v>
      </c>
      <c r="H4" s="154"/>
      <c r="I4" s="43"/>
      <c r="J4" s="153" t="s">
        <v>7</v>
      </c>
      <c r="K4" s="155"/>
      <c r="L4" s="154"/>
      <c r="M4" s="43"/>
      <c r="N4" s="42" t="s">
        <v>8</v>
      </c>
      <c r="O4" s="137" t="s">
        <v>4</v>
      </c>
      <c r="P4" s="40" t="s">
        <v>5</v>
      </c>
      <c r="Q4" s="41" t="s">
        <v>6</v>
      </c>
      <c r="R4" s="12"/>
    </row>
    <row r="5" spans="1:18" ht="15" customHeight="1" x14ac:dyDescent="0.3">
      <c r="A5" s="21"/>
      <c r="B5" s="129"/>
      <c r="C5" s="27" t="s">
        <v>1</v>
      </c>
      <c r="D5" s="125" t="s">
        <v>9</v>
      </c>
      <c r="E5" s="28" t="s">
        <v>2</v>
      </c>
      <c r="F5" s="54"/>
      <c r="G5" s="130">
        <f xml:space="preserve"> IF( C6= "", "", 1)</f>
        <v>1</v>
      </c>
      <c r="H5" s="131"/>
      <c r="I5" s="54"/>
      <c r="J5" s="132" t="s">
        <v>4</v>
      </c>
      <c r="K5" s="133" t="s">
        <v>5</v>
      </c>
      <c r="L5" s="131" t="s">
        <v>6</v>
      </c>
      <c r="M5" s="54"/>
      <c r="N5" s="54"/>
      <c r="O5" s="134">
        <f>MIN(J6:J1500)</f>
        <v>40.616666666666667</v>
      </c>
      <c r="P5" s="135">
        <f>MIN(K6:K1500)</f>
        <v>35.155555555555551</v>
      </c>
      <c r="Q5" s="136">
        <f>MIN(L6:L1500)</f>
        <v>32.755555555555553</v>
      </c>
      <c r="R5" s="22"/>
    </row>
    <row r="6" spans="1:18" ht="15.75" x14ac:dyDescent="0.3">
      <c r="A6" s="36" t="str">
        <f xml:space="preserve"> IF( 'From SvanPC++'!A6= "", "", ('From SvanPC++'!A6))</f>
        <v/>
      </c>
      <c r="C6" s="86">
        <v>43909</v>
      </c>
      <c r="D6" s="82">
        <v>0.58333333333333326</v>
      </c>
      <c r="E6" s="87">
        <v>49</v>
      </c>
      <c r="G6" s="38">
        <f xml:space="preserve"> IF( D6= "", "", ( IF( AND( D6 &gt;= TIMEVALUE( "07:00:01" ), D6 &lt; TIMEVALUE( "08:00:01" ) ) = TRUE, (G5+1), (G5+0) )))</f>
        <v>1</v>
      </c>
      <c r="H6" s="141" t="str">
        <f xml:space="preserve"> IF( D6= "", "", ( IF( AND( D6 &gt;= TIMEVALUE( "07:00:01" ), D6 &lt;= TIMEVALUE( "13:00:00" ), WEEKDAY( C6) =(7+N("COMMENT - saturday day period")) ) = TRUE, "Day",
IF( AND( D6 &gt;= TIMEVALUE( "07:00:01" ), D6 &lt;= TIMEVALUE( "18:00:00" ), WEEKDAY( C6,1+N("COMMENT - weekday day period")) &gt;=2, ( WEEKDAY( C6,1) &lt;=6) ) = TRUE, "Day",
IF( AND( D6 &gt;= TIMEVALUE( "13:00:01" ), D6 &lt;= TIMEVALUE( "22:00:00" ), WEEKDAY( C6) =(7+N("COMMENT - saturday evening period")) ) = TRUE, "Evening",
IF( AND( D6 &gt;= TIMEVALUE( "18:00:01" ), D6 &lt;= TIMEVALUE( "22:00:00" ), WEEKDAY( C6,1+N("COMMENT - weekday evening period")) &gt;=2, ( WEEKDAY( C6,1) &lt;=6) ) = TRUE, "Evening",
IF( AND( D6 &gt;= TIMEVALUE( "07:00:01" ), D6 &lt;= TIMEVALUE( "22:00:00" ), WEEKDAY( C6) =(1+N("COMMENT - sunday evening period")) ) = TRUE, "Evening",
IF( AND( D6 &gt;= TIMEVALUE( "22:00:01" ), D6 &lt;= TIMEVALUE( "23:59:59" ), WEEKDAY( C6) =(7+N("COMMENT - saturday night1 period")) ) = TRUE, "Night",
IF( AND( D6 &gt;= TIMEVALUE( "00:00:00" ), D6 &lt;= TIMEVALUE( "07:00:00" ), WEEKDAY( C6) =(7+N("COMMENT - saturday night2 period")) ) = TRUE, "Night",
IF( AND( D6 &gt;= TIMEVALUE( "22:00:01" ), D6 &lt;= TIMEVALUE( "23:59:59" ), WEEKDAY( C6,1+N("COMMENT - weekday night1 period")) &gt;=2, ( WEEKDAY( C6,1) &lt;=6) ) = TRUE, "Night",
IF( AND( D6 &gt;= TIMEVALUE( "00:00:00" ), D6 &lt;= TIMEVALUE( "07:00:00" ), WEEKDAY( C6,1+N("COMMENT - weekday night2 period")) &gt;=2, ( WEEKDAY( C6,1) &lt;=6) ) = TRUE, "Night",
IF( AND( D6 &gt;= TIMEVALUE( "20:00:01" ), D6 &lt;= TIMEVALUE( "23:59:59" ), WEEKDAY( C6) =(1+N("COMMENT - sunday night1 period")) ) = TRUE, "Night",
IF( AND( D6 &gt;= TIMEVALUE( "00:00:00" ), D6 &lt;= TIMEVALUE( "07:00:00" ), WEEKDAY( C6) =(1+N("COMMENT - sunday night2 period")) ) = TRUE, "Night", )))))))))))))</f>
        <v>Day</v>
      </c>
      <c r="J6" s="8">
        <f xml:space="preserve"> IF( ISERROR( IF( D6= "", "", ( IF( G6= 1, ( AVERAGEIFS( E6:E150, G6:G150, 1, H6:H150, "Day" )), "" )))), "",( IF( D6= "", "", ( IF( G6= 1, ( AVERAGEIFS( E6:E150, G6:G150, 1, H6:H150, "Day" )), "" )))))</f>
        <v>43.42</v>
      </c>
      <c r="K6" s="8">
        <f xml:space="preserve"> IF( ISERROR( IF( D6= "", "", ( IF( G6= 1, ( AVERAGEIFS( E6:E150, G6:G150, 1, H6:H150, "Evening" )), "" )))), "",( IF( D6= "", "", ( IF( G6= 1, ( AVERAGEIFS( E6:E150, G6:G150, 1, H6:H150, "Evening" )), "" )))))</f>
        <v>43.474999999999994</v>
      </c>
      <c r="L6" s="8">
        <f xml:space="preserve"> IF( ISERROR( IF( D6= "", "", ( IF( G6= 1, ( AVERAGEIFS( E6:E150, G6:G150, 1, H6:H150, "Night" )), "" )))), "",( IF( D6= "", "", ( IF( G6= 1, ( AVERAGEIFS( E6:E150, G6:G150, 1, H6:H150, "Night" )), "" )))))</f>
        <v>41.56666666666667</v>
      </c>
    </row>
    <row r="7" spans="1:18" ht="15.75" x14ac:dyDescent="0.3">
      <c r="A7" s="36" t="str">
        <f xml:space="preserve"> IF( 'From SvanPC++'!A7= "", "", ('From SvanPC++'!A7))</f>
        <v/>
      </c>
      <c r="C7" s="86">
        <v>43909</v>
      </c>
      <c r="D7" s="82">
        <v>0.625</v>
      </c>
      <c r="E7" s="87">
        <v>41.4</v>
      </c>
      <c r="G7" s="38">
        <f t="shared" ref="G7:G70" si="0" xml:space="preserve"> IF( D7= "", "", ( IF( AND( D7 &gt;= TIMEVALUE( "07:00:01" ), D7 &lt; TIMEVALUE( "08:00:01" ) ) = TRUE, (G6+1), (G6+0) )))</f>
        <v>1</v>
      </c>
      <c r="H7" s="141" t="str">
        <f t="shared" ref="H7:H70" si="1" xml:space="preserve"> IF( D7= "", "", ( IF( AND( D7 &gt;= TIMEVALUE( "07:00:01" ), D7 &lt;= TIMEVALUE( "13:00:00" ), WEEKDAY( C7) =(7+N("COMMENT - saturday day period")) ) = TRUE, "Day",
IF( AND( D7 &gt;= TIMEVALUE( "07:00:01" ), D7 &lt;= TIMEVALUE( "18:00:00" ), WEEKDAY( C7,1+N("COMMENT - weekday day period")) &gt;=2, ( WEEKDAY( C7,1) &lt;=6) ) = TRUE, "Day",
IF( AND( D7 &gt;= TIMEVALUE( "13:00:01" ), D7 &lt;= TIMEVALUE( "22:00:00" ), WEEKDAY( C7) =(7+N("COMMENT - saturday evening period")) ) = TRUE, "Evening",
IF( AND( D7 &gt;= TIMEVALUE( "18:00:01" ), D7 &lt;= TIMEVALUE( "22:00:00" ), WEEKDAY( C7,1+N("COMMENT - weekday evening period")) &gt;=2, ( WEEKDAY( C7,1) &lt;=6) ) = TRUE, "Evening",
IF( AND( D7 &gt;= TIMEVALUE( "07:00:01" ), D7 &lt;= TIMEVALUE( "22:00:00" ), WEEKDAY( C7) =(1+N("COMMENT - sunday evening period")) ) = TRUE, "Evening",
IF( AND( D7 &gt;= TIMEVALUE( "22:00:01" ), D7 &lt;= TIMEVALUE( "23:59:59" ), WEEKDAY( C7) =(7+N("COMMENT - saturday night1 period")) ) = TRUE, "Night",
IF( AND( D7 &gt;= TIMEVALUE( "00:00:00" ), D7 &lt;= TIMEVALUE( "07:00:00" ), WEEKDAY( C7) =(7+N("COMMENT - saturday night2 period")) ) = TRUE, "Night",
IF( AND( D7 &gt;= TIMEVALUE( "22:00:01" ), D7 &lt;= TIMEVALUE( "23:59:59" ), WEEKDAY( C7,1+N("COMMENT - weekday night1 period")) &gt;=2, ( WEEKDAY( C7,1) &lt;=6) ) = TRUE, "Night",
IF( AND( D7 &gt;= TIMEVALUE( "00:00:00" ), D7 &lt;= TIMEVALUE( "07:00:00" ), WEEKDAY( C7,1+N("COMMENT - weekday night2 period")) &gt;=2, ( WEEKDAY( C7,1) &lt;=6) ) = TRUE, "Night",
IF( AND( D7 &gt;= TIMEVALUE( "20:00:01" ), D7 &lt;= TIMEVALUE( "23:59:59" ), WEEKDAY( C7) =(1+N("COMMENT - sunday night1 period")) ) = TRUE, "Night",
IF( AND( D7 &gt;= TIMEVALUE( "00:00:00" ), D7 &lt;= TIMEVALUE( "07:00:00" ), WEEKDAY( C7) =(1+N("COMMENT - sunday night2 period")) ) = TRUE, "Night", )))))))))))))</f>
        <v>Day</v>
      </c>
      <c r="J7" s="141" t="str">
        <f xml:space="preserve"> IF( ISERROR( IF( D7= "", "", ( IF( G7= (G6+1), ( AVERAGEIFS( E7:E151, G7:G151, G7, H7:H151, "Day" )), "" )))), "",( IF( D7= "", "", ( IF( G7= (G6+1), ( AVERAGEIFS( E7:E151, G7:G151, G7, H7:H151, "Day" )), "" )))))</f>
        <v/>
      </c>
      <c r="K7" s="141" t="str">
        <f xml:space="preserve"> IF( ISERROR( IF( D7= "", "", ( IF( G7= (G6+1), ( AVERAGEIFS( E7:E151, G7:G151, G7, H7:H151, "Evening" )), "" )))), "",( IF( D7= "", "", ( IF( G7= (G6+1), ( AVERAGEIFS( E7:E151, G7:G151, G7, H7:H151, "Evening" )), "" )))))</f>
        <v/>
      </c>
      <c r="L7" s="141" t="str">
        <f xml:space="preserve"> IF( ISERROR( IF( D7= "", "", ( IF( G7= (G6+1), ( AVERAGEIFS( E7:E151, G7:G151, G7, H7:H151, "Night" )), "" )))), "",( IF( D7= "", "", ( IF( G7= (G6+1), ( AVERAGEIFS( E7:E151, G7:G151, G7, H7:H151, "Night" )), "" )))))</f>
        <v/>
      </c>
    </row>
    <row r="8" spans="1:18" ht="15.75" x14ac:dyDescent="0.3">
      <c r="A8" s="36" t="str">
        <f xml:space="preserve"> IF( 'From SvanPC++'!A8= "", "", ('From SvanPC++'!A8))</f>
        <v/>
      </c>
      <c r="C8" s="86">
        <v>43909</v>
      </c>
      <c r="D8" s="82">
        <v>0.66666666666666663</v>
      </c>
      <c r="E8" s="87">
        <v>42</v>
      </c>
      <c r="G8" s="38">
        <f t="shared" si="0"/>
        <v>1</v>
      </c>
      <c r="H8" s="141" t="str">
        <f t="shared" si="1"/>
        <v>Day</v>
      </c>
      <c r="J8" s="141" t="str">
        <f t="shared" ref="J8:J71" si="2" xml:space="preserve"> IF( ISERROR( IF( D8= "", "", ( IF( G8= (G7+1), ( AVERAGEIFS( E8:E152, G8:G152, G8, H8:H152, "Day" )), "" )))), "",( IF( D8= "", "", ( IF( G8= (G7+1), ( AVERAGEIFS( E8:E152, G8:G152, G8, H8:H152, "Day" )), "" )))))</f>
        <v/>
      </c>
      <c r="K8" s="141" t="str">
        <f t="shared" ref="K8:K71" si="3" xml:space="preserve"> IF( ISERROR( IF( D8= "", "", ( IF( G8= (G7+1), ( AVERAGEIFS( E8:E152, G8:G152, G8, H8:H152, "Evening" )), "" )))), "",( IF( D8= "", "", ( IF( G8= (G7+1), ( AVERAGEIFS( E8:E152, G8:G152, G8, H8:H152, "Evening" )), "" )))))</f>
        <v/>
      </c>
      <c r="L8" s="141" t="str">
        <f t="shared" ref="L8:L71" si="4" xml:space="preserve"> IF( ISERROR( IF( D8= "", "", ( IF( G8= (G7+1), ( AVERAGEIFS( E8:E152, G8:G152, G8, H8:H152, "Night" )), "" )))), "",( IF( D8= "", "", ( IF( G8= (G7+1), ( AVERAGEIFS( E8:E152, G8:G152, G8, H8:H152, "Night" )), "" )))))</f>
        <v/>
      </c>
    </row>
    <row r="9" spans="1:18" ht="15.75" x14ac:dyDescent="0.3">
      <c r="A9" s="36" t="str">
        <f xml:space="preserve"> IF( 'From SvanPC++'!A9= "", "", ('From SvanPC++'!A9))</f>
        <v/>
      </c>
      <c r="C9" s="86">
        <v>43909</v>
      </c>
      <c r="D9" s="82">
        <v>0.70833333333333326</v>
      </c>
      <c r="E9" s="87">
        <v>41.8</v>
      </c>
      <c r="G9" s="38">
        <f t="shared" si="0"/>
        <v>1</v>
      </c>
      <c r="H9" s="141" t="str">
        <f t="shared" si="1"/>
        <v>Day</v>
      </c>
      <c r="J9" s="141" t="str">
        <f t="shared" si="2"/>
        <v/>
      </c>
      <c r="K9" s="141" t="str">
        <f t="shared" si="3"/>
        <v/>
      </c>
      <c r="L9" s="141" t="str">
        <f t="shared" si="4"/>
        <v/>
      </c>
    </row>
    <row r="10" spans="1:18" ht="15.75" x14ac:dyDescent="0.3">
      <c r="A10" s="36" t="str">
        <f xml:space="preserve"> IF( 'From SvanPC++'!A10= "", "", ('From SvanPC++'!A10))</f>
        <v/>
      </c>
      <c r="C10" s="86">
        <v>43909</v>
      </c>
      <c r="D10" s="82">
        <v>0.75</v>
      </c>
      <c r="E10" s="87">
        <v>42.9</v>
      </c>
      <c r="G10" s="38">
        <f t="shared" si="0"/>
        <v>1</v>
      </c>
      <c r="H10" s="141" t="str">
        <f t="shared" si="1"/>
        <v>Day</v>
      </c>
      <c r="J10" s="141" t="str">
        <f t="shared" si="2"/>
        <v/>
      </c>
      <c r="K10" s="141" t="str">
        <f t="shared" si="3"/>
        <v/>
      </c>
      <c r="L10" s="141" t="str">
        <f t="shared" si="4"/>
        <v/>
      </c>
      <c r="N10" s="39"/>
      <c r="O10" s="39"/>
      <c r="P10" s="39"/>
    </row>
    <row r="11" spans="1:18" ht="15.75" x14ac:dyDescent="0.3">
      <c r="A11" s="36" t="str">
        <f xml:space="preserve"> IF( 'From SvanPC++'!A11= "", "", ('From SvanPC++'!A11))</f>
        <v/>
      </c>
      <c r="C11" s="86">
        <v>43909</v>
      </c>
      <c r="D11" s="82">
        <v>0.79166666666666663</v>
      </c>
      <c r="E11" s="87">
        <v>42.3</v>
      </c>
      <c r="G11" s="38">
        <f t="shared" si="0"/>
        <v>1</v>
      </c>
      <c r="H11" s="141" t="str">
        <f t="shared" si="1"/>
        <v>Evening</v>
      </c>
      <c r="J11" s="141" t="str">
        <f t="shared" si="2"/>
        <v/>
      </c>
      <c r="K11" s="141" t="str">
        <f t="shared" si="3"/>
        <v/>
      </c>
      <c r="L11" s="141" t="str">
        <f t="shared" si="4"/>
        <v/>
      </c>
    </row>
    <row r="12" spans="1:18" ht="15.75" x14ac:dyDescent="0.3">
      <c r="A12" s="36" t="str">
        <f xml:space="preserve"> IF( 'From SvanPC++'!A12= "", "", ('From SvanPC++'!A12))</f>
        <v/>
      </c>
      <c r="C12" s="86">
        <v>43909</v>
      </c>
      <c r="D12" s="82">
        <v>0.83333333333333326</v>
      </c>
      <c r="E12" s="87">
        <v>43.9</v>
      </c>
      <c r="G12" s="38">
        <f t="shared" si="0"/>
        <v>1</v>
      </c>
      <c r="H12" s="141" t="str">
        <f t="shared" si="1"/>
        <v>Evening</v>
      </c>
      <c r="J12" s="141" t="str">
        <f t="shared" si="2"/>
        <v/>
      </c>
      <c r="K12" s="141" t="str">
        <f t="shared" si="3"/>
        <v/>
      </c>
      <c r="L12" s="141" t="str">
        <f t="shared" si="4"/>
        <v/>
      </c>
    </row>
    <row r="13" spans="1:18" ht="15.75" x14ac:dyDescent="0.3">
      <c r="A13" s="36" t="str">
        <f xml:space="preserve"> IF( 'From SvanPC++'!A13= "", "", ('From SvanPC++'!A13))</f>
        <v/>
      </c>
      <c r="C13" s="86">
        <v>43909</v>
      </c>
      <c r="D13" s="82">
        <v>0.875</v>
      </c>
      <c r="E13" s="87">
        <v>42.6</v>
      </c>
      <c r="G13" s="38">
        <f t="shared" si="0"/>
        <v>1</v>
      </c>
      <c r="H13" s="141" t="str">
        <f t="shared" si="1"/>
        <v>Evening</v>
      </c>
      <c r="J13" s="141" t="str">
        <f t="shared" si="2"/>
        <v/>
      </c>
      <c r="K13" s="141" t="str">
        <f t="shared" si="3"/>
        <v/>
      </c>
      <c r="L13" s="141" t="str">
        <f t="shared" si="4"/>
        <v/>
      </c>
    </row>
    <row r="14" spans="1:18" ht="15.75" x14ac:dyDescent="0.3">
      <c r="A14" s="36" t="str">
        <f xml:space="preserve"> IF( 'From SvanPC++'!A14= "", "", ('From SvanPC++'!A14))</f>
        <v/>
      </c>
      <c r="C14" s="86">
        <v>43909</v>
      </c>
      <c r="D14" s="82">
        <v>0.91666666666666663</v>
      </c>
      <c r="E14" s="87">
        <v>45.1</v>
      </c>
      <c r="G14" s="38">
        <f t="shared" si="0"/>
        <v>1</v>
      </c>
      <c r="H14" s="141" t="str">
        <f t="shared" si="1"/>
        <v>Evening</v>
      </c>
      <c r="J14" s="141" t="str">
        <f t="shared" si="2"/>
        <v/>
      </c>
      <c r="K14" s="141" t="str">
        <f t="shared" si="3"/>
        <v/>
      </c>
      <c r="L14" s="141" t="str">
        <f t="shared" si="4"/>
        <v/>
      </c>
    </row>
    <row r="15" spans="1:18" ht="15.75" x14ac:dyDescent="0.3">
      <c r="A15" s="36" t="str">
        <f xml:space="preserve"> IF( 'From SvanPC++'!A15= "", "", ('From SvanPC++'!A15))</f>
        <v/>
      </c>
      <c r="C15" s="86">
        <v>43909</v>
      </c>
      <c r="D15" s="82">
        <v>0.95833333333333326</v>
      </c>
      <c r="E15" s="87">
        <v>43.1</v>
      </c>
      <c r="G15" s="38">
        <f t="shared" si="0"/>
        <v>1</v>
      </c>
      <c r="H15" s="141" t="str">
        <f t="shared" si="1"/>
        <v>Night</v>
      </c>
      <c r="J15" s="141" t="str">
        <f t="shared" si="2"/>
        <v/>
      </c>
      <c r="K15" s="141" t="str">
        <f t="shared" si="3"/>
        <v/>
      </c>
      <c r="L15" s="141" t="str">
        <f t="shared" si="4"/>
        <v/>
      </c>
    </row>
    <row r="16" spans="1:18" ht="15.75" x14ac:dyDescent="0.3">
      <c r="A16" s="36" t="str">
        <f xml:space="preserve"> IF( 'From SvanPC++'!A16= "", "", ('From SvanPC++'!A16))</f>
        <v/>
      </c>
      <c r="C16" s="86">
        <v>43910</v>
      </c>
      <c r="D16" s="82">
        <v>0</v>
      </c>
      <c r="E16" s="87">
        <v>44.3</v>
      </c>
      <c r="G16" s="38">
        <f t="shared" si="0"/>
        <v>1</v>
      </c>
      <c r="H16" s="141" t="str">
        <f t="shared" si="1"/>
        <v>Night</v>
      </c>
      <c r="J16" s="141" t="str">
        <f t="shared" si="2"/>
        <v/>
      </c>
      <c r="K16" s="141" t="str">
        <f t="shared" si="3"/>
        <v/>
      </c>
      <c r="L16" s="141" t="str">
        <f t="shared" si="4"/>
        <v/>
      </c>
    </row>
    <row r="17" spans="1:12" ht="15.75" x14ac:dyDescent="0.3">
      <c r="A17" s="36" t="str">
        <f xml:space="preserve"> IF( 'From SvanPC++'!A17= "", "", ('From SvanPC++'!A17))</f>
        <v/>
      </c>
      <c r="C17" s="86">
        <v>43910</v>
      </c>
      <c r="D17" s="82">
        <v>4.1666666666666664E-2</v>
      </c>
      <c r="E17" s="87">
        <v>42.8</v>
      </c>
      <c r="G17" s="38">
        <f t="shared" si="0"/>
        <v>1</v>
      </c>
      <c r="H17" s="141" t="str">
        <f t="shared" si="1"/>
        <v>Night</v>
      </c>
      <c r="J17" s="141" t="str">
        <f t="shared" si="2"/>
        <v/>
      </c>
      <c r="K17" s="141" t="str">
        <f t="shared" si="3"/>
        <v/>
      </c>
      <c r="L17" s="141" t="str">
        <f t="shared" si="4"/>
        <v/>
      </c>
    </row>
    <row r="18" spans="1:12" ht="15.75" x14ac:dyDescent="0.3">
      <c r="A18" s="36" t="str">
        <f xml:space="preserve"> IF( 'From SvanPC++'!A18= "", "", ('From SvanPC++'!A18))</f>
        <v/>
      </c>
      <c r="C18" s="86">
        <v>43910</v>
      </c>
      <c r="D18" s="82">
        <v>8.3333333333333329E-2</v>
      </c>
      <c r="E18" s="87">
        <v>42.9</v>
      </c>
      <c r="G18" s="38">
        <f t="shared" si="0"/>
        <v>1</v>
      </c>
      <c r="H18" s="141" t="str">
        <f t="shared" si="1"/>
        <v>Night</v>
      </c>
      <c r="J18" s="141" t="str">
        <f t="shared" si="2"/>
        <v/>
      </c>
      <c r="K18" s="141" t="str">
        <f t="shared" si="3"/>
        <v/>
      </c>
      <c r="L18" s="141" t="str">
        <f t="shared" si="4"/>
        <v/>
      </c>
    </row>
    <row r="19" spans="1:12" ht="15.75" x14ac:dyDescent="0.3">
      <c r="A19" s="36" t="str">
        <f xml:space="preserve"> IF( 'From SvanPC++'!A19= "", "", ('From SvanPC++'!A19))</f>
        <v/>
      </c>
      <c r="C19" s="86">
        <v>43910</v>
      </c>
      <c r="D19" s="82">
        <v>0.125</v>
      </c>
      <c r="E19" s="87">
        <v>40.700000000000003</v>
      </c>
      <c r="G19" s="38">
        <f t="shared" si="0"/>
        <v>1</v>
      </c>
      <c r="H19" s="141" t="str">
        <f t="shared" si="1"/>
        <v>Night</v>
      </c>
      <c r="J19" s="141" t="str">
        <f t="shared" si="2"/>
        <v/>
      </c>
      <c r="K19" s="141" t="str">
        <f t="shared" si="3"/>
        <v/>
      </c>
      <c r="L19" s="141" t="str">
        <f t="shared" si="4"/>
        <v/>
      </c>
    </row>
    <row r="20" spans="1:12" ht="15.75" x14ac:dyDescent="0.3">
      <c r="A20" s="36" t="str">
        <f xml:space="preserve"> IF( 'From SvanPC++'!A20= "", "", ('From SvanPC++'!A20))</f>
        <v/>
      </c>
      <c r="C20" s="86">
        <v>43910</v>
      </c>
      <c r="D20" s="82">
        <v>0.16666666666666666</v>
      </c>
      <c r="E20" s="87">
        <v>35.6</v>
      </c>
      <c r="G20" s="38">
        <f t="shared" si="0"/>
        <v>1</v>
      </c>
      <c r="H20" s="141" t="str">
        <f t="shared" si="1"/>
        <v>Night</v>
      </c>
      <c r="J20" s="141" t="str">
        <f t="shared" si="2"/>
        <v/>
      </c>
      <c r="K20" s="141" t="str">
        <f t="shared" si="3"/>
        <v/>
      </c>
      <c r="L20" s="141" t="str">
        <f t="shared" si="4"/>
        <v/>
      </c>
    </row>
    <row r="21" spans="1:12" ht="15.75" x14ac:dyDescent="0.3">
      <c r="A21" s="36" t="str">
        <f xml:space="preserve"> IF( 'From SvanPC++'!A21= "", "", ('From SvanPC++'!A21))</f>
        <v/>
      </c>
      <c r="C21" s="86">
        <v>43910</v>
      </c>
      <c r="D21" s="82">
        <v>0.20833333333333331</v>
      </c>
      <c r="E21" s="87">
        <v>36.200000000000003</v>
      </c>
      <c r="G21" s="38">
        <f t="shared" si="0"/>
        <v>1</v>
      </c>
      <c r="H21" s="143"/>
      <c r="I21" s="142" t="s">
        <v>947</v>
      </c>
      <c r="J21" s="141" t="str">
        <f t="shared" si="2"/>
        <v/>
      </c>
      <c r="K21" s="141" t="str">
        <f t="shared" si="3"/>
        <v/>
      </c>
      <c r="L21" s="141" t="str">
        <f t="shared" si="4"/>
        <v/>
      </c>
    </row>
    <row r="22" spans="1:12" ht="15.75" x14ac:dyDescent="0.3">
      <c r="A22" s="36" t="str">
        <f xml:space="preserve"> IF( 'From SvanPC++'!A22= "", "", ('From SvanPC++'!A22))</f>
        <v/>
      </c>
      <c r="C22" s="86">
        <v>43910</v>
      </c>
      <c r="D22" s="82">
        <v>0.25</v>
      </c>
      <c r="E22" s="87">
        <v>38.299999999999997</v>
      </c>
      <c r="G22" s="38">
        <f t="shared" si="0"/>
        <v>1</v>
      </c>
      <c r="H22" s="143"/>
      <c r="I22" s="142" t="s">
        <v>943</v>
      </c>
      <c r="J22" s="141" t="str">
        <f t="shared" si="2"/>
        <v/>
      </c>
      <c r="K22" s="141" t="str">
        <f t="shared" si="3"/>
        <v/>
      </c>
      <c r="L22" s="141" t="str">
        <f t="shared" si="4"/>
        <v/>
      </c>
    </row>
    <row r="23" spans="1:12" ht="15.75" x14ac:dyDescent="0.3">
      <c r="A23" s="36" t="str">
        <f xml:space="preserve"> IF( 'From SvanPC++'!A23= "", "", ('From SvanPC++'!A23))</f>
        <v/>
      </c>
      <c r="C23" s="86">
        <v>43910</v>
      </c>
      <c r="D23" s="82">
        <v>0.29166666666666663</v>
      </c>
      <c r="E23" s="87">
        <v>38.700000000000003</v>
      </c>
      <c r="G23" s="38">
        <f t="shared" si="0"/>
        <v>1</v>
      </c>
      <c r="H23" s="143"/>
      <c r="I23" s="142" t="s">
        <v>944</v>
      </c>
      <c r="J23" s="141" t="str">
        <f t="shared" si="2"/>
        <v/>
      </c>
      <c r="K23" s="141" t="str">
        <f t="shared" si="3"/>
        <v/>
      </c>
      <c r="L23" s="141" t="str">
        <f t="shared" si="4"/>
        <v/>
      </c>
    </row>
    <row r="24" spans="1:12" ht="15.75" x14ac:dyDescent="0.3">
      <c r="A24" s="36" t="str">
        <f xml:space="preserve"> IF( 'From SvanPC++'!A24= "", "", ('From SvanPC++'!A24))</f>
        <v/>
      </c>
      <c r="C24" s="86">
        <v>43910</v>
      </c>
      <c r="D24" s="82">
        <v>0.33333333333333331</v>
      </c>
      <c r="E24" s="87">
        <v>42.8</v>
      </c>
      <c r="G24" s="38">
        <f t="shared" si="0"/>
        <v>2</v>
      </c>
      <c r="H24" s="143"/>
      <c r="I24" s="142" t="s">
        <v>945</v>
      </c>
      <c r="J24" s="141">
        <f t="shared" si="2"/>
        <v>44.68571428571429</v>
      </c>
      <c r="K24" s="141">
        <f t="shared" si="3"/>
        <v>35.274999999999999</v>
      </c>
      <c r="L24" s="141">
        <f t="shared" si="4"/>
        <v>32.755555555555553</v>
      </c>
    </row>
    <row r="25" spans="1:12" ht="15.75" x14ac:dyDescent="0.3">
      <c r="A25" s="36" t="str">
        <f xml:space="preserve"> IF( 'From SvanPC++'!A25= "", "", ('From SvanPC++'!A25))</f>
        <v/>
      </c>
      <c r="C25" s="86">
        <v>43910</v>
      </c>
      <c r="D25" s="82">
        <v>0.375</v>
      </c>
      <c r="E25" s="87">
        <v>44.1</v>
      </c>
      <c r="G25" s="38">
        <f t="shared" si="0"/>
        <v>2</v>
      </c>
      <c r="H25" s="143"/>
      <c r="I25" s="142" t="s">
        <v>946</v>
      </c>
      <c r="J25" s="141" t="str">
        <f t="shared" si="2"/>
        <v/>
      </c>
      <c r="K25" s="141" t="str">
        <f t="shared" si="3"/>
        <v/>
      </c>
      <c r="L25" s="141" t="str">
        <f t="shared" si="4"/>
        <v/>
      </c>
    </row>
    <row r="26" spans="1:12" ht="15.75" x14ac:dyDescent="0.3">
      <c r="A26" s="36" t="str">
        <f xml:space="preserve"> IF( 'From SvanPC++'!A26= "", "", ('From SvanPC++'!A26))</f>
        <v/>
      </c>
      <c r="C26" s="86">
        <v>43910</v>
      </c>
      <c r="D26" s="82">
        <v>0.41666666666666663</v>
      </c>
      <c r="E26" s="87">
        <v>56</v>
      </c>
      <c r="G26" s="38">
        <f t="shared" si="0"/>
        <v>2</v>
      </c>
      <c r="H26" s="143"/>
      <c r="I26" s="142" t="s">
        <v>942</v>
      </c>
      <c r="J26" s="141" t="str">
        <f t="shared" si="2"/>
        <v/>
      </c>
      <c r="K26" s="141" t="str">
        <f t="shared" si="3"/>
        <v/>
      </c>
      <c r="L26" s="141" t="str">
        <f t="shared" si="4"/>
        <v/>
      </c>
    </row>
    <row r="27" spans="1:12" ht="15.75" x14ac:dyDescent="0.3">
      <c r="A27" s="36" t="str">
        <f xml:space="preserve"> IF( 'From SvanPC++'!A27= "", "", ('From SvanPC++'!A27))</f>
        <v/>
      </c>
      <c r="C27" s="86">
        <v>43910</v>
      </c>
      <c r="D27" s="82">
        <v>0.45833333333333331</v>
      </c>
      <c r="E27" s="87">
        <v>43.1</v>
      </c>
      <c r="G27" s="38">
        <f t="shared" si="0"/>
        <v>2</v>
      </c>
      <c r="H27" s="143"/>
      <c r="I27" s="142" t="s">
        <v>947</v>
      </c>
      <c r="J27" s="141" t="str">
        <f t="shared" si="2"/>
        <v/>
      </c>
      <c r="K27" s="141" t="str">
        <f t="shared" si="3"/>
        <v/>
      </c>
      <c r="L27" s="141" t="str">
        <f t="shared" si="4"/>
        <v/>
      </c>
    </row>
    <row r="28" spans="1:12" ht="15.75" x14ac:dyDescent="0.3">
      <c r="A28" s="36" t="str">
        <f xml:space="preserve"> IF( 'From SvanPC++'!A28= "", "", ('From SvanPC++'!A28))</f>
        <v/>
      </c>
      <c r="C28" s="86">
        <v>43910</v>
      </c>
      <c r="D28" s="82">
        <v>0.5</v>
      </c>
      <c r="E28" s="87">
        <v>40.4</v>
      </c>
      <c r="G28" s="38">
        <f t="shared" si="0"/>
        <v>2</v>
      </c>
      <c r="H28" s="141" t="str">
        <f t="shared" si="1"/>
        <v>Day</v>
      </c>
      <c r="J28" s="141" t="str">
        <f t="shared" si="2"/>
        <v/>
      </c>
      <c r="K28" s="141" t="str">
        <f t="shared" si="3"/>
        <v/>
      </c>
      <c r="L28" s="141" t="str">
        <f t="shared" si="4"/>
        <v/>
      </c>
    </row>
    <row r="29" spans="1:12" ht="15.75" x14ac:dyDescent="0.3">
      <c r="A29" s="36" t="str">
        <f xml:space="preserve"> IF( 'From SvanPC++'!A29= "", "", ('From SvanPC++'!A29))</f>
        <v/>
      </c>
      <c r="C29" s="86">
        <v>43910</v>
      </c>
      <c r="D29" s="82">
        <v>0.54166666666666663</v>
      </c>
      <c r="E29" s="87">
        <v>58.6</v>
      </c>
      <c r="G29" s="38">
        <f t="shared" si="0"/>
        <v>2</v>
      </c>
      <c r="H29" s="141" t="str">
        <f t="shared" si="1"/>
        <v>Day</v>
      </c>
      <c r="J29" s="141" t="str">
        <f t="shared" si="2"/>
        <v/>
      </c>
      <c r="K29" s="141" t="str">
        <f t="shared" si="3"/>
        <v/>
      </c>
      <c r="L29" s="141" t="str">
        <f t="shared" si="4"/>
        <v/>
      </c>
    </row>
    <row r="30" spans="1:12" ht="15.75" x14ac:dyDescent="0.3">
      <c r="A30" s="36" t="str">
        <f xml:space="preserve"> IF( 'From SvanPC++'!A30= "", "", ('From SvanPC++'!A30))</f>
        <v/>
      </c>
      <c r="C30" s="86">
        <v>43910</v>
      </c>
      <c r="D30" s="82">
        <v>0.58333333333333326</v>
      </c>
      <c r="E30" s="87">
        <v>47.7</v>
      </c>
      <c r="G30" s="38">
        <f t="shared" si="0"/>
        <v>2</v>
      </c>
      <c r="H30" s="141" t="str">
        <f t="shared" si="1"/>
        <v>Day</v>
      </c>
      <c r="J30" s="141" t="str">
        <f t="shared" si="2"/>
        <v/>
      </c>
      <c r="K30" s="141" t="str">
        <f t="shared" si="3"/>
        <v/>
      </c>
      <c r="L30" s="141" t="str">
        <f t="shared" si="4"/>
        <v/>
      </c>
    </row>
    <row r="31" spans="1:12" ht="15.75" x14ac:dyDescent="0.3">
      <c r="A31" s="36" t="str">
        <f xml:space="preserve"> IF( 'From SvanPC++'!A31= "", "", ('From SvanPC++'!A31))</f>
        <v/>
      </c>
      <c r="C31" s="86">
        <v>43910</v>
      </c>
      <c r="D31" s="82">
        <v>0.625</v>
      </c>
      <c r="E31" s="87">
        <v>44.9</v>
      </c>
      <c r="G31" s="38">
        <f t="shared" si="0"/>
        <v>2</v>
      </c>
      <c r="H31" s="141" t="str">
        <f t="shared" si="1"/>
        <v>Day</v>
      </c>
      <c r="J31" s="141" t="str">
        <f t="shared" si="2"/>
        <v/>
      </c>
      <c r="K31" s="141" t="str">
        <f t="shared" si="3"/>
        <v/>
      </c>
      <c r="L31" s="141" t="str">
        <f t="shared" si="4"/>
        <v/>
      </c>
    </row>
    <row r="32" spans="1:12" ht="15.75" x14ac:dyDescent="0.3">
      <c r="A32" s="36" t="str">
        <f xml:space="preserve"> IF( 'From SvanPC++'!A32= "", "", ('From SvanPC++'!A32))</f>
        <v/>
      </c>
      <c r="C32" s="86">
        <v>43910</v>
      </c>
      <c r="D32" s="82">
        <v>0.66666666666666663</v>
      </c>
      <c r="E32" s="87">
        <v>41.5</v>
      </c>
      <c r="G32" s="38">
        <f t="shared" si="0"/>
        <v>2</v>
      </c>
      <c r="H32" s="141" t="str">
        <f t="shared" si="1"/>
        <v>Day</v>
      </c>
      <c r="J32" s="141" t="str">
        <f t="shared" si="2"/>
        <v/>
      </c>
      <c r="K32" s="141" t="str">
        <f t="shared" si="3"/>
        <v/>
      </c>
      <c r="L32" s="141" t="str">
        <f t="shared" si="4"/>
        <v/>
      </c>
    </row>
    <row r="33" spans="1:12" ht="15.75" x14ac:dyDescent="0.3">
      <c r="A33" s="36" t="str">
        <f xml:space="preserve"> IF( 'From SvanPC++'!A33= "", "", ('From SvanPC++'!A33))</f>
        <v/>
      </c>
      <c r="C33" s="86">
        <v>43910</v>
      </c>
      <c r="D33" s="82">
        <v>0.70833333333333326</v>
      </c>
      <c r="E33" s="87">
        <v>40</v>
      </c>
      <c r="G33" s="38">
        <f t="shared" si="0"/>
        <v>2</v>
      </c>
      <c r="H33" s="141" t="str">
        <f t="shared" si="1"/>
        <v>Day</v>
      </c>
      <c r="J33" s="141" t="str">
        <f t="shared" si="2"/>
        <v/>
      </c>
      <c r="K33" s="141" t="str">
        <f t="shared" si="3"/>
        <v/>
      </c>
      <c r="L33" s="141" t="str">
        <f t="shared" si="4"/>
        <v/>
      </c>
    </row>
    <row r="34" spans="1:12" ht="15.75" x14ac:dyDescent="0.3">
      <c r="A34" s="36" t="str">
        <f xml:space="preserve"> IF( 'From SvanPC++'!A34= "", "", ('From SvanPC++'!A34))</f>
        <v/>
      </c>
      <c r="C34" s="86">
        <v>43910</v>
      </c>
      <c r="D34" s="82">
        <v>0.75</v>
      </c>
      <c r="E34" s="87">
        <v>39.700000000000003</v>
      </c>
      <c r="G34" s="38">
        <f t="shared" si="0"/>
        <v>2</v>
      </c>
      <c r="H34" s="141" t="str">
        <f t="shared" si="1"/>
        <v>Day</v>
      </c>
      <c r="J34" s="141" t="str">
        <f t="shared" si="2"/>
        <v/>
      </c>
      <c r="K34" s="141" t="str">
        <f t="shared" si="3"/>
        <v/>
      </c>
      <c r="L34" s="141" t="str">
        <f t="shared" si="4"/>
        <v/>
      </c>
    </row>
    <row r="35" spans="1:12" ht="15.75" x14ac:dyDescent="0.3">
      <c r="A35" s="36" t="str">
        <f xml:space="preserve"> IF( 'From SvanPC++'!A35= "", "", ('From SvanPC++'!A35))</f>
        <v/>
      </c>
      <c r="C35" s="86">
        <v>43910</v>
      </c>
      <c r="D35" s="82">
        <v>0.79166666666666663</v>
      </c>
      <c r="E35" s="87">
        <v>37.700000000000003</v>
      </c>
      <c r="G35" s="38">
        <f t="shared" si="0"/>
        <v>2</v>
      </c>
      <c r="H35" s="141" t="str">
        <f t="shared" si="1"/>
        <v>Evening</v>
      </c>
      <c r="J35" s="141" t="str">
        <f t="shared" si="2"/>
        <v/>
      </c>
      <c r="K35" s="141" t="str">
        <f t="shared" si="3"/>
        <v/>
      </c>
      <c r="L35" s="141" t="str">
        <f t="shared" si="4"/>
        <v/>
      </c>
    </row>
    <row r="36" spans="1:12" ht="15.75" x14ac:dyDescent="0.3">
      <c r="A36" s="36" t="str">
        <f xml:space="preserve"> IF( 'From SvanPC++'!A36= "", "", ('From SvanPC++'!A36))</f>
        <v/>
      </c>
      <c r="C36" s="86">
        <v>43910</v>
      </c>
      <c r="D36" s="82">
        <v>0.83333333333333326</v>
      </c>
      <c r="E36" s="87">
        <v>35.299999999999997</v>
      </c>
      <c r="G36" s="38">
        <f t="shared" si="0"/>
        <v>2</v>
      </c>
      <c r="H36" s="141" t="str">
        <f t="shared" si="1"/>
        <v>Evening</v>
      </c>
      <c r="J36" s="141" t="str">
        <f t="shared" si="2"/>
        <v/>
      </c>
      <c r="K36" s="141" t="str">
        <f t="shared" si="3"/>
        <v/>
      </c>
      <c r="L36" s="141" t="str">
        <f t="shared" si="4"/>
        <v/>
      </c>
    </row>
    <row r="37" spans="1:12" ht="15.75" x14ac:dyDescent="0.3">
      <c r="A37" s="36" t="str">
        <f xml:space="preserve"> IF( 'From SvanPC++'!A37= "", "", ('From SvanPC++'!A37))</f>
        <v/>
      </c>
      <c r="C37" s="86">
        <v>43910</v>
      </c>
      <c r="D37" s="82">
        <v>0.875</v>
      </c>
      <c r="E37" s="87">
        <v>33.700000000000003</v>
      </c>
      <c r="G37" s="38">
        <f t="shared" si="0"/>
        <v>2</v>
      </c>
      <c r="H37" s="141" t="str">
        <f t="shared" si="1"/>
        <v>Evening</v>
      </c>
      <c r="J37" s="141" t="str">
        <f t="shared" si="2"/>
        <v/>
      </c>
      <c r="K37" s="141" t="str">
        <f t="shared" si="3"/>
        <v/>
      </c>
      <c r="L37" s="141" t="str">
        <f t="shared" si="4"/>
        <v/>
      </c>
    </row>
    <row r="38" spans="1:12" ht="15.75" x14ac:dyDescent="0.3">
      <c r="A38" s="36" t="str">
        <f xml:space="preserve"> IF( 'From SvanPC++'!A38= "", "", ('From SvanPC++'!A38))</f>
        <v/>
      </c>
      <c r="C38" s="86">
        <v>43910</v>
      </c>
      <c r="D38" s="82">
        <v>0.91666666666666663</v>
      </c>
      <c r="E38" s="87">
        <v>34.4</v>
      </c>
      <c r="G38" s="38">
        <f t="shared" si="0"/>
        <v>2</v>
      </c>
      <c r="H38" s="141" t="str">
        <f t="shared" si="1"/>
        <v>Evening</v>
      </c>
      <c r="J38" s="141" t="str">
        <f t="shared" si="2"/>
        <v/>
      </c>
      <c r="K38" s="141" t="str">
        <f t="shared" si="3"/>
        <v/>
      </c>
      <c r="L38" s="141" t="str">
        <f t="shared" si="4"/>
        <v/>
      </c>
    </row>
    <row r="39" spans="1:12" ht="15.75" x14ac:dyDescent="0.3">
      <c r="A39" s="36" t="str">
        <f xml:space="preserve"> IF( 'From SvanPC++'!A39= "", "", ('From SvanPC++'!A39))</f>
        <v/>
      </c>
      <c r="C39" s="86">
        <v>43910</v>
      </c>
      <c r="D39" s="82">
        <v>0.95833333333333326</v>
      </c>
      <c r="E39" s="87">
        <v>37</v>
      </c>
      <c r="G39" s="38">
        <f t="shared" si="0"/>
        <v>2</v>
      </c>
      <c r="H39" s="141" t="str">
        <f t="shared" si="1"/>
        <v>Night</v>
      </c>
      <c r="J39" s="141" t="str">
        <f t="shared" si="2"/>
        <v/>
      </c>
      <c r="K39" s="141" t="str">
        <f t="shared" si="3"/>
        <v/>
      </c>
      <c r="L39" s="141" t="str">
        <f t="shared" si="4"/>
        <v/>
      </c>
    </row>
    <row r="40" spans="1:12" ht="15.75" x14ac:dyDescent="0.3">
      <c r="A40" s="36" t="str">
        <f xml:space="preserve"> IF( 'From SvanPC++'!A40= "", "", ('From SvanPC++'!A40))</f>
        <v/>
      </c>
      <c r="C40" s="86">
        <v>43911</v>
      </c>
      <c r="D40" s="82">
        <v>0</v>
      </c>
      <c r="E40" s="87">
        <v>34</v>
      </c>
      <c r="G40" s="38">
        <f t="shared" si="0"/>
        <v>2</v>
      </c>
      <c r="H40" s="141" t="str">
        <f t="shared" si="1"/>
        <v>Night</v>
      </c>
      <c r="J40" s="141" t="str">
        <f t="shared" si="2"/>
        <v/>
      </c>
      <c r="K40" s="141" t="str">
        <f t="shared" si="3"/>
        <v/>
      </c>
      <c r="L40" s="141" t="str">
        <f t="shared" si="4"/>
        <v/>
      </c>
    </row>
    <row r="41" spans="1:12" ht="15.75" x14ac:dyDescent="0.3">
      <c r="A41" s="36" t="str">
        <f xml:space="preserve"> IF( 'From SvanPC++'!A41= "", "", ('From SvanPC++'!A41))</f>
        <v/>
      </c>
      <c r="C41" s="86">
        <v>43911</v>
      </c>
      <c r="D41" s="82">
        <v>4.1666666666666664E-2</v>
      </c>
      <c r="E41" s="87">
        <v>32.299999999999997</v>
      </c>
      <c r="G41" s="38">
        <f t="shared" si="0"/>
        <v>2</v>
      </c>
      <c r="H41" s="141" t="str">
        <f t="shared" si="1"/>
        <v>Night</v>
      </c>
      <c r="J41" s="141" t="str">
        <f t="shared" si="2"/>
        <v/>
      </c>
      <c r="K41" s="141" t="str">
        <f t="shared" si="3"/>
        <v/>
      </c>
      <c r="L41" s="141" t="str">
        <f t="shared" si="4"/>
        <v/>
      </c>
    </row>
    <row r="42" spans="1:12" ht="15.75" x14ac:dyDescent="0.3">
      <c r="A42" s="36" t="str">
        <f xml:space="preserve"> IF( 'From SvanPC++'!A42= "", "", ('From SvanPC++'!A42))</f>
        <v/>
      </c>
      <c r="C42" s="86">
        <v>43911</v>
      </c>
      <c r="D42" s="82">
        <v>8.3333333333333329E-2</v>
      </c>
      <c r="E42" s="87">
        <v>32.4</v>
      </c>
      <c r="G42" s="38">
        <f t="shared" si="0"/>
        <v>2</v>
      </c>
      <c r="H42" s="141" t="str">
        <f t="shared" si="1"/>
        <v>Night</v>
      </c>
      <c r="J42" s="141" t="str">
        <f t="shared" si="2"/>
        <v/>
      </c>
      <c r="K42" s="141" t="str">
        <f t="shared" si="3"/>
        <v/>
      </c>
      <c r="L42" s="141" t="str">
        <f t="shared" si="4"/>
        <v/>
      </c>
    </row>
    <row r="43" spans="1:12" ht="15.75" x14ac:dyDescent="0.3">
      <c r="A43" s="36" t="str">
        <f xml:space="preserve"> IF( 'From SvanPC++'!A43= "", "", ('From SvanPC++'!A43))</f>
        <v/>
      </c>
      <c r="C43" s="86">
        <v>43911</v>
      </c>
      <c r="D43" s="82">
        <v>0.125</v>
      </c>
      <c r="E43" s="87">
        <v>30.2</v>
      </c>
      <c r="G43" s="38">
        <f t="shared" si="0"/>
        <v>2</v>
      </c>
      <c r="H43" s="141" t="str">
        <f t="shared" si="1"/>
        <v>Night</v>
      </c>
      <c r="J43" s="141" t="str">
        <f t="shared" si="2"/>
        <v/>
      </c>
      <c r="K43" s="141" t="str">
        <f t="shared" si="3"/>
        <v/>
      </c>
      <c r="L43" s="141" t="str">
        <f t="shared" si="4"/>
        <v/>
      </c>
    </row>
    <row r="44" spans="1:12" ht="15.75" x14ac:dyDescent="0.3">
      <c r="A44" s="36" t="str">
        <f xml:space="preserve"> IF( 'From SvanPC++'!A44= "", "", ('From SvanPC++'!A44))</f>
        <v/>
      </c>
      <c r="C44" s="86">
        <v>43911</v>
      </c>
      <c r="D44" s="82">
        <v>0.16666666666666666</v>
      </c>
      <c r="E44" s="87">
        <v>29.8</v>
      </c>
      <c r="G44" s="38">
        <f t="shared" si="0"/>
        <v>2</v>
      </c>
      <c r="H44" s="141" t="str">
        <f t="shared" si="1"/>
        <v>Night</v>
      </c>
      <c r="J44" s="141" t="str">
        <f t="shared" si="2"/>
        <v/>
      </c>
      <c r="K44" s="141" t="str">
        <f t="shared" si="3"/>
        <v/>
      </c>
      <c r="L44" s="141" t="str">
        <f t="shared" si="4"/>
        <v/>
      </c>
    </row>
    <row r="45" spans="1:12" ht="15.75" x14ac:dyDescent="0.3">
      <c r="A45" s="36" t="str">
        <f xml:space="preserve"> IF( 'From SvanPC++'!A45= "", "", ('From SvanPC++'!A45))</f>
        <v/>
      </c>
      <c r="C45" s="86">
        <v>43911</v>
      </c>
      <c r="D45" s="82">
        <v>0.20833333333333331</v>
      </c>
      <c r="E45" s="87">
        <v>30.7</v>
      </c>
      <c r="G45" s="38">
        <f t="shared" si="0"/>
        <v>2</v>
      </c>
      <c r="H45" s="141" t="str">
        <f t="shared" si="1"/>
        <v>Night</v>
      </c>
      <c r="J45" s="141" t="str">
        <f t="shared" si="2"/>
        <v/>
      </c>
      <c r="K45" s="141" t="str">
        <f t="shared" si="3"/>
        <v/>
      </c>
      <c r="L45" s="141" t="str">
        <f t="shared" si="4"/>
        <v/>
      </c>
    </row>
    <row r="46" spans="1:12" ht="15.75" x14ac:dyDescent="0.3">
      <c r="A46" s="36" t="str">
        <f xml:space="preserve"> IF( 'From SvanPC++'!A46= "", "", ('From SvanPC++'!A46))</f>
        <v/>
      </c>
      <c r="C46" s="86">
        <v>43911</v>
      </c>
      <c r="D46" s="82">
        <v>0.25</v>
      </c>
      <c r="E46" s="87">
        <v>33.200000000000003</v>
      </c>
      <c r="G46" s="38">
        <f t="shared" si="0"/>
        <v>2</v>
      </c>
      <c r="H46" s="141" t="str">
        <f t="shared" si="1"/>
        <v>Night</v>
      </c>
      <c r="J46" s="141" t="str">
        <f t="shared" si="2"/>
        <v/>
      </c>
      <c r="K46" s="141" t="str">
        <f t="shared" si="3"/>
        <v/>
      </c>
      <c r="L46" s="141" t="str">
        <f t="shared" si="4"/>
        <v/>
      </c>
    </row>
    <row r="47" spans="1:12" ht="15.75" x14ac:dyDescent="0.3">
      <c r="A47" s="36" t="str">
        <f xml:space="preserve"> IF( 'From SvanPC++'!A47= "", "", ('From SvanPC++'!A47))</f>
        <v/>
      </c>
      <c r="C47" s="86">
        <v>43911</v>
      </c>
      <c r="D47" s="82">
        <v>0.29166666666666663</v>
      </c>
      <c r="E47" s="87">
        <v>35.200000000000003</v>
      </c>
      <c r="G47" s="38">
        <f t="shared" si="0"/>
        <v>2</v>
      </c>
      <c r="H47" s="141" t="str">
        <f t="shared" si="1"/>
        <v>Night</v>
      </c>
      <c r="J47" s="141" t="str">
        <f t="shared" si="2"/>
        <v/>
      </c>
      <c r="K47" s="141" t="str">
        <f t="shared" si="3"/>
        <v/>
      </c>
      <c r="L47" s="141" t="str">
        <f t="shared" si="4"/>
        <v/>
      </c>
    </row>
    <row r="48" spans="1:12" ht="15.75" x14ac:dyDescent="0.3">
      <c r="A48" s="36" t="str">
        <f xml:space="preserve"> IF( 'From SvanPC++'!A48= "", "", ('From SvanPC++'!A48))</f>
        <v/>
      </c>
      <c r="C48" s="86">
        <v>43911</v>
      </c>
      <c r="D48" s="82">
        <v>0.33333333333333331</v>
      </c>
      <c r="E48" s="87">
        <v>38.799999999999997</v>
      </c>
      <c r="G48" s="38">
        <f t="shared" si="0"/>
        <v>3</v>
      </c>
      <c r="H48" s="141" t="str">
        <f t="shared" si="1"/>
        <v>Day</v>
      </c>
      <c r="J48" s="141">
        <f t="shared" si="2"/>
        <v>40.616666666666667</v>
      </c>
      <c r="K48" s="141">
        <f t="shared" si="3"/>
        <v>35.155555555555551</v>
      </c>
      <c r="L48" s="141">
        <f t="shared" si="4"/>
        <v>34.522222222222219</v>
      </c>
    </row>
    <row r="49" spans="1:12" ht="15.75" x14ac:dyDescent="0.3">
      <c r="A49" s="36" t="str">
        <f xml:space="preserve"> IF( 'From SvanPC++'!A49= "", "", ('From SvanPC++'!A49))</f>
        <v/>
      </c>
      <c r="C49" s="86">
        <v>43911</v>
      </c>
      <c r="D49" s="82">
        <v>0.375</v>
      </c>
      <c r="E49" s="87">
        <v>41</v>
      </c>
      <c r="G49" s="38">
        <f t="shared" si="0"/>
        <v>3</v>
      </c>
      <c r="H49" s="141" t="str">
        <f t="shared" si="1"/>
        <v>Day</v>
      </c>
      <c r="J49" s="141" t="str">
        <f t="shared" si="2"/>
        <v/>
      </c>
      <c r="K49" s="141" t="str">
        <f t="shared" si="3"/>
        <v/>
      </c>
      <c r="L49" s="141" t="str">
        <f t="shared" si="4"/>
        <v/>
      </c>
    </row>
    <row r="50" spans="1:12" ht="15.75" x14ac:dyDescent="0.3">
      <c r="A50" s="36" t="str">
        <f xml:space="preserve"> IF( 'From SvanPC++'!A50= "", "", ('From SvanPC++'!A50))</f>
        <v/>
      </c>
      <c r="C50" s="86">
        <v>43911</v>
      </c>
      <c r="D50" s="82">
        <v>0.41666666666666663</v>
      </c>
      <c r="E50" s="87">
        <v>42.1</v>
      </c>
      <c r="G50" s="38">
        <f t="shared" si="0"/>
        <v>3</v>
      </c>
      <c r="H50" s="141" t="str">
        <f t="shared" si="1"/>
        <v>Day</v>
      </c>
      <c r="J50" s="141" t="str">
        <f t="shared" si="2"/>
        <v/>
      </c>
      <c r="K50" s="141" t="str">
        <f t="shared" si="3"/>
        <v/>
      </c>
      <c r="L50" s="141" t="str">
        <f t="shared" si="4"/>
        <v/>
      </c>
    </row>
    <row r="51" spans="1:12" ht="15.75" x14ac:dyDescent="0.3">
      <c r="A51" s="36" t="str">
        <f xml:space="preserve"> IF( 'From SvanPC++'!A51= "", "", ('From SvanPC++'!A51))</f>
        <v/>
      </c>
      <c r="C51" s="86">
        <v>43911</v>
      </c>
      <c r="D51" s="82">
        <v>0.45833333333333331</v>
      </c>
      <c r="E51" s="87">
        <v>41.1</v>
      </c>
      <c r="G51" s="38">
        <f t="shared" si="0"/>
        <v>3</v>
      </c>
      <c r="H51" s="141" t="str">
        <f t="shared" si="1"/>
        <v>Day</v>
      </c>
      <c r="J51" s="141" t="str">
        <f t="shared" si="2"/>
        <v/>
      </c>
      <c r="K51" s="141" t="str">
        <f t="shared" si="3"/>
        <v/>
      </c>
      <c r="L51" s="141" t="str">
        <f t="shared" si="4"/>
        <v/>
      </c>
    </row>
    <row r="52" spans="1:12" ht="15.75" x14ac:dyDescent="0.3">
      <c r="A52" s="36" t="str">
        <f xml:space="preserve"> IF( 'From SvanPC++'!A52= "", "", ('From SvanPC++'!A52))</f>
        <v/>
      </c>
      <c r="C52" s="86">
        <v>43911</v>
      </c>
      <c r="D52" s="82">
        <v>0.5</v>
      </c>
      <c r="E52" s="87">
        <v>41.2</v>
      </c>
      <c r="G52" s="38">
        <f t="shared" si="0"/>
        <v>3</v>
      </c>
      <c r="H52" s="141" t="str">
        <f t="shared" si="1"/>
        <v>Day</v>
      </c>
      <c r="J52" s="141" t="str">
        <f t="shared" si="2"/>
        <v/>
      </c>
      <c r="K52" s="141" t="str">
        <f t="shared" si="3"/>
        <v/>
      </c>
      <c r="L52" s="141" t="str">
        <f t="shared" si="4"/>
        <v/>
      </c>
    </row>
    <row r="53" spans="1:12" ht="15.75" x14ac:dyDescent="0.3">
      <c r="A53" s="36" t="str">
        <f xml:space="preserve"> IF( 'From SvanPC++'!A53= "", "", ('From SvanPC++'!A53))</f>
        <v/>
      </c>
      <c r="C53" s="86">
        <v>43911</v>
      </c>
      <c r="D53" s="82">
        <v>0.54166666666666663</v>
      </c>
      <c r="E53" s="87">
        <v>39.5</v>
      </c>
      <c r="G53" s="38">
        <f t="shared" si="0"/>
        <v>3</v>
      </c>
      <c r="H53" s="141" t="str">
        <f t="shared" si="1"/>
        <v>Day</v>
      </c>
      <c r="J53" s="141" t="str">
        <f t="shared" si="2"/>
        <v/>
      </c>
      <c r="K53" s="141" t="str">
        <f t="shared" si="3"/>
        <v/>
      </c>
      <c r="L53" s="141" t="str">
        <f t="shared" si="4"/>
        <v/>
      </c>
    </row>
    <row r="54" spans="1:12" ht="15.75" x14ac:dyDescent="0.3">
      <c r="A54" s="36" t="str">
        <f xml:space="preserve"> IF( 'From SvanPC++'!A54= "", "", ('From SvanPC++'!A54))</f>
        <v/>
      </c>
      <c r="C54" s="86">
        <v>43911</v>
      </c>
      <c r="D54" s="82">
        <v>0.58333333333333326</v>
      </c>
      <c r="E54" s="87">
        <v>36.200000000000003</v>
      </c>
      <c r="G54" s="38">
        <f t="shared" si="0"/>
        <v>3</v>
      </c>
      <c r="H54" s="141" t="str">
        <f t="shared" si="1"/>
        <v>Evening</v>
      </c>
      <c r="J54" s="141" t="str">
        <f t="shared" si="2"/>
        <v/>
      </c>
      <c r="K54" s="141" t="str">
        <f t="shared" si="3"/>
        <v/>
      </c>
      <c r="L54" s="141" t="str">
        <f t="shared" si="4"/>
        <v/>
      </c>
    </row>
    <row r="55" spans="1:12" ht="15.75" x14ac:dyDescent="0.3">
      <c r="A55" s="36" t="str">
        <f xml:space="preserve"> IF( 'From SvanPC++'!A55= "", "", ('From SvanPC++'!A55))</f>
        <v/>
      </c>
      <c r="C55" s="86">
        <v>43911</v>
      </c>
      <c r="D55" s="82">
        <v>0.625</v>
      </c>
      <c r="E55" s="87">
        <v>34.1</v>
      </c>
      <c r="G55" s="38">
        <f t="shared" si="0"/>
        <v>3</v>
      </c>
      <c r="H55" s="141" t="str">
        <f t="shared" si="1"/>
        <v>Evening</v>
      </c>
      <c r="J55" s="141" t="str">
        <f t="shared" si="2"/>
        <v/>
      </c>
      <c r="K55" s="141" t="str">
        <f t="shared" si="3"/>
        <v/>
      </c>
      <c r="L55" s="141" t="str">
        <f t="shared" si="4"/>
        <v/>
      </c>
    </row>
    <row r="56" spans="1:12" ht="15.75" x14ac:dyDescent="0.3">
      <c r="A56" s="36" t="str">
        <f xml:space="preserve"> IF( 'From SvanPC++'!A56= "", "", ('From SvanPC++'!A56))</f>
        <v/>
      </c>
      <c r="C56" s="86">
        <v>43911</v>
      </c>
      <c r="D56" s="82">
        <v>0.66666666666666663</v>
      </c>
      <c r="E56" s="87">
        <v>35</v>
      </c>
      <c r="G56" s="38">
        <f t="shared" si="0"/>
        <v>3</v>
      </c>
      <c r="H56" s="141" t="str">
        <f t="shared" si="1"/>
        <v>Evening</v>
      </c>
      <c r="J56" s="141" t="str">
        <f t="shared" si="2"/>
        <v/>
      </c>
      <c r="K56" s="141" t="str">
        <f t="shared" si="3"/>
        <v/>
      </c>
      <c r="L56" s="141" t="str">
        <f t="shared" si="4"/>
        <v/>
      </c>
    </row>
    <row r="57" spans="1:12" ht="15.75" x14ac:dyDescent="0.3">
      <c r="A57" s="36" t="str">
        <f xml:space="preserve"> IF( 'From SvanPC++'!A57= "", "", ('From SvanPC++'!A57))</f>
        <v/>
      </c>
      <c r="C57" s="86">
        <v>43911</v>
      </c>
      <c r="D57" s="82">
        <v>0.70833333333333326</v>
      </c>
      <c r="E57" s="87">
        <v>33.6</v>
      </c>
      <c r="G57" s="38">
        <f t="shared" si="0"/>
        <v>3</v>
      </c>
      <c r="H57" s="141" t="str">
        <f t="shared" si="1"/>
        <v>Evening</v>
      </c>
      <c r="J57" s="141" t="str">
        <f t="shared" si="2"/>
        <v/>
      </c>
      <c r="K57" s="141" t="str">
        <f t="shared" si="3"/>
        <v/>
      </c>
      <c r="L57" s="141" t="str">
        <f t="shared" si="4"/>
        <v/>
      </c>
    </row>
    <row r="58" spans="1:12" ht="15.75" x14ac:dyDescent="0.3">
      <c r="A58" s="36" t="str">
        <f xml:space="preserve"> IF( 'From SvanPC++'!A58= "", "", ('From SvanPC++'!A58))</f>
        <v/>
      </c>
      <c r="C58" s="86">
        <v>43911</v>
      </c>
      <c r="D58" s="82">
        <v>0.75</v>
      </c>
      <c r="E58" s="87">
        <v>33.6</v>
      </c>
      <c r="G58" s="38">
        <f t="shared" si="0"/>
        <v>3</v>
      </c>
      <c r="H58" s="141" t="str">
        <f t="shared" si="1"/>
        <v>Evening</v>
      </c>
      <c r="J58" s="141" t="str">
        <f t="shared" si="2"/>
        <v/>
      </c>
      <c r="K58" s="141" t="str">
        <f t="shared" si="3"/>
        <v/>
      </c>
      <c r="L58" s="141" t="str">
        <f t="shared" si="4"/>
        <v/>
      </c>
    </row>
    <row r="59" spans="1:12" ht="15.75" x14ac:dyDescent="0.3">
      <c r="A59" s="36" t="str">
        <f xml:space="preserve"> IF( 'From SvanPC++'!A59= "", "", ('From SvanPC++'!A59))</f>
        <v/>
      </c>
      <c r="C59" s="86">
        <v>43911</v>
      </c>
      <c r="D59" s="82">
        <v>0.79166666666666663</v>
      </c>
      <c r="E59" s="87">
        <v>35.700000000000003</v>
      </c>
      <c r="G59" s="38">
        <f t="shared" si="0"/>
        <v>3</v>
      </c>
      <c r="H59" s="141" t="str">
        <f t="shared" si="1"/>
        <v>Evening</v>
      </c>
      <c r="J59" s="141" t="str">
        <f t="shared" si="2"/>
        <v/>
      </c>
      <c r="K59" s="141" t="str">
        <f t="shared" si="3"/>
        <v/>
      </c>
      <c r="L59" s="141" t="str">
        <f t="shared" si="4"/>
        <v/>
      </c>
    </row>
    <row r="60" spans="1:12" ht="15.75" x14ac:dyDescent="0.3">
      <c r="A60" s="36" t="str">
        <f xml:space="preserve"> IF( 'From SvanPC++'!A60= "", "", ('From SvanPC++'!A60))</f>
        <v/>
      </c>
      <c r="C60" s="86">
        <v>43911</v>
      </c>
      <c r="D60" s="82">
        <v>0.83333333333333326</v>
      </c>
      <c r="E60" s="87">
        <v>36.1</v>
      </c>
      <c r="G60" s="38">
        <f t="shared" si="0"/>
        <v>3</v>
      </c>
      <c r="H60" s="141" t="str">
        <f t="shared" si="1"/>
        <v>Evening</v>
      </c>
      <c r="J60" s="141" t="str">
        <f t="shared" si="2"/>
        <v/>
      </c>
      <c r="K60" s="141" t="str">
        <f t="shared" si="3"/>
        <v/>
      </c>
      <c r="L60" s="141" t="str">
        <f t="shared" si="4"/>
        <v/>
      </c>
    </row>
    <row r="61" spans="1:12" ht="15.75" x14ac:dyDescent="0.3">
      <c r="A61" s="36" t="str">
        <f xml:space="preserve"> IF( 'From SvanPC++'!A61= "", "", ('From SvanPC++'!A61))</f>
        <v/>
      </c>
      <c r="C61" s="86">
        <v>43911</v>
      </c>
      <c r="D61" s="82">
        <v>0.875</v>
      </c>
      <c r="E61" s="87">
        <v>34.700000000000003</v>
      </c>
      <c r="G61" s="38">
        <f t="shared" si="0"/>
        <v>3</v>
      </c>
      <c r="H61" s="141" t="str">
        <f t="shared" si="1"/>
        <v>Evening</v>
      </c>
      <c r="J61" s="141" t="str">
        <f t="shared" si="2"/>
        <v/>
      </c>
      <c r="K61" s="141" t="str">
        <f t="shared" si="3"/>
        <v/>
      </c>
      <c r="L61" s="141" t="str">
        <f t="shared" si="4"/>
        <v/>
      </c>
    </row>
    <row r="62" spans="1:12" ht="15.75" x14ac:dyDescent="0.3">
      <c r="A62" s="36" t="str">
        <f xml:space="preserve"> IF( 'From SvanPC++'!A62= "", "", ('From SvanPC++'!A62))</f>
        <v/>
      </c>
      <c r="C62" s="86">
        <v>43911</v>
      </c>
      <c r="D62" s="82">
        <v>0.91666666666666663</v>
      </c>
      <c r="E62" s="87">
        <v>37.4</v>
      </c>
      <c r="G62" s="38">
        <f t="shared" si="0"/>
        <v>3</v>
      </c>
      <c r="H62" s="141" t="str">
        <f t="shared" si="1"/>
        <v>Evening</v>
      </c>
      <c r="J62" s="141" t="str">
        <f t="shared" si="2"/>
        <v/>
      </c>
      <c r="K62" s="141" t="str">
        <f t="shared" si="3"/>
        <v/>
      </c>
      <c r="L62" s="141" t="str">
        <f t="shared" si="4"/>
        <v/>
      </c>
    </row>
    <row r="63" spans="1:12" ht="15.75" x14ac:dyDescent="0.3">
      <c r="A63" s="36" t="str">
        <f xml:space="preserve"> IF( 'From SvanPC++'!A63= "", "", ('From SvanPC++'!A63))</f>
        <v/>
      </c>
      <c r="C63" s="86">
        <v>43911</v>
      </c>
      <c r="D63" s="82">
        <v>0.95833333333333326</v>
      </c>
      <c r="E63" s="87">
        <v>37.6</v>
      </c>
      <c r="G63" s="38">
        <f t="shared" si="0"/>
        <v>3</v>
      </c>
      <c r="H63" s="141" t="str">
        <f t="shared" si="1"/>
        <v>Night</v>
      </c>
      <c r="J63" s="141" t="str">
        <f t="shared" si="2"/>
        <v/>
      </c>
      <c r="K63" s="141" t="str">
        <f t="shared" si="3"/>
        <v/>
      </c>
      <c r="L63" s="141" t="str">
        <f t="shared" si="4"/>
        <v/>
      </c>
    </row>
    <row r="64" spans="1:12" ht="15.75" x14ac:dyDescent="0.3">
      <c r="A64" s="36" t="str">
        <f xml:space="preserve"> IF( 'From SvanPC++'!A64= "", "", ('From SvanPC++'!A64))</f>
        <v/>
      </c>
      <c r="C64" s="86">
        <v>43912</v>
      </c>
      <c r="D64" s="82">
        <v>0</v>
      </c>
      <c r="E64" s="87">
        <v>37.6</v>
      </c>
      <c r="G64" s="38">
        <f t="shared" si="0"/>
        <v>3</v>
      </c>
      <c r="H64" s="141" t="str">
        <f t="shared" si="1"/>
        <v>Night</v>
      </c>
      <c r="J64" s="141" t="str">
        <f t="shared" si="2"/>
        <v/>
      </c>
      <c r="K64" s="141" t="str">
        <f t="shared" si="3"/>
        <v/>
      </c>
      <c r="L64" s="141" t="str">
        <f t="shared" si="4"/>
        <v/>
      </c>
    </row>
    <row r="65" spans="1:12" ht="15.75" x14ac:dyDescent="0.3">
      <c r="A65" s="36" t="str">
        <f xml:space="preserve"> IF( 'From SvanPC++'!A65= "", "", ('From SvanPC++'!A65))</f>
        <v/>
      </c>
      <c r="C65" s="86">
        <v>43912</v>
      </c>
      <c r="D65" s="82">
        <v>4.1666666666666664E-2</v>
      </c>
      <c r="E65" s="87">
        <v>37.4</v>
      </c>
      <c r="G65" s="38">
        <f t="shared" si="0"/>
        <v>3</v>
      </c>
      <c r="H65" s="141" t="str">
        <f t="shared" si="1"/>
        <v>Night</v>
      </c>
      <c r="J65" s="141" t="str">
        <f t="shared" si="2"/>
        <v/>
      </c>
      <c r="K65" s="141" t="str">
        <f t="shared" si="3"/>
        <v/>
      </c>
      <c r="L65" s="141" t="str">
        <f t="shared" si="4"/>
        <v/>
      </c>
    </row>
    <row r="66" spans="1:12" ht="15.75" x14ac:dyDescent="0.3">
      <c r="A66" s="36" t="str">
        <f xml:space="preserve"> IF( 'From SvanPC++'!A66= "", "", ('From SvanPC++'!A66))</f>
        <v/>
      </c>
      <c r="C66" s="86">
        <v>43912</v>
      </c>
      <c r="D66" s="82">
        <v>8.3333333333333329E-2</v>
      </c>
      <c r="E66" s="87">
        <v>34.799999999999997</v>
      </c>
      <c r="G66" s="38">
        <f t="shared" si="0"/>
        <v>3</v>
      </c>
      <c r="H66" s="141" t="str">
        <f t="shared" si="1"/>
        <v>Night</v>
      </c>
      <c r="J66" s="141" t="str">
        <f t="shared" si="2"/>
        <v/>
      </c>
      <c r="K66" s="141" t="str">
        <f t="shared" si="3"/>
        <v/>
      </c>
      <c r="L66" s="141" t="str">
        <f t="shared" si="4"/>
        <v/>
      </c>
    </row>
    <row r="67" spans="1:12" ht="15.75" x14ac:dyDescent="0.3">
      <c r="A67" s="36" t="str">
        <f xml:space="preserve"> IF( 'From SvanPC++'!A67= "", "", ('From SvanPC++'!A67))</f>
        <v/>
      </c>
      <c r="C67" s="86">
        <v>43912</v>
      </c>
      <c r="D67" s="82">
        <v>0.125</v>
      </c>
      <c r="E67" s="87">
        <v>33.299999999999997</v>
      </c>
      <c r="G67" s="38">
        <f t="shared" si="0"/>
        <v>3</v>
      </c>
      <c r="H67" s="141" t="str">
        <f t="shared" si="1"/>
        <v>Night</v>
      </c>
      <c r="J67" s="141" t="str">
        <f t="shared" si="2"/>
        <v/>
      </c>
      <c r="K67" s="141" t="str">
        <f t="shared" si="3"/>
        <v/>
      </c>
      <c r="L67" s="141" t="str">
        <f t="shared" si="4"/>
        <v/>
      </c>
    </row>
    <row r="68" spans="1:12" ht="15.75" x14ac:dyDescent="0.3">
      <c r="A68" s="36" t="str">
        <f xml:space="preserve"> IF( 'From SvanPC++'!A68= "", "", ('From SvanPC++'!A68))</f>
        <v/>
      </c>
      <c r="C68" s="86">
        <v>43912</v>
      </c>
      <c r="D68" s="82">
        <v>0.16666666666666666</v>
      </c>
      <c r="E68" s="87">
        <v>32.5</v>
      </c>
      <c r="G68" s="38">
        <f t="shared" si="0"/>
        <v>3</v>
      </c>
      <c r="H68" s="141" t="str">
        <f t="shared" si="1"/>
        <v>Night</v>
      </c>
      <c r="J68" s="141" t="str">
        <f t="shared" si="2"/>
        <v/>
      </c>
      <c r="K68" s="141" t="str">
        <f t="shared" si="3"/>
        <v/>
      </c>
      <c r="L68" s="141" t="str">
        <f t="shared" si="4"/>
        <v/>
      </c>
    </row>
    <row r="69" spans="1:12" ht="15.75" x14ac:dyDescent="0.3">
      <c r="A69" s="36" t="str">
        <f xml:space="preserve"> IF( 'From SvanPC++'!A69= "", "", ('From SvanPC++'!A69))</f>
        <v/>
      </c>
      <c r="C69" s="86">
        <v>43912</v>
      </c>
      <c r="D69" s="82">
        <v>0.20833333333333331</v>
      </c>
      <c r="E69" s="87">
        <v>32.200000000000003</v>
      </c>
      <c r="G69" s="38">
        <f t="shared" si="0"/>
        <v>3</v>
      </c>
      <c r="H69" s="141" t="str">
        <f t="shared" si="1"/>
        <v>Night</v>
      </c>
      <c r="J69" s="141" t="str">
        <f t="shared" si="2"/>
        <v/>
      </c>
      <c r="K69" s="141" t="str">
        <f t="shared" si="3"/>
        <v/>
      </c>
      <c r="L69" s="141" t="str">
        <f t="shared" si="4"/>
        <v/>
      </c>
    </row>
    <row r="70" spans="1:12" ht="15.75" x14ac:dyDescent="0.3">
      <c r="A70" s="36" t="str">
        <f xml:space="preserve"> IF( 'From SvanPC++'!A70= "", "", ('From SvanPC++'!A70))</f>
        <v/>
      </c>
      <c r="C70" s="86">
        <v>43912</v>
      </c>
      <c r="D70" s="82">
        <v>0.25</v>
      </c>
      <c r="E70" s="87">
        <v>31.6</v>
      </c>
      <c r="G70" s="38">
        <f t="shared" si="0"/>
        <v>3</v>
      </c>
      <c r="H70" s="141" t="str">
        <f t="shared" si="1"/>
        <v>Night</v>
      </c>
      <c r="J70" s="141" t="str">
        <f t="shared" si="2"/>
        <v/>
      </c>
      <c r="K70" s="141" t="str">
        <f t="shared" si="3"/>
        <v/>
      </c>
      <c r="L70" s="141" t="str">
        <f t="shared" si="4"/>
        <v/>
      </c>
    </row>
    <row r="71" spans="1:12" ht="15.75" x14ac:dyDescent="0.3">
      <c r="A71" s="36" t="str">
        <f xml:space="preserve"> IF( 'From SvanPC++'!A71= "", "", ('From SvanPC++'!A71))</f>
        <v/>
      </c>
      <c r="C71" s="86">
        <v>43912</v>
      </c>
      <c r="D71" s="82">
        <v>0.29166666666666663</v>
      </c>
      <c r="E71" s="87">
        <v>33.700000000000003</v>
      </c>
      <c r="G71" s="38">
        <f t="shared" ref="G71:G134" si="5" xml:space="preserve"> IF( D71= "", "", ( IF( AND( D71 &gt;= TIMEVALUE( "07:00:01" ), D71 &lt; TIMEVALUE( "08:00:01" ) ) = TRUE, (G70+1), (G70+0) )))</f>
        <v>3</v>
      </c>
      <c r="H71" s="141" t="str">
        <f t="shared" ref="H71:H134" si="6" xml:space="preserve"> IF( D71= "", "", ( IF( AND( D71 &gt;= TIMEVALUE( "07:00:01" ), D71 &lt;= TIMEVALUE( "13:00:00" ), WEEKDAY( C71) =(7+N("COMMENT - saturday day period")) ) = TRUE, "Day",
IF( AND( D71 &gt;= TIMEVALUE( "07:00:01" ), D71 &lt;= TIMEVALUE( "18:00:00" ), WEEKDAY( C71,1+N("COMMENT - weekday day period")) &gt;=2, ( WEEKDAY( C71,1) &lt;=6) ) = TRUE, "Day",
IF( AND( D71 &gt;= TIMEVALUE( "13:00:01" ), D71 &lt;= TIMEVALUE( "22:00:00" ), WEEKDAY( C71) =(7+N("COMMENT - saturday evening period")) ) = TRUE, "Evening",
IF( AND( D71 &gt;= TIMEVALUE( "18:00:01" ), D71 &lt;= TIMEVALUE( "22:00:00" ), WEEKDAY( C71,1+N("COMMENT - weekday evening period")) &gt;=2, ( WEEKDAY( C71,1) &lt;=6) ) = TRUE, "Evening",
IF( AND( D71 &gt;= TIMEVALUE( "07:00:01" ), D71 &lt;= TIMEVALUE( "22:00:00" ), WEEKDAY( C71) =(1+N("COMMENT - sunday evening period")) ) = TRUE, "Evening",
IF( AND( D71 &gt;= TIMEVALUE( "22:00:01" ), D71 &lt;= TIMEVALUE( "23:59:59" ), WEEKDAY( C71) =(7+N("COMMENT - saturday night1 period")) ) = TRUE, "Night",
IF( AND( D71 &gt;= TIMEVALUE( "00:00:00" ), D71 &lt;= TIMEVALUE( "07:00:00" ), WEEKDAY( C71) =(7+N("COMMENT - saturday night2 period")) ) = TRUE, "Night",
IF( AND( D71 &gt;= TIMEVALUE( "22:00:01" ), D71 &lt;= TIMEVALUE( "23:59:59" ), WEEKDAY( C71,1+N("COMMENT - weekday night1 period")) &gt;=2, ( WEEKDAY( C71,1) &lt;=6) ) = TRUE, "Night",
IF( AND( D71 &gt;= TIMEVALUE( "00:00:00" ), D71 &lt;= TIMEVALUE( "07:00:00" ), WEEKDAY( C71,1+N("COMMENT - weekday night2 period")) &gt;=2, ( WEEKDAY( C71,1) &lt;=6) ) = TRUE, "Night",
IF( AND( D71 &gt;= TIMEVALUE( "20:00:01" ), D71 &lt;= TIMEVALUE( "23:59:59" ), WEEKDAY( C71) =(1+N("COMMENT - sunday night1 period")) ) = TRUE, "Night",
IF( AND( D71 &gt;= TIMEVALUE( "00:00:00" ), D71 &lt;= TIMEVALUE( "07:00:00" ), WEEKDAY( C71) =(1+N("COMMENT - sunday night2 period")) ) = TRUE, "Night", )))))))))))))</f>
        <v>Night</v>
      </c>
      <c r="J71" s="141" t="str">
        <f t="shared" si="2"/>
        <v/>
      </c>
      <c r="K71" s="141" t="str">
        <f t="shared" si="3"/>
        <v/>
      </c>
      <c r="L71" s="141" t="str">
        <f t="shared" si="4"/>
        <v/>
      </c>
    </row>
    <row r="72" spans="1:12" ht="15.75" x14ac:dyDescent="0.3">
      <c r="A72" s="36" t="str">
        <f xml:space="preserve"> IF( 'From SvanPC++'!A72= "", "", ('From SvanPC++'!A72))</f>
        <v/>
      </c>
      <c r="C72" s="86">
        <v>43912</v>
      </c>
      <c r="D72" s="82">
        <v>0.33333333333333331</v>
      </c>
      <c r="E72" s="87">
        <v>37</v>
      </c>
      <c r="G72" s="38">
        <f t="shared" si="5"/>
        <v>4</v>
      </c>
      <c r="H72" s="141" t="str">
        <f t="shared" si="6"/>
        <v>Evening</v>
      </c>
      <c r="J72" s="141" t="str">
        <f t="shared" ref="J72:J135" si="7" xml:space="preserve"> IF( ISERROR( IF( D72= "", "", ( IF( G72= (G71+1), ( AVERAGEIFS( E72:E216, G72:G216, G72, H72:H216, "Day" )), "" )))), "",( IF( D72= "", "", ( IF( G72= (G71+1), ( AVERAGEIFS( E72:E216, G72:G216, G72, H72:H216, "Day" )), "" )))))</f>
        <v/>
      </c>
      <c r="K72" s="141">
        <f t="shared" ref="K72:K135" si="8" xml:space="preserve"> IF( ISERROR( IF( D72= "", "", ( IF( G72= (G71+1), ( AVERAGEIFS( E72:E216, G72:G216, G72, H72:H216, "Evening" )), "" )))), "",( IF( D72= "", "", ( IF( G72= (G71+1), ( AVERAGEIFS( E72:E216, G72:G216, G72, H72:H216, "Evening" )), "" )))))</f>
        <v>35.979999999999997</v>
      </c>
      <c r="L72" s="141">
        <f t="shared" ref="L72:L135" si="9" xml:space="preserve"> IF( ISERROR( IF( D72= "", "", ( IF( G72= (G71+1), ( AVERAGEIFS( E72:E216, G72:G216, G72, H72:H216, "Night" )), "" )))), "",( IF( D72= "", "", ( IF( G72= (G71+1), ( AVERAGEIFS( E72:E216, G72:G216, G72, H72:H216, "Night" )), "" )))))</f>
        <v>36.87777777777778</v>
      </c>
    </row>
    <row r="73" spans="1:12" ht="15.75" x14ac:dyDescent="0.3">
      <c r="A73" s="36" t="str">
        <f xml:space="preserve"> IF( 'From SvanPC++'!A73= "", "", ('From SvanPC++'!A73))</f>
        <v/>
      </c>
      <c r="C73" s="86">
        <v>43912</v>
      </c>
      <c r="D73" s="82">
        <v>0.375</v>
      </c>
      <c r="E73" s="87">
        <v>33.299999999999997</v>
      </c>
      <c r="G73" s="38">
        <f t="shared" si="5"/>
        <v>4</v>
      </c>
      <c r="H73" s="141" t="str">
        <f t="shared" si="6"/>
        <v>Evening</v>
      </c>
      <c r="J73" s="141" t="str">
        <f t="shared" si="7"/>
        <v/>
      </c>
      <c r="K73" s="141" t="str">
        <f t="shared" si="8"/>
        <v/>
      </c>
      <c r="L73" s="141" t="str">
        <f t="shared" si="9"/>
        <v/>
      </c>
    </row>
    <row r="74" spans="1:12" ht="15.75" x14ac:dyDescent="0.3">
      <c r="A74" s="36" t="str">
        <f xml:space="preserve"> IF( 'From SvanPC++'!A74= "", "", ('From SvanPC++'!A74))</f>
        <v/>
      </c>
      <c r="C74" s="86">
        <v>43912</v>
      </c>
      <c r="D74" s="82">
        <v>0.41666666666666663</v>
      </c>
      <c r="E74" s="87">
        <v>33.6</v>
      </c>
      <c r="G74" s="38">
        <f t="shared" si="5"/>
        <v>4</v>
      </c>
      <c r="H74" s="141" t="str">
        <f t="shared" si="6"/>
        <v>Evening</v>
      </c>
      <c r="J74" s="141" t="str">
        <f t="shared" si="7"/>
        <v/>
      </c>
      <c r="K74" s="141" t="str">
        <f t="shared" si="8"/>
        <v/>
      </c>
      <c r="L74" s="141" t="str">
        <f t="shared" si="9"/>
        <v/>
      </c>
    </row>
    <row r="75" spans="1:12" ht="15.75" x14ac:dyDescent="0.3">
      <c r="A75" s="36" t="str">
        <f xml:space="preserve"> IF( 'From SvanPC++'!A75= "", "", ('From SvanPC++'!A75))</f>
        <v/>
      </c>
      <c r="C75" s="86">
        <v>43912</v>
      </c>
      <c r="D75" s="82">
        <v>0.45833333333333331</v>
      </c>
      <c r="E75" s="87">
        <v>35.299999999999997</v>
      </c>
      <c r="G75" s="38">
        <f t="shared" si="5"/>
        <v>4</v>
      </c>
      <c r="H75" s="141" t="str">
        <f t="shared" si="6"/>
        <v>Evening</v>
      </c>
      <c r="J75" s="141" t="str">
        <f t="shared" si="7"/>
        <v/>
      </c>
      <c r="K75" s="141" t="str">
        <f t="shared" si="8"/>
        <v/>
      </c>
      <c r="L75" s="141" t="str">
        <f t="shared" si="9"/>
        <v/>
      </c>
    </row>
    <row r="76" spans="1:12" ht="15.75" x14ac:dyDescent="0.3">
      <c r="A76" s="36" t="str">
        <f xml:space="preserve"> IF( 'From SvanPC++'!A76= "", "", ('From SvanPC++'!A76))</f>
        <v/>
      </c>
      <c r="C76" s="86">
        <v>43912</v>
      </c>
      <c r="D76" s="82">
        <v>0.5</v>
      </c>
      <c r="E76" s="87">
        <v>35.4</v>
      </c>
      <c r="G76" s="38">
        <f t="shared" si="5"/>
        <v>4</v>
      </c>
      <c r="H76" s="141" t="str">
        <f t="shared" si="6"/>
        <v>Evening</v>
      </c>
      <c r="J76" s="141" t="str">
        <f t="shared" si="7"/>
        <v/>
      </c>
      <c r="K76" s="141" t="str">
        <f t="shared" si="8"/>
        <v/>
      </c>
      <c r="L76" s="141" t="str">
        <f t="shared" si="9"/>
        <v/>
      </c>
    </row>
    <row r="77" spans="1:12" ht="15.75" x14ac:dyDescent="0.3">
      <c r="A77" s="36" t="str">
        <f xml:space="preserve"> IF( 'From SvanPC++'!A77= "", "", ('From SvanPC++'!A77))</f>
        <v/>
      </c>
      <c r="C77" s="86">
        <v>43912</v>
      </c>
      <c r="D77" s="82">
        <v>0.54166666666666663</v>
      </c>
      <c r="E77" s="87">
        <v>35.5</v>
      </c>
      <c r="G77" s="38">
        <f t="shared" si="5"/>
        <v>4</v>
      </c>
      <c r="H77" s="141" t="str">
        <f t="shared" si="6"/>
        <v>Evening</v>
      </c>
      <c r="J77" s="141" t="str">
        <f t="shared" si="7"/>
        <v/>
      </c>
      <c r="K77" s="141" t="str">
        <f t="shared" si="8"/>
        <v/>
      </c>
      <c r="L77" s="141" t="str">
        <f t="shared" si="9"/>
        <v/>
      </c>
    </row>
    <row r="78" spans="1:12" ht="15.75" x14ac:dyDescent="0.3">
      <c r="A78" s="36" t="str">
        <f xml:space="preserve"> IF( 'From SvanPC++'!A78= "", "", ('From SvanPC++'!A78))</f>
        <v/>
      </c>
      <c r="C78" s="86">
        <v>43912</v>
      </c>
      <c r="D78" s="82">
        <v>0.58333333333333326</v>
      </c>
      <c r="E78" s="87">
        <v>36</v>
      </c>
      <c r="G78" s="38">
        <f t="shared" si="5"/>
        <v>4</v>
      </c>
      <c r="H78" s="141" t="str">
        <f t="shared" si="6"/>
        <v>Evening</v>
      </c>
      <c r="J78" s="141" t="str">
        <f t="shared" si="7"/>
        <v/>
      </c>
      <c r="K78" s="141" t="str">
        <f t="shared" si="8"/>
        <v/>
      </c>
      <c r="L78" s="141" t="str">
        <f t="shared" si="9"/>
        <v/>
      </c>
    </row>
    <row r="79" spans="1:12" ht="15.75" x14ac:dyDescent="0.3">
      <c r="A79" s="36" t="str">
        <f xml:space="preserve"> IF( 'From SvanPC++'!A79= "", "", ('From SvanPC++'!A79))</f>
        <v/>
      </c>
      <c r="C79" s="86">
        <v>43912</v>
      </c>
      <c r="D79" s="82">
        <v>0.625</v>
      </c>
      <c r="E79" s="87">
        <v>37.6</v>
      </c>
      <c r="G79" s="38">
        <f t="shared" si="5"/>
        <v>4</v>
      </c>
      <c r="H79" s="141" t="str">
        <f t="shared" si="6"/>
        <v>Evening</v>
      </c>
      <c r="J79" s="141" t="str">
        <f t="shared" si="7"/>
        <v/>
      </c>
      <c r="K79" s="141" t="str">
        <f t="shared" si="8"/>
        <v/>
      </c>
      <c r="L79" s="141" t="str">
        <f t="shared" si="9"/>
        <v/>
      </c>
    </row>
    <row r="80" spans="1:12" ht="15.75" x14ac:dyDescent="0.3">
      <c r="A80" s="36" t="str">
        <f xml:space="preserve"> IF( 'From SvanPC++'!A80= "", "", ('From SvanPC++'!A80))</f>
        <v/>
      </c>
      <c r="C80" s="86">
        <v>43912</v>
      </c>
      <c r="D80" s="82">
        <v>0.66666666666666663</v>
      </c>
      <c r="E80" s="87">
        <v>37.200000000000003</v>
      </c>
      <c r="G80" s="38">
        <f t="shared" si="5"/>
        <v>4</v>
      </c>
      <c r="H80" s="141" t="str">
        <f t="shared" si="6"/>
        <v>Evening</v>
      </c>
      <c r="J80" s="141" t="str">
        <f t="shared" si="7"/>
        <v/>
      </c>
      <c r="K80" s="141" t="str">
        <f t="shared" si="8"/>
        <v/>
      </c>
      <c r="L80" s="141" t="str">
        <f t="shared" si="9"/>
        <v/>
      </c>
    </row>
    <row r="81" spans="1:12" ht="15.75" x14ac:dyDescent="0.3">
      <c r="A81" s="36" t="str">
        <f xml:space="preserve"> IF( 'From SvanPC++'!A81= "", "", ('From SvanPC++'!A81))</f>
        <v/>
      </c>
      <c r="C81" s="86">
        <v>43912</v>
      </c>
      <c r="D81" s="82">
        <v>0.70833333333333326</v>
      </c>
      <c r="E81" s="87">
        <v>38.700000000000003</v>
      </c>
      <c r="G81" s="38">
        <f t="shared" si="5"/>
        <v>4</v>
      </c>
      <c r="H81" s="141" t="str">
        <f t="shared" si="6"/>
        <v>Evening</v>
      </c>
      <c r="J81" s="141" t="str">
        <f t="shared" si="7"/>
        <v/>
      </c>
      <c r="K81" s="141" t="str">
        <f t="shared" si="8"/>
        <v/>
      </c>
      <c r="L81" s="141" t="str">
        <f t="shared" si="9"/>
        <v/>
      </c>
    </row>
    <row r="82" spans="1:12" ht="15.75" x14ac:dyDescent="0.3">
      <c r="A82" s="36" t="str">
        <f xml:space="preserve"> IF( 'From SvanPC++'!A82= "", "", ('From SvanPC++'!A82))</f>
        <v/>
      </c>
      <c r="C82" s="86">
        <v>43912</v>
      </c>
      <c r="D82" s="82">
        <v>0.75</v>
      </c>
      <c r="E82" s="87">
        <v>38.1</v>
      </c>
      <c r="G82" s="38">
        <f t="shared" si="5"/>
        <v>4</v>
      </c>
      <c r="H82" s="141" t="str">
        <f t="shared" si="6"/>
        <v>Evening</v>
      </c>
      <c r="J82" s="141" t="str">
        <f t="shared" si="7"/>
        <v/>
      </c>
      <c r="K82" s="141" t="str">
        <f t="shared" si="8"/>
        <v/>
      </c>
      <c r="L82" s="141" t="str">
        <f t="shared" si="9"/>
        <v/>
      </c>
    </row>
    <row r="83" spans="1:12" ht="15.75" x14ac:dyDescent="0.3">
      <c r="A83" s="36" t="str">
        <f xml:space="preserve"> IF( 'From SvanPC++'!A83= "", "", ('From SvanPC++'!A83))</f>
        <v/>
      </c>
      <c r="C83" s="86">
        <v>43912</v>
      </c>
      <c r="D83" s="82">
        <v>0.79166666666666663</v>
      </c>
      <c r="E83" s="87">
        <v>37.700000000000003</v>
      </c>
      <c r="G83" s="38">
        <f t="shared" si="5"/>
        <v>4</v>
      </c>
      <c r="H83" s="141" t="str">
        <f t="shared" si="6"/>
        <v>Evening</v>
      </c>
      <c r="J83" s="141" t="str">
        <f t="shared" si="7"/>
        <v/>
      </c>
      <c r="K83" s="141" t="str">
        <f t="shared" si="8"/>
        <v/>
      </c>
      <c r="L83" s="141" t="str">
        <f t="shared" si="9"/>
        <v/>
      </c>
    </row>
    <row r="84" spans="1:12" ht="15.75" x14ac:dyDescent="0.3">
      <c r="A84" s="36" t="str">
        <f xml:space="preserve"> IF( 'From SvanPC++'!A84= "", "", ('From SvanPC++'!A84))</f>
        <v/>
      </c>
      <c r="C84" s="86">
        <v>43912</v>
      </c>
      <c r="D84" s="82">
        <v>0.83333333333333326</v>
      </c>
      <c r="E84" s="87">
        <v>38.4</v>
      </c>
      <c r="G84" s="38">
        <f t="shared" si="5"/>
        <v>4</v>
      </c>
      <c r="H84" s="141" t="str">
        <f t="shared" si="6"/>
        <v>Evening</v>
      </c>
      <c r="J84" s="141" t="str">
        <f t="shared" si="7"/>
        <v/>
      </c>
      <c r="K84" s="141" t="str">
        <f t="shared" si="8"/>
        <v/>
      </c>
      <c r="L84" s="141" t="str">
        <f t="shared" si="9"/>
        <v/>
      </c>
    </row>
    <row r="85" spans="1:12" ht="15.75" x14ac:dyDescent="0.3">
      <c r="A85" s="36" t="str">
        <f xml:space="preserve"> IF( 'From SvanPC++'!A85= "", "", ('From SvanPC++'!A85))</f>
        <v/>
      </c>
      <c r="C85" s="86">
        <v>43912</v>
      </c>
      <c r="D85" s="82">
        <v>0.875</v>
      </c>
      <c r="E85" s="87">
        <v>33.5</v>
      </c>
      <c r="G85" s="38">
        <f t="shared" si="5"/>
        <v>4</v>
      </c>
      <c r="H85" s="141" t="str">
        <f t="shared" si="6"/>
        <v>Evening</v>
      </c>
      <c r="J85" s="141" t="str">
        <f t="shared" si="7"/>
        <v/>
      </c>
      <c r="K85" s="141" t="str">
        <f t="shared" si="8"/>
        <v/>
      </c>
      <c r="L85" s="141" t="str">
        <f t="shared" si="9"/>
        <v/>
      </c>
    </row>
    <row r="86" spans="1:12" ht="15.75" x14ac:dyDescent="0.3">
      <c r="A86" s="36" t="str">
        <f xml:space="preserve"> IF( 'From SvanPC++'!A86= "", "", ('From SvanPC++'!A86))</f>
        <v/>
      </c>
      <c r="C86" s="86">
        <v>43912</v>
      </c>
      <c r="D86" s="82">
        <v>0.91666666666666663</v>
      </c>
      <c r="E86" s="87">
        <v>32.4</v>
      </c>
      <c r="G86" s="38">
        <f t="shared" si="5"/>
        <v>4</v>
      </c>
      <c r="H86" s="141" t="str">
        <f t="shared" si="6"/>
        <v>Evening</v>
      </c>
      <c r="J86" s="141" t="str">
        <f t="shared" si="7"/>
        <v/>
      </c>
      <c r="K86" s="141" t="str">
        <f t="shared" si="8"/>
        <v/>
      </c>
      <c r="L86" s="141" t="str">
        <f t="shared" si="9"/>
        <v/>
      </c>
    </row>
    <row r="87" spans="1:12" ht="15.75" x14ac:dyDescent="0.3">
      <c r="A87" s="36" t="str">
        <f xml:space="preserve"> IF( 'From SvanPC++'!A87= "", "", ('From SvanPC++'!A87))</f>
        <v/>
      </c>
      <c r="C87" s="86">
        <v>43912</v>
      </c>
      <c r="D87" s="82">
        <v>0.95833333333333326</v>
      </c>
      <c r="E87" s="87">
        <v>32.799999999999997</v>
      </c>
      <c r="G87" s="38">
        <f t="shared" si="5"/>
        <v>4</v>
      </c>
      <c r="H87" s="141" t="str">
        <f t="shared" si="6"/>
        <v>Night</v>
      </c>
      <c r="J87" s="141" t="str">
        <f t="shared" si="7"/>
        <v/>
      </c>
      <c r="K87" s="141" t="str">
        <f t="shared" si="8"/>
        <v/>
      </c>
      <c r="L87" s="141" t="str">
        <f t="shared" si="9"/>
        <v/>
      </c>
    </row>
    <row r="88" spans="1:12" ht="15.75" x14ac:dyDescent="0.3">
      <c r="A88" s="36" t="str">
        <f xml:space="preserve"> IF( 'From SvanPC++'!A88= "", "", ('From SvanPC++'!A88))</f>
        <v/>
      </c>
      <c r="C88" s="86">
        <v>43913</v>
      </c>
      <c r="D88" s="82">
        <v>0</v>
      </c>
      <c r="E88" s="87">
        <v>36</v>
      </c>
      <c r="G88" s="38">
        <f t="shared" si="5"/>
        <v>4</v>
      </c>
      <c r="H88" s="141" t="str">
        <f t="shared" si="6"/>
        <v>Night</v>
      </c>
      <c r="J88" s="141" t="str">
        <f t="shared" si="7"/>
        <v/>
      </c>
      <c r="K88" s="141" t="str">
        <f t="shared" si="8"/>
        <v/>
      </c>
      <c r="L88" s="141" t="str">
        <f t="shared" si="9"/>
        <v/>
      </c>
    </row>
    <row r="89" spans="1:12" ht="15.75" x14ac:dyDescent="0.3">
      <c r="A89" s="36" t="str">
        <f xml:space="preserve"> IF( 'From SvanPC++'!A89= "", "", ('From SvanPC++'!A89))</f>
        <v/>
      </c>
      <c r="C89" s="86">
        <v>43913</v>
      </c>
      <c r="D89" s="82">
        <v>4.1666666666666664E-2</v>
      </c>
      <c r="E89" s="87">
        <v>36.1</v>
      </c>
      <c r="G89" s="38">
        <f t="shared" si="5"/>
        <v>4</v>
      </c>
      <c r="H89" s="141" t="str">
        <f t="shared" si="6"/>
        <v>Night</v>
      </c>
      <c r="J89" s="141" t="str">
        <f t="shared" si="7"/>
        <v/>
      </c>
      <c r="K89" s="141" t="str">
        <f t="shared" si="8"/>
        <v/>
      </c>
      <c r="L89" s="141" t="str">
        <f t="shared" si="9"/>
        <v/>
      </c>
    </row>
    <row r="90" spans="1:12" ht="15.75" x14ac:dyDescent="0.3">
      <c r="A90" s="36" t="str">
        <f xml:space="preserve"> IF( 'From SvanPC++'!A90= "", "", ('From SvanPC++'!A90))</f>
        <v/>
      </c>
      <c r="C90" s="86">
        <v>43913</v>
      </c>
      <c r="D90" s="82">
        <v>8.3333333333333329E-2</v>
      </c>
      <c r="E90" s="87">
        <v>34.1</v>
      </c>
      <c r="G90" s="38">
        <f t="shared" si="5"/>
        <v>4</v>
      </c>
      <c r="H90" s="141" t="str">
        <f t="shared" si="6"/>
        <v>Night</v>
      </c>
      <c r="J90" s="141" t="str">
        <f t="shared" si="7"/>
        <v/>
      </c>
      <c r="K90" s="141" t="str">
        <f t="shared" si="8"/>
        <v/>
      </c>
      <c r="L90" s="141" t="str">
        <f t="shared" si="9"/>
        <v/>
      </c>
    </row>
    <row r="91" spans="1:12" ht="15.75" x14ac:dyDescent="0.3">
      <c r="A91" s="36" t="str">
        <f xml:space="preserve"> IF( 'From SvanPC++'!A91= "", "", ('From SvanPC++'!A91))</f>
        <v/>
      </c>
      <c r="C91" s="86">
        <v>43913</v>
      </c>
      <c r="D91" s="82">
        <v>0.125</v>
      </c>
      <c r="E91" s="87">
        <v>35.5</v>
      </c>
      <c r="G91" s="38">
        <f t="shared" si="5"/>
        <v>4</v>
      </c>
      <c r="H91" s="141" t="str">
        <f t="shared" si="6"/>
        <v>Night</v>
      </c>
      <c r="J91" s="141" t="str">
        <f t="shared" si="7"/>
        <v/>
      </c>
      <c r="K91" s="141" t="str">
        <f t="shared" si="8"/>
        <v/>
      </c>
      <c r="L91" s="141" t="str">
        <f t="shared" si="9"/>
        <v/>
      </c>
    </row>
    <row r="92" spans="1:12" ht="15.75" x14ac:dyDescent="0.3">
      <c r="A92" s="36" t="str">
        <f xml:space="preserve"> IF( 'From SvanPC++'!A92= "", "", ('From SvanPC++'!A92))</f>
        <v/>
      </c>
      <c r="C92" s="86">
        <v>43913</v>
      </c>
      <c r="D92" s="82">
        <v>0.16666666666666666</v>
      </c>
      <c r="E92" s="87">
        <v>36.299999999999997</v>
      </c>
      <c r="G92" s="38">
        <f t="shared" si="5"/>
        <v>4</v>
      </c>
      <c r="H92" s="141" t="str">
        <f t="shared" si="6"/>
        <v>Night</v>
      </c>
      <c r="J92" s="141" t="str">
        <f t="shared" si="7"/>
        <v/>
      </c>
      <c r="K92" s="141" t="str">
        <f t="shared" si="8"/>
        <v/>
      </c>
      <c r="L92" s="141" t="str">
        <f t="shared" si="9"/>
        <v/>
      </c>
    </row>
    <row r="93" spans="1:12" ht="15.75" x14ac:dyDescent="0.3">
      <c r="A93" s="36" t="str">
        <f xml:space="preserve"> IF( 'From SvanPC++'!A93= "", "", ('From SvanPC++'!A93))</f>
        <v/>
      </c>
      <c r="C93" s="86">
        <v>43913</v>
      </c>
      <c r="D93" s="82">
        <v>0.20833333333333331</v>
      </c>
      <c r="E93" s="87">
        <v>38.4</v>
      </c>
      <c r="G93" s="38">
        <f t="shared" si="5"/>
        <v>4</v>
      </c>
      <c r="H93" s="141" t="str">
        <f t="shared" si="6"/>
        <v>Night</v>
      </c>
      <c r="J93" s="141" t="str">
        <f t="shared" si="7"/>
        <v/>
      </c>
      <c r="K93" s="141" t="str">
        <f t="shared" si="8"/>
        <v/>
      </c>
      <c r="L93" s="141" t="str">
        <f t="shared" si="9"/>
        <v/>
      </c>
    </row>
    <row r="94" spans="1:12" ht="15.75" x14ac:dyDescent="0.3">
      <c r="A94" s="36" t="str">
        <f xml:space="preserve"> IF( 'From SvanPC++'!A94= "", "", ('From SvanPC++'!A94))</f>
        <v/>
      </c>
      <c r="C94" s="86">
        <v>43913</v>
      </c>
      <c r="D94" s="82">
        <v>0.25</v>
      </c>
      <c r="E94" s="87">
        <v>39.4</v>
      </c>
      <c r="G94" s="38">
        <f t="shared" si="5"/>
        <v>4</v>
      </c>
      <c r="H94" s="141" t="str">
        <f t="shared" si="6"/>
        <v>Night</v>
      </c>
      <c r="J94" s="141" t="str">
        <f t="shared" si="7"/>
        <v/>
      </c>
      <c r="K94" s="141" t="str">
        <f t="shared" si="8"/>
        <v/>
      </c>
      <c r="L94" s="141" t="str">
        <f t="shared" si="9"/>
        <v/>
      </c>
    </row>
    <row r="95" spans="1:12" ht="15.75" x14ac:dyDescent="0.3">
      <c r="A95" s="36" t="str">
        <f xml:space="preserve"> IF( 'From SvanPC++'!A95= "", "", ('From SvanPC++'!A95))</f>
        <v/>
      </c>
      <c r="C95" s="86">
        <v>43913</v>
      </c>
      <c r="D95" s="82">
        <v>0.29166666666666663</v>
      </c>
      <c r="E95" s="87">
        <v>43.3</v>
      </c>
      <c r="G95" s="38">
        <f t="shared" si="5"/>
        <v>4</v>
      </c>
      <c r="H95" s="141" t="str">
        <f t="shared" si="6"/>
        <v>Night</v>
      </c>
      <c r="J95" s="141" t="str">
        <f t="shared" si="7"/>
        <v/>
      </c>
      <c r="K95" s="141" t="str">
        <f t="shared" si="8"/>
        <v/>
      </c>
      <c r="L95" s="141" t="str">
        <f t="shared" si="9"/>
        <v/>
      </c>
    </row>
    <row r="96" spans="1:12" ht="15.75" x14ac:dyDescent="0.3">
      <c r="A96" s="36" t="str">
        <f xml:space="preserve"> IF( 'From SvanPC++'!A96= "", "", ('From SvanPC++'!A96))</f>
        <v/>
      </c>
      <c r="C96" s="86">
        <v>43913</v>
      </c>
      <c r="D96" s="82">
        <v>0.33333333333333331</v>
      </c>
      <c r="E96" s="87">
        <v>46.5</v>
      </c>
      <c r="G96" s="38">
        <f t="shared" si="5"/>
        <v>5</v>
      </c>
      <c r="H96" s="141" t="str">
        <f t="shared" si="6"/>
        <v>Day</v>
      </c>
      <c r="J96" s="141">
        <f t="shared" si="7"/>
        <v>46.371428571428567</v>
      </c>
      <c r="K96" s="141" t="str">
        <f t="shared" si="8"/>
        <v/>
      </c>
      <c r="L96" s="141" t="str">
        <f t="shared" si="9"/>
        <v/>
      </c>
    </row>
    <row r="97" spans="1:12" ht="15.75" x14ac:dyDescent="0.3">
      <c r="A97" s="36" t="str">
        <f xml:space="preserve"> IF( 'From SvanPC++'!A97= "", "", ('From SvanPC++'!A97))</f>
        <v/>
      </c>
      <c r="C97" s="86">
        <v>43913</v>
      </c>
      <c r="D97" s="82">
        <v>0.375</v>
      </c>
      <c r="E97" s="87">
        <v>49.2</v>
      </c>
      <c r="G97" s="38">
        <f t="shared" si="5"/>
        <v>5</v>
      </c>
      <c r="H97" s="141" t="str">
        <f t="shared" si="6"/>
        <v>Day</v>
      </c>
      <c r="J97" s="141" t="str">
        <f t="shared" si="7"/>
        <v/>
      </c>
      <c r="K97" s="141" t="str">
        <f t="shared" si="8"/>
        <v/>
      </c>
      <c r="L97" s="141" t="str">
        <f t="shared" si="9"/>
        <v/>
      </c>
    </row>
    <row r="98" spans="1:12" ht="15.75" x14ac:dyDescent="0.3">
      <c r="A98" s="36" t="str">
        <f xml:space="preserve"> IF( 'From SvanPC++'!A98= "", "", ('From SvanPC++'!A98))</f>
        <v/>
      </c>
      <c r="C98" s="86">
        <v>43913</v>
      </c>
      <c r="D98" s="82">
        <v>0.41666666666666663</v>
      </c>
      <c r="E98" s="87">
        <v>47.1</v>
      </c>
      <c r="G98" s="38">
        <f t="shared" si="5"/>
        <v>5</v>
      </c>
      <c r="H98" s="141" t="str">
        <f t="shared" si="6"/>
        <v>Day</v>
      </c>
      <c r="J98" s="141" t="str">
        <f t="shared" si="7"/>
        <v/>
      </c>
      <c r="K98" s="141" t="str">
        <f t="shared" si="8"/>
        <v/>
      </c>
      <c r="L98" s="141" t="str">
        <f t="shared" si="9"/>
        <v/>
      </c>
    </row>
    <row r="99" spans="1:12" ht="15.75" x14ac:dyDescent="0.3">
      <c r="A99" s="36" t="str">
        <f xml:space="preserve"> IF( 'From SvanPC++'!A99= "", "", ('From SvanPC++'!A99))</f>
        <v/>
      </c>
      <c r="C99" s="86">
        <v>43913</v>
      </c>
      <c r="D99" s="82">
        <v>0.45833333333333331</v>
      </c>
      <c r="E99" s="87">
        <v>48.6</v>
      </c>
      <c r="G99" s="38">
        <f t="shared" si="5"/>
        <v>5</v>
      </c>
      <c r="H99" s="141" t="str">
        <f t="shared" si="6"/>
        <v>Day</v>
      </c>
      <c r="J99" s="141" t="str">
        <f t="shared" si="7"/>
        <v/>
      </c>
      <c r="K99" s="141" t="str">
        <f t="shared" si="8"/>
        <v/>
      </c>
      <c r="L99" s="141" t="str">
        <f t="shared" si="9"/>
        <v/>
      </c>
    </row>
    <row r="100" spans="1:12" ht="15.75" x14ac:dyDescent="0.3">
      <c r="A100" s="36" t="str">
        <f xml:space="preserve"> IF( 'From SvanPC++'!A100= "", "", ('From SvanPC++'!A100))</f>
        <v/>
      </c>
      <c r="C100" s="86">
        <v>43913</v>
      </c>
      <c r="D100" s="82">
        <v>0.5</v>
      </c>
      <c r="E100" s="87">
        <v>45.8</v>
      </c>
      <c r="G100" s="38">
        <f t="shared" si="5"/>
        <v>5</v>
      </c>
      <c r="H100" s="141" t="str">
        <f t="shared" si="6"/>
        <v>Day</v>
      </c>
      <c r="J100" s="141" t="str">
        <f t="shared" si="7"/>
        <v/>
      </c>
      <c r="K100" s="141" t="str">
        <f t="shared" si="8"/>
        <v/>
      </c>
      <c r="L100" s="141" t="str">
        <f t="shared" si="9"/>
        <v/>
      </c>
    </row>
    <row r="101" spans="1:12" ht="15.75" x14ac:dyDescent="0.3">
      <c r="A101" s="36" t="str">
        <f xml:space="preserve"> IF( 'From SvanPC++'!A101= "", "", ('From SvanPC++'!A101))</f>
        <v/>
      </c>
      <c r="C101" s="86">
        <v>43913</v>
      </c>
      <c r="D101" s="82">
        <v>0.54166666666666663</v>
      </c>
      <c r="E101" s="87">
        <v>43.9</v>
      </c>
      <c r="G101" s="38">
        <f t="shared" si="5"/>
        <v>5</v>
      </c>
      <c r="H101" s="141" t="str">
        <f t="shared" si="6"/>
        <v>Day</v>
      </c>
      <c r="J101" s="141" t="str">
        <f t="shared" si="7"/>
        <v/>
      </c>
      <c r="K101" s="141" t="str">
        <f t="shared" si="8"/>
        <v/>
      </c>
      <c r="L101" s="141" t="str">
        <f t="shared" si="9"/>
        <v/>
      </c>
    </row>
    <row r="102" spans="1:12" ht="16.5" thickBot="1" x14ac:dyDescent="0.35">
      <c r="A102" s="36" t="str">
        <f xml:space="preserve"> IF( 'From SvanPC++'!A102= "", "", ('From SvanPC++'!A102))</f>
        <v/>
      </c>
      <c r="C102" s="88">
        <v>43913</v>
      </c>
      <c r="D102" s="89">
        <v>0.58333333333333326</v>
      </c>
      <c r="E102" s="90">
        <v>43.5</v>
      </c>
      <c r="G102" s="38">
        <f t="shared" si="5"/>
        <v>5</v>
      </c>
      <c r="H102" s="141" t="str">
        <f t="shared" si="6"/>
        <v>Day</v>
      </c>
      <c r="J102" s="141" t="str">
        <f t="shared" si="7"/>
        <v/>
      </c>
      <c r="K102" s="141" t="str">
        <f t="shared" si="8"/>
        <v/>
      </c>
      <c r="L102" s="141" t="str">
        <f t="shared" si="9"/>
        <v/>
      </c>
    </row>
    <row r="103" spans="1:12" x14ac:dyDescent="0.3">
      <c r="A103" s="36" t="str">
        <f xml:space="preserve"> IF( 'From SvanPC++'!A103= "", "", ('From SvanPC++'!A103))</f>
        <v/>
      </c>
      <c r="C103" s="47" t="s">
        <v>10</v>
      </c>
      <c r="G103" s="38" t="str">
        <f t="shared" si="5"/>
        <v/>
      </c>
      <c r="H103" s="141" t="str">
        <f t="shared" si="6"/>
        <v/>
      </c>
      <c r="J103" s="141" t="str">
        <f t="shared" si="7"/>
        <v/>
      </c>
      <c r="K103" s="141" t="str">
        <f t="shared" si="8"/>
        <v/>
      </c>
      <c r="L103" s="141" t="str">
        <f t="shared" si="9"/>
        <v/>
      </c>
    </row>
    <row r="104" spans="1:12" x14ac:dyDescent="0.3">
      <c r="A104" s="36" t="str">
        <f xml:space="preserve"> IF( 'From SvanPC++'!A104= "", "", ('From SvanPC++'!A104))</f>
        <v/>
      </c>
      <c r="C104" s="47" t="s">
        <v>10</v>
      </c>
      <c r="G104" s="38" t="str">
        <f t="shared" si="5"/>
        <v/>
      </c>
      <c r="H104" s="141" t="str">
        <f t="shared" si="6"/>
        <v/>
      </c>
      <c r="J104" s="141" t="str">
        <f t="shared" si="7"/>
        <v/>
      </c>
      <c r="K104" s="141" t="str">
        <f t="shared" si="8"/>
        <v/>
      </c>
      <c r="L104" s="141" t="str">
        <f t="shared" si="9"/>
        <v/>
      </c>
    </row>
    <row r="105" spans="1:12" x14ac:dyDescent="0.3">
      <c r="A105" s="36" t="str">
        <f xml:space="preserve"> IF( 'From SvanPC++'!A105= "", "", ('From SvanPC++'!A105))</f>
        <v/>
      </c>
      <c r="C105" s="47" t="s">
        <v>10</v>
      </c>
      <c r="G105" s="38" t="str">
        <f t="shared" si="5"/>
        <v/>
      </c>
      <c r="H105" s="141" t="str">
        <f t="shared" si="6"/>
        <v/>
      </c>
      <c r="J105" s="141" t="str">
        <f t="shared" si="7"/>
        <v/>
      </c>
      <c r="K105" s="141" t="str">
        <f t="shared" si="8"/>
        <v/>
      </c>
      <c r="L105" s="141" t="str">
        <f t="shared" si="9"/>
        <v/>
      </c>
    </row>
    <row r="106" spans="1:12" x14ac:dyDescent="0.3">
      <c r="A106" s="36" t="str">
        <f xml:space="preserve"> IF( 'From SvanPC++'!A106= "", "", ('From SvanPC++'!A106))</f>
        <v/>
      </c>
      <c r="C106" s="47" t="s">
        <v>10</v>
      </c>
      <c r="G106" s="38" t="str">
        <f t="shared" si="5"/>
        <v/>
      </c>
      <c r="H106" s="141" t="str">
        <f t="shared" si="6"/>
        <v/>
      </c>
      <c r="J106" s="141" t="str">
        <f t="shared" si="7"/>
        <v/>
      </c>
      <c r="K106" s="141" t="str">
        <f t="shared" si="8"/>
        <v/>
      </c>
      <c r="L106" s="141" t="str">
        <f t="shared" si="9"/>
        <v/>
      </c>
    </row>
    <row r="107" spans="1:12" x14ac:dyDescent="0.3">
      <c r="A107" s="36" t="str">
        <f xml:space="preserve"> IF( 'From SvanPC++'!A107= "", "", ('From SvanPC++'!A107))</f>
        <v/>
      </c>
      <c r="C107" s="47" t="s">
        <v>10</v>
      </c>
      <c r="G107" s="38" t="str">
        <f t="shared" si="5"/>
        <v/>
      </c>
      <c r="H107" s="141" t="str">
        <f t="shared" si="6"/>
        <v/>
      </c>
      <c r="J107" s="141" t="str">
        <f t="shared" si="7"/>
        <v/>
      </c>
      <c r="K107" s="141" t="str">
        <f t="shared" si="8"/>
        <v/>
      </c>
      <c r="L107" s="141" t="str">
        <f t="shared" si="9"/>
        <v/>
      </c>
    </row>
    <row r="108" spans="1:12" x14ac:dyDescent="0.3">
      <c r="A108" s="36" t="str">
        <f xml:space="preserve"> IF( 'From SvanPC++'!A108= "", "", ('From SvanPC++'!A108))</f>
        <v/>
      </c>
      <c r="C108" s="47" t="s">
        <v>10</v>
      </c>
      <c r="G108" s="38" t="str">
        <f t="shared" si="5"/>
        <v/>
      </c>
      <c r="H108" s="141" t="str">
        <f t="shared" si="6"/>
        <v/>
      </c>
      <c r="J108" s="141" t="str">
        <f t="shared" si="7"/>
        <v/>
      </c>
      <c r="K108" s="141" t="str">
        <f t="shared" si="8"/>
        <v/>
      </c>
      <c r="L108" s="141" t="str">
        <f t="shared" si="9"/>
        <v/>
      </c>
    </row>
    <row r="109" spans="1:12" x14ac:dyDescent="0.3">
      <c r="A109" s="36" t="str">
        <f xml:space="preserve"> IF( 'From SvanPC++'!A109= "", "", ('From SvanPC++'!A109))</f>
        <v/>
      </c>
      <c r="C109" s="47" t="s">
        <v>10</v>
      </c>
      <c r="G109" s="38" t="str">
        <f t="shared" si="5"/>
        <v/>
      </c>
      <c r="H109" s="141" t="str">
        <f t="shared" si="6"/>
        <v/>
      </c>
      <c r="J109" s="141" t="str">
        <f t="shared" si="7"/>
        <v/>
      </c>
      <c r="K109" s="141" t="str">
        <f t="shared" si="8"/>
        <v/>
      </c>
      <c r="L109" s="141" t="str">
        <f t="shared" si="9"/>
        <v/>
      </c>
    </row>
    <row r="110" spans="1:12" x14ac:dyDescent="0.3">
      <c r="A110" s="36" t="str">
        <f xml:space="preserve"> IF( 'From SvanPC++'!A110= "", "", ('From SvanPC++'!A110))</f>
        <v/>
      </c>
      <c r="C110" s="47" t="s">
        <v>10</v>
      </c>
      <c r="G110" s="38" t="str">
        <f t="shared" si="5"/>
        <v/>
      </c>
      <c r="H110" s="141" t="str">
        <f t="shared" si="6"/>
        <v/>
      </c>
      <c r="J110" s="141" t="str">
        <f t="shared" si="7"/>
        <v/>
      </c>
      <c r="K110" s="141" t="str">
        <f t="shared" si="8"/>
        <v/>
      </c>
      <c r="L110" s="141" t="str">
        <f t="shared" si="9"/>
        <v/>
      </c>
    </row>
    <row r="111" spans="1:12" x14ac:dyDescent="0.3">
      <c r="A111" s="36" t="str">
        <f xml:space="preserve"> IF( 'From SvanPC++'!A111= "", "", ('From SvanPC++'!A111))</f>
        <v/>
      </c>
      <c r="C111" s="47" t="s">
        <v>10</v>
      </c>
      <c r="G111" s="38" t="str">
        <f t="shared" si="5"/>
        <v/>
      </c>
      <c r="H111" s="141" t="str">
        <f t="shared" si="6"/>
        <v/>
      </c>
      <c r="J111" s="141" t="str">
        <f t="shared" si="7"/>
        <v/>
      </c>
      <c r="K111" s="141" t="str">
        <f t="shared" si="8"/>
        <v/>
      </c>
      <c r="L111" s="141" t="str">
        <f t="shared" si="9"/>
        <v/>
      </c>
    </row>
    <row r="112" spans="1:12" x14ac:dyDescent="0.3">
      <c r="A112" s="36" t="str">
        <f xml:space="preserve"> IF( 'From SvanPC++'!A112= "", "", ('From SvanPC++'!A112))</f>
        <v/>
      </c>
      <c r="C112" s="47" t="s">
        <v>10</v>
      </c>
      <c r="G112" s="38" t="str">
        <f t="shared" si="5"/>
        <v/>
      </c>
      <c r="H112" s="141" t="str">
        <f t="shared" si="6"/>
        <v/>
      </c>
      <c r="J112" s="141" t="str">
        <f t="shared" si="7"/>
        <v/>
      </c>
      <c r="K112" s="141" t="str">
        <f t="shared" si="8"/>
        <v/>
      </c>
      <c r="L112" s="141" t="str">
        <f t="shared" si="9"/>
        <v/>
      </c>
    </row>
    <row r="113" spans="1:12" x14ac:dyDescent="0.3">
      <c r="A113" s="36" t="str">
        <f xml:space="preserve"> IF( 'From SvanPC++'!A113= "", "", ('From SvanPC++'!A113))</f>
        <v/>
      </c>
      <c r="C113" s="47" t="s">
        <v>10</v>
      </c>
      <c r="G113" s="38" t="str">
        <f t="shared" si="5"/>
        <v/>
      </c>
      <c r="H113" s="141" t="str">
        <f t="shared" si="6"/>
        <v/>
      </c>
      <c r="J113" s="141" t="str">
        <f t="shared" si="7"/>
        <v/>
      </c>
      <c r="K113" s="141" t="str">
        <f t="shared" si="8"/>
        <v/>
      </c>
      <c r="L113" s="141" t="str">
        <f t="shared" si="9"/>
        <v/>
      </c>
    </row>
    <row r="114" spans="1:12" x14ac:dyDescent="0.3">
      <c r="A114" s="36" t="str">
        <f xml:space="preserve"> IF( 'From SvanPC++'!A114= "", "", ('From SvanPC++'!A114))</f>
        <v/>
      </c>
      <c r="C114" s="47" t="s">
        <v>10</v>
      </c>
      <c r="G114" s="38" t="str">
        <f t="shared" si="5"/>
        <v/>
      </c>
      <c r="H114" s="141" t="str">
        <f t="shared" si="6"/>
        <v/>
      </c>
      <c r="J114" s="141" t="str">
        <f t="shared" si="7"/>
        <v/>
      </c>
      <c r="K114" s="141" t="str">
        <f t="shared" si="8"/>
        <v/>
      </c>
      <c r="L114" s="141" t="str">
        <f t="shared" si="9"/>
        <v/>
      </c>
    </row>
    <row r="115" spans="1:12" x14ac:dyDescent="0.3">
      <c r="A115" s="36" t="str">
        <f xml:space="preserve"> IF( 'From SvanPC++'!A115= "", "", ('From SvanPC++'!A115))</f>
        <v/>
      </c>
      <c r="C115" s="47" t="s">
        <v>10</v>
      </c>
      <c r="G115" s="38" t="str">
        <f t="shared" si="5"/>
        <v/>
      </c>
      <c r="H115" s="141" t="str">
        <f t="shared" si="6"/>
        <v/>
      </c>
      <c r="J115" s="141" t="str">
        <f t="shared" si="7"/>
        <v/>
      </c>
      <c r="K115" s="141" t="str">
        <f t="shared" si="8"/>
        <v/>
      </c>
      <c r="L115" s="141" t="str">
        <f t="shared" si="9"/>
        <v/>
      </c>
    </row>
    <row r="116" spans="1:12" x14ac:dyDescent="0.3">
      <c r="A116" s="36" t="str">
        <f xml:space="preserve"> IF( 'From SvanPC++'!A116= "", "", ('From SvanPC++'!A116))</f>
        <v/>
      </c>
      <c r="C116" s="47" t="s">
        <v>10</v>
      </c>
      <c r="G116" s="38" t="str">
        <f t="shared" si="5"/>
        <v/>
      </c>
      <c r="H116" s="141" t="str">
        <f t="shared" si="6"/>
        <v/>
      </c>
      <c r="J116" s="141" t="str">
        <f t="shared" si="7"/>
        <v/>
      </c>
      <c r="K116" s="141" t="str">
        <f t="shared" si="8"/>
        <v/>
      </c>
      <c r="L116" s="141" t="str">
        <f t="shared" si="9"/>
        <v/>
      </c>
    </row>
    <row r="117" spans="1:12" x14ac:dyDescent="0.3">
      <c r="A117" s="36" t="str">
        <f xml:space="preserve"> IF( 'From SvanPC++'!A117= "", "", ('From SvanPC++'!A117))</f>
        <v/>
      </c>
      <c r="C117" s="47" t="s">
        <v>10</v>
      </c>
      <c r="G117" s="38" t="str">
        <f t="shared" si="5"/>
        <v/>
      </c>
      <c r="H117" s="141" t="str">
        <f t="shared" si="6"/>
        <v/>
      </c>
      <c r="J117" s="141" t="str">
        <f t="shared" si="7"/>
        <v/>
      </c>
      <c r="K117" s="141" t="str">
        <f t="shared" si="8"/>
        <v/>
      </c>
      <c r="L117" s="141" t="str">
        <f t="shared" si="9"/>
        <v/>
      </c>
    </row>
    <row r="118" spans="1:12" x14ac:dyDescent="0.3">
      <c r="A118" s="36" t="str">
        <f xml:space="preserve"> IF( 'From SvanPC++'!A118= "", "", ('From SvanPC++'!A118))</f>
        <v/>
      </c>
      <c r="C118" s="47" t="s">
        <v>10</v>
      </c>
      <c r="G118" s="38" t="str">
        <f t="shared" si="5"/>
        <v/>
      </c>
      <c r="H118" s="141" t="str">
        <f t="shared" si="6"/>
        <v/>
      </c>
      <c r="J118" s="141" t="str">
        <f t="shared" si="7"/>
        <v/>
      </c>
      <c r="K118" s="141" t="str">
        <f t="shared" si="8"/>
        <v/>
      </c>
      <c r="L118" s="141" t="str">
        <f t="shared" si="9"/>
        <v/>
      </c>
    </row>
    <row r="119" spans="1:12" x14ac:dyDescent="0.3">
      <c r="A119" s="36" t="str">
        <f xml:space="preserve"> IF( 'From SvanPC++'!A119= "", "", ('From SvanPC++'!A119))</f>
        <v/>
      </c>
      <c r="C119" s="47" t="s">
        <v>10</v>
      </c>
      <c r="G119" s="38" t="str">
        <f t="shared" si="5"/>
        <v/>
      </c>
      <c r="H119" s="141" t="str">
        <f t="shared" si="6"/>
        <v/>
      </c>
      <c r="J119" s="141" t="str">
        <f t="shared" si="7"/>
        <v/>
      </c>
      <c r="K119" s="141" t="str">
        <f t="shared" si="8"/>
        <v/>
      </c>
      <c r="L119" s="141" t="str">
        <f t="shared" si="9"/>
        <v/>
      </c>
    </row>
    <row r="120" spans="1:12" x14ac:dyDescent="0.3">
      <c r="A120" s="36" t="str">
        <f xml:space="preserve"> IF( 'From SvanPC++'!A120= "", "", ('From SvanPC++'!A120))</f>
        <v/>
      </c>
      <c r="C120" s="47" t="s">
        <v>10</v>
      </c>
      <c r="G120" s="38" t="str">
        <f t="shared" si="5"/>
        <v/>
      </c>
      <c r="H120" s="141" t="str">
        <f t="shared" si="6"/>
        <v/>
      </c>
      <c r="J120" s="141" t="str">
        <f t="shared" si="7"/>
        <v/>
      </c>
      <c r="K120" s="141" t="str">
        <f t="shared" si="8"/>
        <v/>
      </c>
      <c r="L120" s="141" t="str">
        <f t="shared" si="9"/>
        <v/>
      </c>
    </row>
    <row r="121" spans="1:12" x14ac:dyDescent="0.3">
      <c r="A121" s="36" t="str">
        <f xml:space="preserve"> IF( 'From SvanPC++'!A121= "", "", ('From SvanPC++'!A121))</f>
        <v/>
      </c>
      <c r="C121" s="47" t="s">
        <v>10</v>
      </c>
      <c r="G121" s="38" t="str">
        <f t="shared" si="5"/>
        <v/>
      </c>
      <c r="H121" s="141" t="str">
        <f t="shared" si="6"/>
        <v/>
      </c>
      <c r="J121" s="141" t="str">
        <f t="shared" si="7"/>
        <v/>
      </c>
      <c r="K121" s="141" t="str">
        <f t="shared" si="8"/>
        <v/>
      </c>
      <c r="L121" s="141" t="str">
        <f t="shared" si="9"/>
        <v/>
      </c>
    </row>
    <row r="122" spans="1:12" x14ac:dyDescent="0.3">
      <c r="A122" s="36" t="str">
        <f xml:space="preserve"> IF( 'From SvanPC++'!A122= "", "", ('From SvanPC++'!A122))</f>
        <v/>
      </c>
      <c r="C122" s="47" t="s">
        <v>10</v>
      </c>
      <c r="G122" s="38" t="str">
        <f t="shared" si="5"/>
        <v/>
      </c>
      <c r="H122" s="141" t="str">
        <f t="shared" si="6"/>
        <v/>
      </c>
      <c r="J122" s="141" t="str">
        <f t="shared" si="7"/>
        <v/>
      </c>
      <c r="K122" s="141" t="str">
        <f t="shared" si="8"/>
        <v/>
      </c>
      <c r="L122" s="141" t="str">
        <f t="shared" si="9"/>
        <v/>
      </c>
    </row>
    <row r="123" spans="1:12" x14ac:dyDescent="0.3">
      <c r="A123" s="36" t="str">
        <f xml:space="preserve"> IF( 'From SvanPC++'!A123= "", "", ('From SvanPC++'!A123))</f>
        <v/>
      </c>
      <c r="C123" s="47" t="s">
        <v>10</v>
      </c>
      <c r="G123" s="38" t="str">
        <f t="shared" si="5"/>
        <v/>
      </c>
      <c r="H123" s="141" t="str">
        <f t="shared" si="6"/>
        <v/>
      </c>
      <c r="J123" s="141" t="str">
        <f t="shared" si="7"/>
        <v/>
      </c>
      <c r="K123" s="141" t="str">
        <f t="shared" si="8"/>
        <v/>
      </c>
      <c r="L123" s="141" t="str">
        <f t="shared" si="9"/>
        <v/>
      </c>
    </row>
    <row r="124" spans="1:12" x14ac:dyDescent="0.3">
      <c r="A124" s="36" t="str">
        <f xml:space="preserve"> IF( 'From SvanPC++'!A124= "", "", ('From SvanPC++'!A124))</f>
        <v/>
      </c>
      <c r="C124" s="47" t="s">
        <v>10</v>
      </c>
      <c r="G124" s="38" t="str">
        <f t="shared" si="5"/>
        <v/>
      </c>
      <c r="H124" s="141" t="str">
        <f t="shared" si="6"/>
        <v/>
      </c>
      <c r="J124" s="141" t="str">
        <f t="shared" si="7"/>
        <v/>
      </c>
      <c r="K124" s="141" t="str">
        <f t="shared" si="8"/>
        <v/>
      </c>
      <c r="L124" s="141" t="str">
        <f t="shared" si="9"/>
        <v/>
      </c>
    </row>
    <row r="125" spans="1:12" x14ac:dyDescent="0.3">
      <c r="A125" s="36" t="str">
        <f xml:space="preserve"> IF( 'From SvanPC++'!A125= "", "", ('From SvanPC++'!A125))</f>
        <v/>
      </c>
      <c r="C125" s="47" t="s">
        <v>10</v>
      </c>
      <c r="G125" s="38" t="str">
        <f t="shared" si="5"/>
        <v/>
      </c>
      <c r="H125" s="141" t="str">
        <f t="shared" si="6"/>
        <v/>
      </c>
      <c r="J125" s="141" t="str">
        <f t="shared" si="7"/>
        <v/>
      </c>
      <c r="K125" s="141" t="str">
        <f t="shared" si="8"/>
        <v/>
      </c>
      <c r="L125" s="141" t="str">
        <f t="shared" si="9"/>
        <v/>
      </c>
    </row>
    <row r="126" spans="1:12" x14ac:dyDescent="0.3">
      <c r="A126" s="36" t="str">
        <f xml:space="preserve"> IF( 'From SvanPC++'!A126= "", "", ('From SvanPC++'!A126))</f>
        <v/>
      </c>
      <c r="C126" s="47" t="s">
        <v>10</v>
      </c>
      <c r="G126" s="38" t="str">
        <f t="shared" si="5"/>
        <v/>
      </c>
      <c r="H126" s="141" t="str">
        <f t="shared" si="6"/>
        <v/>
      </c>
      <c r="J126" s="141" t="str">
        <f t="shared" si="7"/>
        <v/>
      </c>
      <c r="K126" s="141" t="str">
        <f t="shared" si="8"/>
        <v/>
      </c>
      <c r="L126" s="141" t="str">
        <f t="shared" si="9"/>
        <v/>
      </c>
    </row>
    <row r="127" spans="1:12" x14ac:dyDescent="0.3">
      <c r="A127" s="36" t="str">
        <f xml:space="preserve"> IF( 'From SvanPC++'!A127= "", "", ('From SvanPC++'!A127))</f>
        <v/>
      </c>
      <c r="C127" s="47" t="s">
        <v>10</v>
      </c>
      <c r="G127" s="38" t="str">
        <f t="shared" si="5"/>
        <v/>
      </c>
      <c r="H127" s="141" t="str">
        <f t="shared" si="6"/>
        <v/>
      </c>
      <c r="J127" s="141" t="str">
        <f t="shared" si="7"/>
        <v/>
      </c>
      <c r="K127" s="141" t="str">
        <f t="shared" si="8"/>
        <v/>
      </c>
      <c r="L127" s="141" t="str">
        <f t="shared" si="9"/>
        <v/>
      </c>
    </row>
    <row r="128" spans="1:12" x14ac:dyDescent="0.3">
      <c r="A128" s="36" t="str">
        <f xml:space="preserve"> IF( 'From SvanPC++'!A128= "", "", ('From SvanPC++'!A128))</f>
        <v/>
      </c>
      <c r="C128" s="47" t="s">
        <v>10</v>
      </c>
      <c r="G128" s="38" t="str">
        <f t="shared" si="5"/>
        <v/>
      </c>
      <c r="H128" s="141" t="str">
        <f t="shared" si="6"/>
        <v/>
      </c>
      <c r="J128" s="141" t="str">
        <f t="shared" si="7"/>
        <v/>
      </c>
      <c r="K128" s="141" t="str">
        <f t="shared" si="8"/>
        <v/>
      </c>
      <c r="L128" s="141" t="str">
        <f t="shared" si="9"/>
        <v/>
      </c>
    </row>
    <row r="129" spans="1:12" x14ac:dyDescent="0.3">
      <c r="A129" s="36" t="str">
        <f xml:space="preserve"> IF( 'From SvanPC++'!A129= "", "", ('From SvanPC++'!A129))</f>
        <v/>
      </c>
      <c r="C129" s="47" t="s">
        <v>10</v>
      </c>
      <c r="G129" s="38" t="str">
        <f t="shared" si="5"/>
        <v/>
      </c>
      <c r="H129" s="141" t="str">
        <f t="shared" si="6"/>
        <v/>
      </c>
      <c r="J129" s="141" t="str">
        <f t="shared" si="7"/>
        <v/>
      </c>
      <c r="K129" s="141" t="str">
        <f t="shared" si="8"/>
        <v/>
      </c>
      <c r="L129" s="141" t="str">
        <f t="shared" si="9"/>
        <v/>
      </c>
    </row>
    <row r="130" spans="1:12" x14ac:dyDescent="0.3">
      <c r="A130" s="36" t="str">
        <f xml:space="preserve"> IF( 'From SvanPC++'!A130= "", "", ('From SvanPC++'!A130))</f>
        <v/>
      </c>
      <c r="C130" s="47" t="s">
        <v>10</v>
      </c>
      <c r="G130" s="38" t="str">
        <f t="shared" si="5"/>
        <v/>
      </c>
      <c r="H130" s="141" t="str">
        <f t="shared" si="6"/>
        <v/>
      </c>
      <c r="J130" s="141" t="str">
        <f t="shared" si="7"/>
        <v/>
      </c>
      <c r="K130" s="141" t="str">
        <f t="shared" si="8"/>
        <v/>
      </c>
      <c r="L130" s="141" t="str">
        <f t="shared" si="9"/>
        <v/>
      </c>
    </row>
    <row r="131" spans="1:12" x14ac:dyDescent="0.3">
      <c r="A131" s="36" t="str">
        <f xml:space="preserve"> IF( 'From SvanPC++'!A131= "", "", ('From SvanPC++'!A131))</f>
        <v/>
      </c>
      <c r="C131" s="47" t="s">
        <v>10</v>
      </c>
      <c r="G131" s="38" t="str">
        <f t="shared" si="5"/>
        <v/>
      </c>
      <c r="H131" s="141" t="str">
        <f t="shared" si="6"/>
        <v/>
      </c>
      <c r="J131" s="141" t="str">
        <f t="shared" si="7"/>
        <v/>
      </c>
      <c r="K131" s="141" t="str">
        <f t="shared" si="8"/>
        <v/>
      </c>
      <c r="L131" s="141" t="str">
        <f t="shared" si="9"/>
        <v/>
      </c>
    </row>
    <row r="132" spans="1:12" x14ac:dyDescent="0.3">
      <c r="A132" s="36" t="str">
        <f xml:space="preserve"> IF( 'From SvanPC++'!A132= "", "", ('From SvanPC++'!A132))</f>
        <v/>
      </c>
      <c r="C132" s="47" t="s">
        <v>10</v>
      </c>
      <c r="G132" s="38" t="str">
        <f t="shared" si="5"/>
        <v/>
      </c>
      <c r="H132" s="141" t="str">
        <f t="shared" si="6"/>
        <v/>
      </c>
      <c r="J132" s="141" t="str">
        <f t="shared" si="7"/>
        <v/>
      </c>
      <c r="K132" s="141" t="str">
        <f t="shared" si="8"/>
        <v/>
      </c>
      <c r="L132" s="141" t="str">
        <f t="shared" si="9"/>
        <v/>
      </c>
    </row>
    <row r="133" spans="1:12" x14ac:dyDescent="0.3">
      <c r="A133" s="36" t="str">
        <f xml:space="preserve"> IF( 'From SvanPC++'!A133= "", "", ('From SvanPC++'!A133))</f>
        <v/>
      </c>
      <c r="C133" s="47" t="s">
        <v>10</v>
      </c>
      <c r="G133" s="38" t="str">
        <f t="shared" si="5"/>
        <v/>
      </c>
      <c r="H133" s="141" t="str">
        <f t="shared" si="6"/>
        <v/>
      </c>
      <c r="J133" s="141" t="str">
        <f t="shared" si="7"/>
        <v/>
      </c>
      <c r="K133" s="141" t="str">
        <f t="shared" si="8"/>
        <v/>
      </c>
      <c r="L133" s="141" t="str">
        <f t="shared" si="9"/>
        <v/>
      </c>
    </row>
    <row r="134" spans="1:12" x14ac:dyDescent="0.3">
      <c r="A134" s="36" t="str">
        <f xml:space="preserve"> IF( 'From SvanPC++'!A134= "", "", ('From SvanPC++'!A134))</f>
        <v/>
      </c>
      <c r="C134" s="47" t="s">
        <v>10</v>
      </c>
      <c r="G134" s="38" t="str">
        <f t="shared" si="5"/>
        <v/>
      </c>
      <c r="H134" s="141" t="str">
        <f t="shared" si="6"/>
        <v/>
      </c>
      <c r="J134" s="141" t="str">
        <f t="shared" si="7"/>
        <v/>
      </c>
      <c r="K134" s="141" t="str">
        <f t="shared" si="8"/>
        <v/>
      </c>
      <c r="L134" s="141" t="str">
        <f t="shared" si="9"/>
        <v/>
      </c>
    </row>
    <row r="135" spans="1:12" x14ac:dyDescent="0.3">
      <c r="A135" s="36" t="str">
        <f xml:space="preserve"> IF( 'From SvanPC++'!A135= "", "", ('From SvanPC++'!A135))</f>
        <v/>
      </c>
      <c r="C135" s="47" t="s">
        <v>10</v>
      </c>
      <c r="G135" s="38" t="str">
        <f t="shared" ref="G135:G198" si="10" xml:space="preserve"> IF( D135= "", "", ( IF( AND( D135 &gt;= TIMEVALUE( "07:00:01" ), D135 &lt; TIMEVALUE( "08:00:01" ) ) = TRUE, (G134+1), (G134+0) )))</f>
        <v/>
      </c>
      <c r="H135" s="141" t="str">
        <f t="shared" ref="H135:H150" si="11" xml:space="preserve"> IF( D135= "", "", ( IF( AND( D135 &gt;= TIMEVALUE( "07:00:01" ), D135 &lt;= TIMEVALUE( "13:00:00" ), WEEKDAY( C135) =(7+N("COMMENT - saturday day period")) ) = TRUE, "Day",
IF( AND( D135 &gt;= TIMEVALUE( "07:00:01" ), D135 &lt;= TIMEVALUE( "18:00:00" ), WEEKDAY( C135,1+N("COMMENT - weekday day period")) &gt;=2, ( WEEKDAY( C135,1) &lt;=6) ) = TRUE, "Day",
IF( AND( D135 &gt;= TIMEVALUE( "13:00:01" ), D135 &lt;= TIMEVALUE( "22:00:00" ), WEEKDAY( C135) =(7+N("COMMENT - saturday evening period")) ) = TRUE, "Evening",
IF( AND( D135 &gt;= TIMEVALUE( "18:00:01" ), D135 &lt;= TIMEVALUE( "22:00:00" ), WEEKDAY( C135,1+N("COMMENT - weekday evening period")) &gt;=2, ( WEEKDAY( C135,1) &lt;=6) ) = TRUE, "Evening",
IF( AND( D135 &gt;= TIMEVALUE( "07:00:01" ), D135 &lt;= TIMEVALUE( "22:00:00" ), WEEKDAY( C135) =(1+N("COMMENT - sunday evening period")) ) = TRUE, "Evening",
IF( AND( D135 &gt;= TIMEVALUE( "22:00:01" ), D135 &lt;= TIMEVALUE( "23:59:59" ), WEEKDAY( C135) =(7+N("COMMENT - saturday night1 period")) ) = TRUE, "Night",
IF( AND( D135 &gt;= TIMEVALUE( "00:00:00" ), D135 &lt;= TIMEVALUE( "07:00:00" ), WEEKDAY( C135) =(7+N("COMMENT - saturday night2 period")) ) = TRUE, "Night",
IF( AND( D135 &gt;= TIMEVALUE( "22:00:01" ), D135 &lt;= TIMEVALUE( "23:59:59" ), WEEKDAY( C135,1+N("COMMENT - weekday night1 period")) &gt;=2, ( WEEKDAY( C135,1) &lt;=6) ) = TRUE, "Night",
IF( AND( D135 &gt;= TIMEVALUE( "00:00:00" ), D135 &lt;= TIMEVALUE( "07:00:00" ), WEEKDAY( C135,1+N("COMMENT - weekday night2 period")) &gt;=2, ( WEEKDAY( C135,1) &lt;=6) ) = TRUE, "Night",
IF( AND( D135 &gt;= TIMEVALUE( "20:00:01" ), D135 &lt;= TIMEVALUE( "23:59:59" ), WEEKDAY( C135) =(1+N("COMMENT - sunday night1 period")) ) = TRUE, "Night",
IF( AND( D135 &gt;= TIMEVALUE( "00:00:00" ), D135 &lt;= TIMEVALUE( "07:00:00" ), WEEKDAY( C135) =(1+N("COMMENT - sunday night2 period")) ) = TRUE, "Night", )))))))))))))</f>
        <v/>
      </c>
      <c r="J135" s="141" t="str">
        <f t="shared" si="7"/>
        <v/>
      </c>
      <c r="K135" s="141" t="str">
        <f t="shared" si="8"/>
        <v/>
      </c>
      <c r="L135" s="141" t="str">
        <f t="shared" si="9"/>
        <v/>
      </c>
    </row>
    <row r="136" spans="1:12" x14ac:dyDescent="0.3">
      <c r="A136" s="36" t="str">
        <f xml:space="preserve"> IF( 'From SvanPC++'!A136= "", "", ('From SvanPC++'!A136))</f>
        <v/>
      </c>
      <c r="C136" s="47" t="s">
        <v>10</v>
      </c>
      <c r="G136" s="38" t="str">
        <f t="shared" si="10"/>
        <v/>
      </c>
      <c r="H136" s="141" t="str">
        <f t="shared" si="11"/>
        <v/>
      </c>
      <c r="J136" s="141" t="str">
        <f t="shared" ref="J136:J199" si="12" xml:space="preserve"> IF( ISERROR( IF( D136= "", "", ( IF( G136= (G135+1), ( AVERAGEIFS( E136:E280, G136:G280, G136, H136:H280, "Day" )), "" )))), "",( IF( D136= "", "", ( IF( G136= (G135+1), ( AVERAGEIFS( E136:E280, G136:G280, G136, H136:H280, "Day" )), "" )))))</f>
        <v/>
      </c>
      <c r="K136" s="141" t="str">
        <f t="shared" ref="K136:K199" si="13" xml:space="preserve"> IF( ISERROR( IF( D136= "", "", ( IF( G136= (G135+1), ( AVERAGEIFS( E136:E280, G136:G280, G136, H136:H280, "Evening" )), "" )))), "",( IF( D136= "", "", ( IF( G136= (G135+1), ( AVERAGEIFS( E136:E280, G136:G280, G136, H136:H280, "Evening" )), "" )))))</f>
        <v/>
      </c>
      <c r="L136" s="141" t="str">
        <f t="shared" ref="L136:L199" si="14" xml:space="preserve"> IF( ISERROR( IF( D136= "", "", ( IF( G136= (G135+1), ( AVERAGEIFS( E136:E280, G136:G280, G136, H136:H280, "Night" )), "" )))), "",( IF( D136= "", "", ( IF( G136= (G135+1), ( AVERAGEIFS( E136:E280, G136:G280, G136, H136:H280, "Night" )), "" )))))</f>
        <v/>
      </c>
    </row>
    <row r="137" spans="1:12" x14ac:dyDescent="0.3">
      <c r="A137" s="36" t="str">
        <f xml:space="preserve"> IF( 'From SvanPC++'!A137= "", "", ('From SvanPC++'!A137))</f>
        <v/>
      </c>
      <c r="C137" s="47" t="s">
        <v>10</v>
      </c>
      <c r="G137" s="38" t="str">
        <f t="shared" si="10"/>
        <v/>
      </c>
      <c r="H137" s="141" t="str">
        <f t="shared" si="11"/>
        <v/>
      </c>
      <c r="J137" s="141" t="str">
        <f t="shared" si="12"/>
        <v/>
      </c>
      <c r="K137" s="141" t="str">
        <f t="shared" si="13"/>
        <v/>
      </c>
      <c r="L137" s="141" t="str">
        <f t="shared" si="14"/>
        <v/>
      </c>
    </row>
    <row r="138" spans="1:12" x14ac:dyDescent="0.3">
      <c r="A138" s="36" t="str">
        <f xml:space="preserve"> IF( 'From SvanPC++'!A138= "", "", ('From SvanPC++'!A138))</f>
        <v/>
      </c>
      <c r="C138" s="47" t="s">
        <v>10</v>
      </c>
      <c r="G138" s="38" t="str">
        <f t="shared" si="10"/>
        <v/>
      </c>
      <c r="H138" s="141" t="str">
        <f t="shared" si="11"/>
        <v/>
      </c>
      <c r="J138" s="141" t="str">
        <f t="shared" si="12"/>
        <v/>
      </c>
      <c r="K138" s="141" t="str">
        <f t="shared" si="13"/>
        <v/>
      </c>
      <c r="L138" s="141" t="str">
        <f t="shared" si="14"/>
        <v/>
      </c>
    </row>
    <row r="139" spans="1:12" x14ac:dyDescent="0.3">
      <c r="A139" s="36" t="str">
        <f xml:space="preserve"> IF( 'From SvanPC++'!A139= "", "", ('From SvanPC++'!A139))</f>
        <v/>
      </c>
      <c r="C139" s="47" t="s">
        <v>10</v>
      </c>
      <c r="G139" s="38" t="str">
        <f t="shared" si="10"/>
        <v/>
      </c>
      <c r="H139" s="141" t="str">
        <f t="shared" si="11"/>
        <v/>
      </c>
      <c r="J139" s="141" t="str">
        <f t="shared" si="12"/>
        <v/>
      </c>
      <c r="K139" s="141" t="str">
        <f t="shared" si="13"/>
        <v/>
      </c>
      <c r="L139" s="141" t="str">
        <f t="shared" si="14"/>
        <v/>
      </c>
    </row>
    <row r="140" spans="1:12" x14ac:dyDescent="0.3">
      <c r="A140" s="36" t="str">
        <f xml:space="preserve"> IF( 'From SvanPC++'!A140= "", "", ('From SvanPC++'!A140))</f>
        <v/>
      </c>
      <c r="C140" s="47" t="s">
        <v>10</v>
      </c>
      <c r="G140" s="38" t="str">
        <f t="shared" si="10"/>
        <v/>
      </c>
      <c r="H140" s="141" t="str">
        <f t="shared" si="11"/>
        <v/>
      </c>
      <c r="J140" s="141" t="str">
        <f t="shared" si="12"/>
        <v/>
      </c>
      <c r="K140" s="141" t="str">
        <f t="shared" si="13"/>
        <v/>
      </c>
      <c r="L140" s="141" t="str">
        <f t="shared" si="14"/>
        <v/>
      </c>
    </row>
    <row r="141" spans="1:12" x14ac:dyDescent="0.3">
      <c r="A141" s="36" t="str">
        <f xml:space="preserve"> IF( 'From SvanPC++'!A141= "", "", ('From SvanPC++'!A141))</f>
        <v/>
      </c>
      <c r="C141" s="47" t="s">
        <v>10</v>
      </c>
      <c r="G141" s="38" t="str">
        <f t="shared" si="10"/>
        <v/>
      </c>
      <c r="H141" s="141" t="str">
        <f t="shared" si="11"/>
        <v/>
      </c>
      <c r="J141" s="141" t="str">
        <f t="shared" si="12"/>
        <v/>
      </c>
      <c r="K141" s="141" t="str">
        <f t="shared" si="13"/>
        <v/>
      </c>
      <c r="L141" s="141" t="str">
        <f t="shared" si="14"/>
        <v/>
      </c>
    </row>
    <row r="142" spans="1:12" x14ac:dyDescent="0.3">
      <c r="A142" s="36" t="str">
        <f xml:space="preserve"> IF( 'From SvanPC++'!A142= "", "", ('From SvanPC++'!A142))</f>
        <v/>
      </c>
      <c r="C142" s="47" t="s">
        <v>10</v>
      </c>
      <c r="G142" s="38" t="str">
        <f t="shared" si="10"/>
        <v/>
      </c>
      <c r="H142" s="141" t="str">
        <f t="shared" si="11"/>
        <v/>
      </c>
      <c r="J142" s="141" t="str">
        <f t="shared" si="12"/>
        <v/>
      </c>
      <c r="K142" s="141" t="str">
        <f t="shared" si="13"/>
        <v/>
      </c>
      <c r="L142" s="141" t="str">
        <f t="shared" si="14"/>
        <v/>
      </c>
    </row>
    <row r="143" spans="1:12" x14ac:dyDescent="0.3">
      <c r="A143" s="36" t="str">
        <f xml:space="preserve"> IF( 'From SvanPC++'!A143= "", "", ('From SvanPC++'!A143))</f>
        <v/>
      </c>
      <c r="C143" s="47" t="s">
        <v>10</v>
      </c>
      <c r="G143" s="38" t="str">
        <f t="shared" si="10"/>
        <v/>
      </c>
      <c r="H143" s="141" t="str">
        <f t="shared" si="11"/>
        <v/>
      </c>
      <c r="J143" s="141" t="str">
        <f t="shared" si="12"/>
        <v/>
      </c>
      <c r="K143" s="141" t="str">
        <f t="shared" si="13"/>
        <v/>
      </c>
      <c r="L143" s="141" t="str">
        <f t="shared" si="14"/>
        <v/>
      </c>
    </row>
    <row r="144" spans="1:12" x14ac:dyDescent="0.3">
      <c r="A144" s="36" t="str">
        <f xml:space="preserve"> IF( 'From SvanPC++'!A144= "", "", ('From SvanPC++'!A144))</f>
        <v/>
      </c>
      <c r="C144" s="47" t="s">
        <v>10</v>
      </c>
      <c r="G144" s="38" t="str">
        <f t="shared" si="10"/>
        <v/>
      </c>
      <c r="H144" s="141" t="str">
        <f t="shared" si="11"/>
        <v/>
      </c>
      <c r="J144" s="141" t="str">
        <f t="shared" si="12"/>
        <v/>
      </c>
      <c r="K144" s="141" t="str">
        <f t="shared" si="13"/>
        <v/>
      </c>
      <c r="L144" s="141" t="str">
        <f t="shared" si="14"/>
        <v/>
      </c>
    </row>
    <row r="145" spans="1:12" x14ac:dyDescent="0.3">
      <c r="A145" s="36" t="str">
        <f xml:space="preserve"> IF( 'From SvanPC++'!A145= "", "", ('From SvanPC++'!A145))</f>
        <v/>
      </c>
      <c r="C145" s="47" t="s">
        <v>10</v>
      </c>
      <c r="G145" s="38" t="str">
        <f t="shared" si="10"/>
        <v/>
      </c>
      <c r="H145" s="141" t="str">
        <f t="shared" si="11"/>
        <v/>
      </c>
      <c r="J145" s="141" t="str">
        <f t="shared" si="12"/>
        <v/>
      </c>
      <c r="K145" s="141" t="str">
        <f t="shared" si="13"/>
        <v/>
      </c>
      <c r="L145" s="141" t="str">
        <f t="shared" si="14"/>
        <v/>
      </c>
    </row>
    <row r="146" spans="1:12" x14ac:dyDescent="0.3">
      <c r="A146" s="36" t="str">
        <f xml:space="preserve"> IF( 'From SvanPC++'!A146= "", "", ('From SvanPC++'!A146))</f>
        <v/>
      </c>
      <c r="C146" s="47" t="s">
        <v>10</v>
      </c>
      <c r="G146" s="38" t="str">
        <f t="shared" si="10"/>
        <v/>
      </c>
      <c r="H146" s="141" t="str">
        <f t="shared" si="11"/>
        <v/>
      </c>
      <c r="J146" s="141" t="str">
        <f t="shared" si="12"/>
        <v/>
      </c>
      <c r="K146" s="141" t="str">
        <f t="shared" si="13"/>
        <v/>
      </c>
      <c r="L146" s="141" t="str">
        <f t="shared" si="14"/>
        <v/>
      </c>
    </row>
    <row r="147" spans="1:12" x14ac:dyDescent="0.3">
      <c r="A147" s="36" t="str">
        <f xml:space="preserve"> IF( 'From SvanPC++'!A147= "", "", ('From SvanPC++'!A147))</f>
        <v/>
      </c>
      <c r="C147" s="47" t="s">
        <v>10</v>
      </c>
      <c r="G147" s="38" t="str">
        <f t="shared" si="10"/>
        <v/>
      </c>
      <c r="H147" s="141" t="str">
        <f t="shared" si="11"/>
        <v/>
      </c>
      <c r="J147" s="141" t="str">
        <f t="shared" si="12"/>
        <v/>
      </c>
      <c r="K147" s="141" t="str">
        <f t="shared" si="13"/>
        <v/>
      </c>
      <c r="L147" s="141" t="str">
        <f t="shared" si="14"/>
        <v/>
      </c>
    </row>
    <row r="148" spans="1:12" x14ac:dyDescent="0.3">
      <c r="A148" s="36" t="str">
        <f xml:space="preserve"> IF( 'From SvanPC++'!A148= "", "", ('From SvanPC++'!A148))</f>
        <v/>
      </c>
      <c r="C148" s="47" t="s">
        <v>10</v>
      </c>
      <c r="G148" s="38" t="str">
        <f t="shared" si="10"/>
        <v/>
      </c>
      <c r="H148" s="141" t="str">
        <f t="shared" si="11"/>
        <v/>
      </c>
      <c r="J148" s="141" t="str">
        <f t="shared" si="12"/>
        <v/>
      </c>
      <c r="K148" s="141" t="str">
        <f t="shared" si="13"/>
        <v/>
      </c>
      <c r="L148" s="141" t="str">
        <f t="shared" si="14"/>
        <v/>
      </c>
    </row>
    <row r="149" spans="1:12" x14ac:dyDescent="0.3">
      <c r="A149" s="36" t="str">
        <f xml:space="preserve"> IF( 'From SvanPC++'!A149= "", "", ('From SvanPC++'!A149))</f>
        <v/>
      </c>
      <c r="C149" s="47" t="s">
        <v>10</v>
      </c>
      <c r="G149" s="38" t="str">
        <f t="shared" si="10"/>
        <v/>
      </c>
      <c r="H149" s="141" t="str">
        <f t="shared" si="11"/>
        <v/>
      </c>
      <c r="J149" s="141" t="str">
        <f t="shared" si="12"/>
        <v/>
      </c>
      <c r="K149" s="141" t="str">
        <f t="shared" si="13"/>
        <v/>
      </c>
      <c r="L149" s="141" t="str">
        <f t="shared" si="14"/>
        <v/>
      </c>
    </row>
    <row r="150" spans="1:12" x14ac:dyDescent="0.3">
      <c r="A150" s="36" t="str">
        <f xml:space="preserve"> IF( 'From SvanPC++'!A150= "", "", ('From SvanPC++'!A150))</f>
        <v/>
      </c>
      <c r="C150" s="47" t="s">
        <v>10</v>
      </c>
      <c r="G150" s="38" t="str">
        <f t="shared" si="10"/>
        <v/>
      </c>
      <c r="H150" s="141" t="str">
        <f t="shared" si="11"/>
        <v/>
      </c>
      <c r="J150" s="141" t="str">
        <f t="shared" si="12"/>
        <v/>
      </c>
      <c r="K150" s="141" t="str">
        <f t="shared" si="13"/>
        <v/>
      </c>
      <c r="L150" s="141" t="str">
        <f t="shared" si="14"/>
        <v/>
      </c>
    </row>
    <row r="151" spans="1:12" x14ac:dyDescent="0.3">
      <c r="A151" s="36" t="str">
        <f xml:space="preserve"> IF( 'From SvanPC++'!A151= "", "", ('From SvanPC++'!A151))</f>
        <v/>
      </c>
      <c r="C151" s="47" t="s">
        <v>10</v>
      </c>
      <c r="G151" s="38" t="str">
        <f t="shared" si="10"/>
        <v/>
      </c>
      <c r="H151" s="36" t="str">
        <f t="shared" ref="H151:H214" si="15" xml:space="preserve"> IF( D151= "", "", ( IF( AND( D151 &gt;= TIMEVALUE( "07:00:01" ), D151 &lt;= TIMEVALUE( "13:00:00" ), WEEKDAY( C151) =(7+N("Lines 2-17 = saturday day period")) ) = TRUE, "Day",
IF( AND( D151 &gt;= TIMEVALUE( "07:00:01" ), D151 &lt;= TIMEVALUE( "18:00:00" ), WEEKDAY( C151,1+N("Lines 19-38 = weekday day period")) &gt;=2, ( WEEKDAY( C151,1) &lt;=6) ) = TRUE, "Day",
IF( AND( D151 &gt;= TIMEVALUE( "13:00:01" ), D151 &lt;= TIMEVALUE( "22:00:00" ), WEEKDAY( C151) =(7+N("Lines 40-56 = saturday evening period")) ) = TRUE, "Evening",
IF( AND( D151 &gt;= TIMEVALUE( "18:00:01" ), D151 &lt;= TIMEVALUE( "22:00:00" ), WEEKDAY( C151,1+N("Lines 57-77 = weekday evening period")) &gt;=2, ( WEEKDAY( C151,1) &lt;=6) ) = TRUE, "Evening",
IF( AND( D151 &gt;= TIMEVALUE( "07:00:01" ), D151 &lt;= TIMEVALUE( "22:00:00" ), WEEKDAY( C151) =(1+N("Lines 78-94 = sunday evening period")) ) = TRUE, "Evening",
IF( AND( D151 &gt;= TIMEVALUE( "22:00:01" ), D151 &lt;= TIMEVALUE( "23:59:59" ), WEEKDAY( C151) =(7+N("Lines 95-111 = saturday night1 period")) ) = TRUE, "Night",
IF( AND( D151 &gt;= TIMEVALUE( "00:00:00" ), D151 &lt;= TIMEVALUE( "07:00:00" ), WEEKDAY( C151) =(7+N("Lines 112-128 = saturday night2 period")) ) = TRUE, "Night",
IF( AND( D151 &gt;= TIMEVALUE( "22:00:01" ), D151 &lt;= TIMEVALUE( "23:59:59" ), WEEKDAY( C151,1+N("Lines 129-149 = weekday night1 period")) &gt;=2, ( WEEKDAY( C151,1) &lt;=6) ) = TRUE, "Night",
IF( AND( D151 &gt;= TIMEVALUE( "00:00:00" ), D151 &lt;= TIMEVALUE( "07:00:00" ), WEEKDAY( C151,1+N("Lines 150-170 = weekday night2 period")) &gt;=2, ( WEEKDAY( C151,1) &lt;=6) ) = TRUE, "Night",
IF( AND( D151 &gt;= TIMEVALUE( "20:00:01" ), D151 &lt;= TIMEVALUE( "23:59:59" ), WEEKDAY( C151) =(1+N("Lines 171-187 = sunday night1 period")) ) = TRUE, "Night",
IF( AND( D151 &gt;= TIMEVALUE( "00:00:00" ), D151 &lt;= TIMEVALUE( "07:00:00" ), WEEKDAY( C151) =(1+N("Lines 188-204 = sunday night2 period")) ) = TRUE, "Night", )))))))))))))</f>
        <v/>
      </c>
      <c r="J151" s="141" t="str">
        <f t="shared" si="12"/>
        <v/>
      </c>
      <c r="K151" s="141" t="str">
        <f t="shared" si="13"/>
        <v/>
      </c>
      <c r="L151" s="141" t="str">
        <f t="shared" si="14"/>
        <v/>
      </c>
    </row>
    <row r="152" spans="1:12" x14ac:dyDescent="0.3">
      <c r="A152" s="36" t="str">
        <f xml:space="preserve"> IF( 'From SvanPC++'!A152= "", "", ('From SvanPC++'!A152))</f>
        <v/>
      </c>
      <c r="C152" s="47" t="s">
        <v>10</v>
      </c>
      <c r="G152" s="38" t="str">
        <f t="shared" si="10"/>
        <v/>
      </c>
      <c r="H152" s="36" t="str">
        <f t="shared" si="15"/>
        <v/>
      </c>
      <c r="J152" s="141" t="str">
        <f t="shared" si="12"/>
        <v/>
      </c>
      <c r="K152" s="141" t="str">
        <f t="shared" si="13"/>
        <v/>
      </c>
      <c r="L152" s="141" t="str">
        <f t="shared" si="14"/>
        <v/>
      </c>
    </row>
    <row r="153" spans="1:12" x14ac:dyDescent="0.3">
      <c r="A153" s="36" t="str">
        <f xml:space="preserve"> IF( 'From SvanPC++'!A153= "", "", ('From SvanPC++'!A153))</f>
        <v/>
      </c>
      <c r="C153" s="47" t="s">
        <v>10</v>
      </c>
      <c r="G153" s="38" t="str">
        <f t="shared" si="10"/>
        <v/>
      </c>
      <c r="H153" s="36" t="str">
        <f t="shared" si="15"/>
        <v/>
      </c>
      <c r="J153" s="141" t="str">
        <f t="shared" si="12"/>
        <v/>
      </c>
      <c r="K153" s="141" t="str">
        <f t="shared" si="13"/>
        <v/>
      </c>
      <c r="L153" s="141" t="str">
        <f t="shared" si="14"/>
        <v/>
      </c>
    </row>
    <row r="154" spans="1:12" x14ac:dyDescent="0.3">
      <c r="A154" s="36" t="str">
        <f xml:space="preserve"> IF( 'From SvanPC++'!A154= "", "", ('From SvanPC++'!A154))</f>
        <v/>
      </c>
      <c r="C154" s="47" t="s">
        <v>10</v>
      </c>
      <c r="G154" s="38" t="str">
        <f t="shared" si="10"/>
        <v/>
      </c>
      <c r="H154" s="36" t="str">
        <f t="shared" si="15"/>
        <v/>
      </c>
      <c r="J154" s="141" t="str">
        <f t="shared" si="12"/>
        <v/>
      </c>
      <c r="K154" s="141" t="str">
        <f t="shared" si="13"/>
        <v/>
      </c>
      <c r="L154" s="141" t="str">
        <f t="shared" si="14"/>
        <v/>
      </c>
    </row>
    <row r="155" spans="1:12" x14ac:dyDescent="0.3">
      <c r="A155" s="36" t="str">
        <f xml:space="preserve"> IF( 'From SvanPC++'!A155= "", "", ('From SvanPC++'!A155))</f>
        <v/>
      </c>
      <c r="C155" s="47" t="s">
        <v>10</v>
      </c>
      <c r="G155" s="38" t="str">
        <f t="shared" si="10"/>
        <v/>
      </c>
      <c r="H155" s="36" t="str">
        <f t="shared" si="15"/>
        <v/>
      </c>
      <c r="J155" s="141" t="str">
        <f t="shared" si="12"/>
        <v/>
      </c>
      <c r="K155" s="141" t="str">
        <f t="shared" si="13"/>
        <v/>
      </c>
      <c r="L155" s="141" t="str">
        <f t="shared" si="14"/>
        <v/>
      </c>
    </row>
    <row r="156" spans="1:12" x14ac:dyDescent="0.3">
      <c r="A156" s="36" t="str">
        <f xml:space="preserve"> IF( 'From SvanPC++'!A156= "", "", ('From SvanPC++'!A156))</f>
        <v/>
      </c>
      <c r="C156" s="47" t="s">
        <v>10</v>
      </c>
      <c r="G156" s="38" t="str">
        <f t="shared" si="10"/>
        <v/>
      </c>
      <c r="H156" s="36" t="str">
        <f t="shared" si="15"/>
        <v/>
      </c>
      <c r="J156" s="141" t="str">
        <f t="shared" si="12"/>
        <v/>
      </c>
      <c r="K156" s="141" t="str">
        <f t="shared" si="13"/>
        <v/>
      </c>
      <c r="L156" s="141" t="str">
        <f t="shared" si="14"/>
        <v/>
      </c>
    </row>
    <row r="157" spans="1:12" x14ac:dyDescent="0.3">
      <c r="A157" s="36" t="str">
        <f xml:space="preserve"> IF( 'From SvanPC++'!A157= "", "", ('From SvanPC++'!A157))</f>
        <v/>
      </c>
      <c r="C157" s="47" t="s">
        <v>10</v>
      </c>
      <c r="G157" s="38" t="str">
        <f t="shared" si="10"/>
        <v/>
      </c>
      <c r="H157" s="36" t="str">
        <f t="shared" si="15"/>
        <v/>
      </c>
      <c r="J157" s="141" t="str">
        <f t="shared" si="12"/>
        <v/>
      </c>
      <c r="K157" s="141" t="str">
        <f t="shared" si="13"/>
        <v/>
      </c>
      <c r="L157" s="141" t="str">
        <f t="shared" si="14"/>
        <v/>
      </c>
    </row>
    <row r="158" spans="1:12" x14ac:dyDescent="0.3">
      <c r="A158" s="36" t="str">
        <f xml:space="preserve"> IF( 'From SvanPC++'!A158= "", "", ('From SvanPC++'!A158))</f>
        <v/>
      </c>
      <c r="C158" s="47" t="s">
        <v>10</v>
      </c>
      <c r="G158" s="38" t="str">
        <f t="shared" si="10"/>
        <v/>
      </c>
      <c r="H158" s="36" t="str">
        <f t="shared" si="15"/>
        <v/>
      </c>
      <c r="J158" s="141" t="str">
        <f t="shared" si="12"/>
        <v/>
      </c>
      <c r="K158" s="141" t="str">
        <f t="shared" si="13"/>
        <v/>
      </c>
      <c r="L158" s="141" t="str">
        <f t="shared" si="14"/>
        <v/>
      </c>
    </row>
    <row r="159" spans="1:12" x14ac:dyDescent="0.3">
      <c r="A159" s="36" t="str">
        <f xml:space="preserve"> IF( 'From SvanPC++'!A159= "", "", ('From SvanPC++'!A159))</f>
        <v/>
      </c>
      <c r="C159" s="47" t="s">
        <v>10</v>
      </c>
      <c r="G159" s="38" t="str">
        <f t="shared" si="10"/>
        <v/>
      </c>
      <c r="H159" s="36" t="str">
        <f t="shared" si="15"/>
        <v/>
      </c>
      <c r="J159" s="141" t="str">
        <f t="shared" si="12"/>
        <v/>
      </c>
      <c r="K159" s="141" t="str">
        <f t="shared" si="13"/>
        <v/>
      </c>
      <c r="L159" s="141" t="str">
        <f t="shared" si="14"/>
        <v/>
      </c>
    </row>
    <row r="160" spans="1:12" x14ac:dyDescent="0.3">
      <c r="A160" s="36" t="str">
        <f xml:space="preserve"> IF( 'From SvanPC++'!A160= "", "", ('From SvanPC++'!A160))</f>
        <v/>
      </c>
      <c r="C160" s="47" t="s">
        <v>10</v>
      </c>
      <c r="G160" s="38" t="str">
        <f t="shared" si="10"/>
        <v/>
      </c>
      <c r="H160" s="36" t="str">
        <f t="shared" si="15"/>
        <v/>
      </c>
      <c r="J160" s="141" t="str">
        <f t="shared" si="12"/>
        <v/>
      </c>
      <c r="K160" s="141" t="str">
        <f t="shared" si="13"/>
        <v/>
      </c>
      <c r="L160" s="141" t="str">
        <f t="shared" si="14"/>
        <v/>
      </c>
    </row>
    <row r="161" spans="1:12" x14ac:dyDescent="0.3">
      <c r="A161" s="36" t="str">
        <f xml:space="preserve"> IF( 'From SvanPC++'!A161= "", "", ('From SvanPC++'!A161))</f>
        <v/>
      </c>
      <c r="C161" s="47" t="s">
        <v>10</v>
      </c>
      <c r="G161" s="38" t="str">
        <f t="shared" si="10"/>
        <v/>
      </c>
      <c r="H161" s="36" t="str">
        <f t="shared" si="15"/>
        <v/>
      </c>
      <c r="J161" s="141" t="str">
        <f t="shared" si="12"/>
        <v/>
      </c>
      <c r="K161" s="141" t="str">
        <f t="shared" si="13"/>
        <v/>
      </c>
      <c r="L161" s="141" t="str">
        <f t="shared" si="14"/>
        <v/>
      </c>
    </row>
    <row r="162" spans="1:12" x14ac:dyDescent="0.3">
      <c r="A162" s="36" t="str">
        <f xml:space="preserve"> IF( 'From SvanPC++'!A162= "", "", ('From SvanPC++'!A162))</f>
        <v/>
      </c>
      <c r="C162" s="47" t="s">
        <v>10</v>
      </c>
      <c r="G162" s="38" t="str">
        <f t="shared" si="10"/>
        <v/>
      </c>
      <c r="H162" s="36" t="str">
        <f t="shared" si="15"/>
        <v/>
      </c>
      <c r="J162" s="141" t="str">
        <f t="shared" si="12"/>
        <v/>
      </c>
      <c r="K162" s="141" t="str">
        <f t="shared" si="13"/>
        <v/>
      </c>
      <c r="L162" s="141" t="str">
        <f t="shared" si="14"/>
        <v/>
      </c>
    </row>
    <row r="163" spans="1:12" x14ac:dyDescent="0.3">
      <c r="A163" s="36" t="str">
        <f xml:space="preserve"> IF( 'From SvanPC++'!A163= "", "", ('From SvanPC++'!A163))</f>
        <v/>
      </c>
      <c r="C163" s="47" t="s">
        <v>10</v>
      </c>
      <c r="G163" s="38" t="str">
        <f t="shared" si="10"/>
        <v/>
      </c>
      <c r="H163" s="36" t="str">
        <f t="shared" si="15"/>
        <v/>
      </c>
      <c r="J163" s="141" t="str">
        <f t="shared" si="12"/>
        <v/>
      </c>
      <c r="K163" s="141" t="str">
        <f t="shared" si="13"/>
        <v/>
      </c>
      <c r="L163" s="141" t="str">
        <f t="shared" si="14"/>
        <v/>
      </c>
    </row>
    <row r="164" spans="1:12" x14ac:dyDescent="0.3">
      <c r="A164" s="36" t="str">
        <f xml:space="preserve"> IF( 'From SvanPC++'!A164= "", "", ('From SvanPC++'!A164))</f>
        <v/>
      </c>
      <c r="C164" s="47" t="s">
        <v>10</v>
      </c>
      <c r="G164" s="38" t="str">
        <f t="shared" si="10"/>
        <v/>
      </c>
      <c r="H164" s="36" t="str">
        <f t="shared" si="15"/>
        <v/>
      </c>
      <c r="J164" s="141" t="str">
        <f t="shared" si="12"/>
        <v/>
      </c>
      <c r="K164" s="141" t="str">
        <f t="shared" si="13"/>
        <v/>
      </c>
      <c r="L164" s="141" t="str">
        <f t="shared" si="14"/>
        <v/>
      </c>
    </row>
    <row r="165" spans="1:12" x14ac:dyDescent="0.3">
      <c r="A165" s="36" t="str">
        <f xml:space="preserve"> IF( 'From SvanPC++'!A165= "", "", ('From SvanPC++'!A165))</f>
        <v/>
      </c>
      <c r="C165" s="47" t="s">
        <v>10</v>
      </c>
      <c r="G165" s="38" t="str">
        <f t="shared" si="10"/>
        <v/>
      </c>
      <c r="H165" s="36" t="str">
        <f t="shared" si="15"/>
        <v/>
      </c>
      <c r="J165" s="141" t="str">
        <f t="shared" si="12"/>
        <v/>
      </c>
      <c r="K165" s="141" t="str">
        <f t="shared" si="13"/>
        <v/>
      </c>
      <c r="L165" s="141" t="str">
        <f t="shared" si="14"/>
        <v/>
      </c>
    </row>
    <row r="166" spans="1:12" x14ac:dyDescent="0.3">
      <c r="A166" s="36" t="str">
        <f xml:space="preserve"> IF( 'From SvanPC++'!A166= "", "", ('From SvanPC++'!A166))</f>
        <v/>
      </c>
      <c r="C166" s="47" t="s">
        <v>10</v>
      </c>
      <c r="G166" s="38" t="str">
        <f t="shared" si="10"/>
        <v/>
      </c>
      <c r="H166" s="36" t="str">
        <f t="shared" si="15"/>
        <v/>
      </c>
      <c r="J166" s="141" t="str">
        <f t="shared" si="12"/>
        <v/>
      </c>
      <c r="K166" s="141" t="str">
        <f t="shared" si="13"/>
        <v/>
      </c>
      <c r="L166" s="141" t="str">
        <f t="shared" si="14"/>
        <v/>
      </c>
    </row>
    <row r="167" spans="1:12" x14ac:dyDescent="0.3">
      <c r="A167" s="36" t="str">
        <f xml:space="preserve"> IF( 'From SvanPC++'!A167= "", "", ('From SvanPC++'!A167))</f>
        <v/>
      </c>
      <c r="C167" s="47" t="s">
        <v>10</v>
      </c>
      <c r="G167" s="38" t="str">
        <f t="shared" si="10"/>
        <v/>
      </c>
      <c r="H167" s="36" t="str">
        <f t="shared" si="15"/>
        <v/>
      </c>
      <c r="J167" s="141" t="str">
        <f t="shared" si="12"/>
        <v/>
      </c>
      <c r="K167" s="141" t="str">
        <f t="shared" si="13"/>
        <v/>
      </c>
      <c r="L167" s="141" t="str">
        <f t="shared" si="14"/>
        <v/>
      </c>
    </row>
    <row r="168" spans="1:12" x14ac:dyDescent="0.3">
      <c r="A168" s="36" t="str">
        <f xml:space="preserve"> IF( 'From SvanPC++'!A168= "", "", ('From SvanPC++'!A168))</f>
        <v/>
      </c>
      <c r="C168" s="47" t="s">
        <v>10</v>
      </c>
      <c r="G168" s="38" t="str">
        <f t="shared" si="10"/>
        <v/>
      </c>
      <c r="H168" s="36" t="str">
        <f t="shared" si="15"/>
        <v/>
      </c>
      <c r="J168" s="141" t="str">
        <f t="shared" si="12"/>
        <v/>
      </c>
      <c r="K168" s="141" t="str">
        <f t="shared" si="13"/>
        <v/>
      </c>
      <c r="L168" s="141" t="str">
        <f t="shared" si="14"/>
        <v/>
      </c>
    </row>
    <row r="169" spans="1:12" x14ac:dyDescent="0.3">
      <c r="A169" s="36" t="str">
        <f xml:space="preserve"> IF( 'From SvanPC++'!A169= "", "", ('From SvanPC++'!A169))</f>
        <v/>
      </c>
      <c r="C169" s="47" t="s">
        <v>10</v>
      </c>
      <c r="G169" s="38" t="str">
        <f t="shared" si="10"/>
        <v/>
      </c>
      <c r="H169" s="36" t="str">
        <f t="shared" si="15"/>
        <v/>
      </c>
      <c r="J169" s="141" t="str">
        <f t="shared" si="12"/>
        <v/>
      </c>
      <c r="K169" s="141" t="str">
        <f t="shared" si="13"/>
        <v/>
      </c>
      <c r="L169" s="141" t="str">
        <f t="shared" si="14"/>
        <v/>
      </c>
    </row>
    <row r="170" spans="1:12" x14ac:dyDescent="0.3">
      <c r="A170" s="36" t="str">
        <f xml:space="preserve"> IF( 'From SvanPC++'!A170= "", "", ('From SvanPC++'!A170))</f>
        <v/>
      </c>
      <c r="C170" s="47" t="s">
        <v>10</v>
      </c>
      <c r="G170" s="38" t="str">
        <f t="shared" si="10"/>
        <v/>
      </c>
      <c r="H170" s="36" t="str">
        <f t="shared" si="15"/>
        <v/>
      </c>
      <c r="J170" s="141" t="str">
        <f t="shared" si="12"/>
        <v/>
      </c>
      <c r="K170" s="141" t="str">
        <f t="shared" si="13"/>
        <v/>
      </c>
      <c r="L170" s="141" t="str">
        <f t="shared" si="14"/>
        <v/>
      </c>
    </row>
    <row r="171" spans="1:12" x14ac:dyDescent="0.3">
      <c r="A171" s="36" t="str">
        <f xml:space="preserve"> IF( 'From SvanPC++'!A171= "", "", ('From SvanPC++'!A171))</f>
        <v/>
      </c>
      <c r="C171" s="47" t="s">
        <v>10</v>
      </c>
      <c r="G171" s="38" t="str">
        <f t="shared" si="10"/>
        <v/>
      </c>
      <c r="H171" s="36" t="str">
        <f t="shared" si="15"/>
        <v/>
      </c>
      <c r="J171" s="141" t="str">
        <f t="shared" si="12"/>
        <v/>
      </c>
      <c r="K171" s="141" t="str">
        <f t="shared" si="13"/>
        <v/>
      </c>
      <c r="L171" s="141" t="str">
        <f t="shared" si="14"/>
        <v/>
      </c>
    </row>
    <row r="172" spans="1:12" x14ac:dyDescent="0.3">
      <c r="A172" s="36" t="str">
        <f xml:space="preserve"> IF( 'From SvanPC++'!A172= "", "", ('From SvanPC++'!A172))</f>
        <v/>
      </c>
      <c r="C172" s="47" t="s">
        <v>10</v>
      </c>
      <c r="G172" s="38" t="str">
        <f t="shared" si="10"/>
        <v/>
      </c>
      <c r="H172" s="36" t="str">
        <f t="shared" si="15"/>
        <v/>
      </c>
      <c r="J172" s="141" t="str">
        <f t="shared" si="12"/>
        <v/>
      </c>
      <c r="K172" s="141" t="str">
        <f t="shared" si="13"/>
        <v/>
      </c>
      <c r="L172" s="141" t="str">
        <f t="shared" si="14"/>
        <v/>
      </c>
    </row>
    <row r="173" spans="1:12" x14ac:dyDescent="0.3">
      <c r="A173" s="36" t="str">
        <f xml:space="preserve"> IF( 'From SvanPC++'!A173= "", "", ('From SvanPC++'!A173))</f>
        <v/>
      </c>
      <c r="C173" s="47" t="s">
        <v>10</v>
      </c>
      <c r="G173" s="38" t="str">
        <f t="shared" si="10"/>
        <v/>
      </c>
      <c r="H173" s="36" t="str">
        <f t="shared" si="15"/>
        <v/>
      </c>
      <c r="J173" s="141" t="str">
        <f t="shared" si="12"/>
        <v/>
      </c>
      <c r="K173" s="141" t="str">
        <f t="shared" si="13"/>
        <v/>
      </c>
      <c r="L173" s="141" t="str">
        <f t="shared" si="14"/>
        <v/>
      </c>
    </row>
    <row r="174" spans="1:12" x14ac:dyDescent="0.3">
      <c r="A174" s="36" t="str">
        <f xml:space="preserve"> IF( 'From SvanPC++'!A174= "", "", ('From SvanPC++'!A174))</f>
        <v/>
      </c>
      <c r="C174" s="47" t="s">
        <v>10</v>
      </c>
      <c r="G174" s="38" t="str">
        <f t="shared" si="10"/>
        <v/>
      </c>
      <c r="H174" s="36" t="str">
        <f t="shared" si="15"/>
        <v/>
      </c>
      <c r="J174" s="141" t="str">
        <f t="shared" si="12"/>
        <v/>
      </c>
      <c r="K174" s="141" t="str">
        <f t="shared" si="13"/>
        <v/>
      </c>
      <c r="L174" s="141" t="str">
        <f t="shared" si="14"/>
        <v/>
      </c>
    </row>
    <row r="175" spans="1:12" x14ac:dyDescent="0.3">
      <c r="A175" s="36" t="str">
        <f xml:space="preserve"> IF( 'From SvanPC++'!A175= "", "", ('From SvanPC++'!A175))</f>
        <v/>
      </c>
      <c r="C175" s="47" t="s">
        <v>10</v>
      </c>
      <c r="G175" s="38" t="str">
        <f t="shared" si="10"/>
        <v/>
      </c>
      <c r="H175" s="36" t="str">
        <f t="shared" si="15"/>
        <v/>
      </c>
      <c r="J175" s="141" t="str">
        <f t="shared" si="12"/>
        <v/>
      </c>
      <c r="K175" s="141" t="str">
        <f t="shared" si="13"/>
        <v/>
      </c>
      <c r="L175" s="141" t="str">
        <f t="shared" si="14"/>
        <v/>
      </c>
    </row>
    <row r="176" spans="1:12" x14ac:dyDescent="0.3">
      <c r="A176" s="36" t="str">
        <f xml:space="preserve"> IF( 'From SvanPC++'!A176= "", "", ('From SvanPC++'!A176))</f>
        <v/>
      </c>
      <c r="C176" s="47" t="s">
        <v>10</v>
      </c>
      <c r="G176" s="38" t="str">
        <f t="shared" si="10"/>
        <v/>
      </c>
      <c r="H176" s="36" t="str">
        <f t="shared" si="15"/>
        <v/>
      </c>
      <c r="J176" s="141" t="str">
        <f t="shared" si="12"/>
        <v/>
      </c>
      <c r="K176" s="141" t="str">
        <f t="shared" si="13"/>
        <v/>
      </c>
      <c r="L176" s="141" t="str">
        <f t="shared" si="14"/>
        <v/>
      </c>
    </row>
    <row r="177" spans="1:12" x14ac:dyDescent="0.3">
      <c r="A177" s="36" t="str">
        <f xml:space="preserve"> IF( 'From SvanPC++'!A177= "", "", ('From SvanPC++'!A177))</f>
        <v/>
      </c>
      <c r="C177" s="47" t="s">
        <v>10</v>
      </c>
      <c r="G177" s="38" t="str">
        <f t="shared" si="10"/>
        <v/>
      </c>
      <c r="H177" s="36" t="str">
        <f t="shared" si="15"/>
        <v/>
      </c>
      <c r="J177" s="141" t="str">
        <f t="shared" si="12"/>
        <v/>
      </c>
      <c r="K177" s="141" t="str">
        <f t="shared" si="13"/>
        <v/>
      </c>
      <c r="L177" s="141" t="str">
        <f t="shared" si="14"/>
        <v/>
      </c>
    </row>
    <row r="178" spans="1:12" x14ac:dyDescent="0.3">
      <c r="A178" s="36" t="str">
        <f xml:space="preserve"> IF( 'From SvanPC++'!A178= "", "", ('From SvanPC++'!A178))</f>
        <v/>
      </c>
      <c r="C178" s="47" t="s">
        <v>10</v>
      </c>
      <c r="G178" s="38" t="str">
        <f t="shared" si="10"/>
        <v/>
      </c>
      <c r="H178" s="36" t="str">
        <f t="shared" si="15"/>
        <v/>
      </c>
      <c r="J178" s="141" t="str">
        <f t="shared" si="12"/>
        <v/>
      </c>
      <c r="K178" s="141" t="str">
        <f t="shared" si="13"/>
        <v/>
      </c>
      <c r="L178" s="141" t="str">
        <f t="shared" si="14"/>
        <v/>
      </c>
    </row>
    <row r="179" spans="1:12" x14ac:dyDescent="0.3">
      <c r="A179" s="36" t="str">
        <f xml:space="preserve"> IF( 'From SvanPC++'!A179= "", "", ('From SvanPC++'!A179))</f>
        <v/>
      </c>
      <c r="C179" s="47" t="s">
        <v>10</v>
      </c>
      <c r="G179" s="38" t="str">
        <f t="shared" si="10"/>
        <v/>
      </c>
      <c r="H179" s="36" t="str">
        <f t="shared" si="15"/>
        <v/>
      </c>
      <c r="J179" s="141" t="str">
        <f t="shared" si="12"/>
        <v/>
      </c>
      <c r="K179" s="141" t="str">
        <f t="shared" si="13"/>
        <v/>
      </c>
      <c r="L179" s="141" t="str">
        <f t="shared" si="14"/>
        <v/>
      </c>
    </row>
    <row r="180" spans="1:12" x14ac:dyDescent="0.3">
      <c r="A180" s="36" t="str">
        <f xml:space="preserve"> IF( 'From SvanPC++'!A180= "", "", ('From SvanPC++'!A180))</f>
        <v/>
      </c>
      <c r="C180" s="47" t="s">
        <v>10</v>
      </c>
      <c r="G180" s="38" t="str">
        <f t="shared" si="10"/>
        <v/>
      </c>
      <c r="H180" s="36" t="str">
        <f t="shared" si="15"/>
        <v/>
      </c>
      <c r="J180" s="141" t="str">
        <f t="shared" si="12"/>
        <v/>
      </c>
      <c r="K180" s="141" t="str">
        <f t="shared" si="13"/>
        <v/>
      </c>
      <c r="L180" s="141" t="str">
        <f t="shared" si="14"/>
        <v/>
      </c>
    </row>
    <row r="181" spans="1:12" x14ac:dyDescent="0.3">
      <c r="A181" s="36" t="str">
        <f xml:space="preserve"> IF( 'From SvanPC++'!A181= "", "", ('From SvanPC++'!A181))</f>
        <v/>
      </c>
      <c r="C181" s="47" t="s">
        <v>10</v>
      </c>
      <c r="G181" s="38" t="str">
        <f t="shared" si="10"/>
        <v/>
      </c>
      <c r="H181" s="36" t="str">
        <f t="shared" si="15"/>
        <v/>
      </c>
      <c r="J181" s="141" t="str">
        <f t="shared" si="12"/>
        <v/>
      </c>
      <c r="K181" s="141" t="str">
        <f t="shared" si="13"/>
        <v/>
      </c>
      <c r="L181" s="141" t="str">
        <f t="shared" si="14"/>
        <v/>
      </c>
    </row>
    <row r="182" spans="1:12" x14ac:dyDescent="0.3">
      <c r="A182" s="36" t="str">
        <f xml:space="preserve"> IF( 'From SvanPC++'!A182= "", "", ('From SvanPC++'!A182))</f>
        <v/>
      </c>
      <c r="C182" s="47" t="s">
        <v>10</v>
      </c>
      <c r="G182" s="38" t="str">
        <f t="shared" si="10"/>
        <v/>
      </c>
      <c r="H182" s="36" t="str">
        <f t="shared" si="15"/>
        <v/>
      </c>
      <c r="J182" s="141" t="str">
        <f t="shared" si="12"/>
        <v/>
      </c>
      <c r="K182" s="141" t="str">
        <f t="shared" si="13"/>
        <v/>
      </c>
      <c r="L182" s="141" t="str">
        <f t="shared" si="14"/>
        <v/>
      </c>
    </row>
    <row r="183" spans="1:12" x14ac:dyDescent="0.3">
      <c r="A183" s="36" t="str">
        <f xml:space="preserve"> IF( 'From SvanPC++'!A183= "", "", ('From SvanPC++'!A183))</f>
        <v/>
      </c>
      <c r="C183" s="47" t="s">
        <v>10</v>
      </c>
      <c r="G183" s="38" t="str">
        <f t="shared" si="10"/>
        <v/>
      </c>
      <c r="H183" s="36" t="str">
        <f t="shared" si="15"/>
        <v/>
      </c>
      <c r="J183" s="141" t="str">
        <f t="shared" si="12"/>
        <v/>
      </c>
      <c r="K183" s="141" t="str">
        <f t="shared" si="13"/>
        <v/>
      </c>
      <c r="L183" s="141" t="str">
        <f t="shared" si="14"/>
        <v/>
      </c>
    </row>
    <row r="184" spans="1:12" x14ac:dyDescent="0.3">
      <c r="A184" s="36" t="str">
        <f xml:space="preserve"> IF( 'From SvanPC++'!A184= "", "", ('From SvanPC++'!A184))</f>
        <v/>
      </c>
      <c r="C184" s="47" t="s">
        <v>10</v>
      </c>
      <c r="G184" s="38" t="str">
        <f t="shared" si="10"/>
        <v/>
      </c>
      <c r="H184" s="36" t="str">
        <f t="shared" si="15"/>
        <v/>
      </c>
      <c r="J184" s="141" t="str">
        <f t="shared" si="12"/>
        <v/>
      </c>
      <c r="K184" s="141" t="str">
        <f t="shared" si="13"/>
        <v/>
      </c>
      <c r="L184" s="141" t="str">
        <f t="shared" si="14"/>
        <v/>
      </c>
    </row>
    <row r="185" spans="1:12" x14ac:dyDescent="0.3">
      <c r="A185" s="36" t="str">
        <f xml:space="preserve"> IF( 'From SvanPC++'!A185= "", "", ('From SvanPC++'!A185))</f>
        <v/>
      </c>
      <c r="C185" s="47" t="s">
        <v>10</v>
      </c>
      <c r="G185" s="38" t="str">
        <f t="shared" si="10"/>
        <v/>
      </c>
      <c r="H185" s="36" t="str">
        <f t="shared" si="15"/>
        <v/>
      </c>
      <c r="J185" s="141" t="str">
        <f t="shared" si="12"/>
        <v/>
      </c>
      <c r="K185" s="141" t="str">
        <f t="shared" si="13"/>
        <v/>
      </c>
      <c r="L185" s="141" t="str">
        <f t="shared" si="14"/>
        <v/>
      </c>
    </row>
    <row r="186" spans="1:12" x14ac:dyDescent="0.3">
      <c r="A186" s="36" t="str">
        <f xml:space="preserve"> IF( 'From SvanPC++'!A186= "", "", ('From SvanPC++'!A186))</f>
        <v/>
      </c>
      <c r="C186" s="47" t="s">
        <v>10</v>
      </c>
      <c r="G186" s="38" t="str">
        <f t="shared" si="10"/>
        <v/>
      </c>
      <c r="H186" s="36" t="str">
        <f t="shared" si="15"/>
        <v/>
      </c>
      <c r="J186" s="141" t="str">
        <f t="shared" si="12"/>
        <v/>
      </c>
      <c r="K186" s="141" t="str">
        <f t="shared" si="13"/>
        <v/>
      </c>
      <c r="L186" s="141" t="str">
        <f t="shared" si="14"/>
        <v/>
      </c>
    </row>
    <row r="187" spans="1:12" x14ac:dyDescent="0.3">
      <c r="A187" s="36" t="str">
        <f xml:space="preserve"> IF( 'From SvanPC++'!A187= "", "", ('From SvanPC++'!A187))</f>
        <v/>
      </c>
      <c r="C187" s="47" t="s">
        <v>10</v>
      </c>
      <c r="G187" s="38" t="str">
        <f t="shared" si="10"/>
        <v/>
      </c>
      <c r="H187" s="36" t="str">
        <f t="shared" si="15"/>
        <v/>
      </c>
      <c r="J187" s="141" t="str">
        <f t="shared" si="12"/>
        <v/>
      </c>
      <c r="K187" s="141" t="str">
        <f t="shared" si="13"/>
        <v/>
      </c>
      <c r="L187" s="141" t="str">
        <f t="shared" si="14"/>
        <v/>
      </c>
    </row>
    <row r="188" spans="1:12" x14ac:dyDescent="0.3">
      <c r="A188" s="36" t="str">
        <f xml:space="preserve"> IF( 'From SvanPC++'!A188= "", "", ('From SvanPC++'!A188))</f>
        <v/>
      </c>
      <c r="C188" s="47" t="s">
        <v>10</v>
      </c>
      <c r="G188" s="38" t="str">
        <f t="shared" si="10"/>
        <v/>
      </c>
      <c r="H188" s="36" t="str">
        <f t="shared" si="15"/>
        <v/>
      </c>
      <c r="J188" s="141" t="str">
        <f t="shared" si="12"/>
        <v/>
      </c>
      <c r="K188" s="141" t="str">
        <f t="shared" si="13"/>
        <v/>
      </c>
      <c r="L188" s="141" t="str">
        <f t="shared" si="14"/>
        <v/>
      </c>
    </row>
    <row r="189" spans="1:12" x14ac:dyDescent="0.3">
      <c r="A189" s="36" t="str">
        <f xml:space="preserve"> IF( 'From SvanPC++'!A189= "", "", ('From SvanPC++'!A189))</f>
        <v/>
      </c>
      <c r="C189" s="47" t="s">
        <v>10</v>
      </c>
      <c r="G189" s="38" t="str">
        <f t="shared" si="10"/>
        <v/>
      </c>
      <c r="H189" s="36" t="str">
        <f t="shared" si="15"/>
        <v/>
      </c>
      <c r="J189" s="141" t="str">
        <f t="shared" si="12"/>
        <v/>
      </c>
      <c r="K189" s="141" t="str">
        <f t="shared" si="13"/>
        <v/>
      </c>
      <c r="L189" s="141" t="str">
        <f t="shared" si="14"/>
        <v/>
      </c>
    </row>
    <row r="190" spans="1:12" x14ac:dyDescent="0.3">
      <c r="A190" s="36" t="str">
        <f xml:space="preserve"> IF( 'From SvanPC++'!A190= "", "", ('From SvanPC++'!A190))</f>
        <v/>
      </c>
      <c r="C190" s="47" t="s">
        <v>10</v>
      </c>
      <c r="G190" s="38" t="str">
        <f t="shared" si="10"/>
        <v/>
      </c>
      <c r="H190" s="36" t="str">
        <f t="shared" si="15"/>
        <v/>
      </c>
      <c r="J190" s="141" t="str">
        <f t="shared" si="12"/>
        <v/>
      </c>
      <c r="K190" s="141" t="str">
        <f t="shared" si="13"/>
        <v/>
      </c>
      <c r="L190" s="141" t="str">
        <f t="shared" si="14"/>
        <v/>
      </c>
    </row>
    <row r="191" spans="1:12" x14ac:dyDescent="0.3">
      <c r="A191" s="36" t="str">
        <f xml:space="preserve"> IF( 'From SvanPC++'!A191= "", "", ('From SvanPC++'!A191))</f>
        <v/>
      </c>
      <c r="C191" s="47" t="s">
        <v>10</v>
      </c>
      <c r="G191" s="38" t="str">
        <f t="shared" si="10"/>
        <v/>
      </c>
      <c r="H191" s="36" t="str">
        <f t="shared" si="15"/>
        <v/>
      </c>
      <c r="J191" s="141" t="str">
        <f t="shared" si="12"/>
        <v/>
      </c>
      <c r="K191" s="141" t="str">
        <f t="shared" si="13"/>
        <v/>
      </c>
      <c r="L191" s="141" t="str">
        <f t="shared" si="14"/>
        <v/>
      </c>
    </row>
    <row r="192" spans="1:12" x14ac:dyDescent="0.3">
      <c r="A192" s="36" t="str">
        <f xml:space="preserve"> IF( 'From SvanPC++'!A192= "", "", ('From SvanPC++'!A192))</f>
        <v/>
      </c>
      <c r="C192" s="47" t="s">
        <v>10</v>
      </c>
      <c r="G192" s="38" t="str">
        <f t="shared" si="10"/>
        <v/>
      </c>
      <c r="H192" s="36" t="str">
        <f t="shared" si="15"/>
        <v/>
      </c>
      <c r="J192" s="141" t="str">
        <f t="shared" si="12"/>
        <v/>
      </c>
      <c r="K192" s="141" t="str">
        <f t="shared" si="13"/>
        <v/>
      </c>
      <c r="L192" s="141" t="str">
        <f t="shared" si="14"/>
        <v/>
      </c>
    </row>
    <row r="193" spans="1:12" x14ac:dyDescent="0.3">
      <c r="A193" s="36" t="str">
        <f xml:space="preserve"> IF( 'From SvanPC++'!A193= "", "", ('From SvanPC++'!A193))</f>
        <v/>
      </c>
      <c r="C193" s="47" t="s">
        <v>10</v>
      </c>
      <c r="G193" s="38" t="str">
        <f t="shared" si="10"/>
        <v/>
      </c>
      <c r="H193" s="36" t="str">
        <f t="shared" si="15"/>
        <v/>
      </c>
      <c r="J193" s="141" t="str">
        <f t="shared" si="12"/>
        <v/>
      </c>
      <c r="K193" s="141" t="str">
        <f t="shared" si="13"/>
        <v/>
      </c>
      <c r="L193" s="141" t="str">
        <f t="shared" si="14"/>
        <v/>
      </c>
    </row>
    <row r="194" spans="1:12" x14ac:dyDescent="0.3">
      <c r="A194" s="36" t="str">
        <f xml:space="preserve"> IF( 'From SvanPC++'!A194= "", "", ('From SvanPC++'!A194))</f>
        <v/>
      </c>
      <c r="C194" s="47" t="s">
        <v>10</v>
      </c>
      <c r="G194" s="38" t="str">
        <f t="shared" si="10"/>
        <v/>
      </c>
      <c r="H194" s="36" t="str">
        <f t="shared" si="15"/>
        <v/>
      </c>
      <c r="J194" s="141" t="str">
        <f t="shared" si="12"/>
        <v/>
      </c>
      <c r="K194" s="141" t="str">
        <f t="shared" si="13"/>
        <v/>
      </c>
      <c r="L194" s="141" t="str">
        <f t="shared" si="14"/>
        <v/>
      </c>
    </row>
    <row r="195" spans="1:12" x14ac:dyDescent="0.3">
      <c r="A195" s="36" t="str">
        <f xml:space="preserve"> IF( 'From SvanPC++'!A195= "", "", ('From SvanPC++'!A195))</f>
        <v/>
      </c>
      <c r="C195" s="47" t="s">
        <v>10</v>
      </c>
      <c r="G195" s="38" t="str">
        <f t="shared" si="10"/>
        <v/>
      </c>
      <c r="H195" s="36" t="str">
        <f t="shared" si="15"/>
        <v/>
      </c>
      <c r="J195" s="141" t="str">
        <f t="shared" si="12"/>
        <v/>
      </c>
      <c r="K195" s="141" t="str">
        <f t="shared" si="13"/>
        <v/>
      </c>
      <c r="L195" s="141" t="str">
        <f t="shared" si="14"/>
        <v/>
      </c>
    </row>
    <row r="196" spans="1:12" x14ac:dyDescent="0.3">
      <c r="A196" s="36" t="str">
        <f xml:space="preserve"> IF( 'From SvanPC++'!A196= "", "", ('From SvanPC++'!A196))</f>
        <v/>
      </c>
      <c r="C196" s="47" t="s">
        <v>10</v>
      </c>
      <c r="G196" s="38" t="str">
        <f t="shared" si="10"/>
        <v/>
      </c>
      <c r="H196" s="36" t="str">
        <f t="shared" si="15"/>
        <v/>
      </c>
      <c r="J196" s="141" t="str">
        <f t="shared" si="12"/>
        <v/>
      </c>
      <c r="K196" s="141" t="str">
        <f t="shared" si="13"/>
        <v/>
      </c>
      <c r="L196" s="141" t="str">
        <f t="shared" si="14"/>
        <v/>
      </c>
    </row>
    <row r="197" spans="1:12" x14ac:dyDescent="0.3">
      <c r="A197" s="36" t="str">
        <f xml:space="preserve"> IF( 'From SvanPC++'!A197= "", "", ('From SvanPC++'!A197))</f>
        <v/>
      </c>
      <c r="C197" s="47" t="s">
        <v>10</v>
      </c>
      <c r="G197" s="38" t="str">
        <f t="shared" si="10"/>
        <v/>
      </c>
      <c r="H197" s="36" t="str">
        <f t="shared" si="15"/>
        <v/>
      </c>
      <c r="J197" s="141" t="str">
        <f t="shared" si="12"/>
        <v/>
      </c>
      <c r="K197" s="141" t="str">
        <f t="shared" si="13"/>
        <v/>
      </c>
      <c r="L197" s="141" t="str">
        <f t="shared" si="14"/>
        <v/>
      </c>
    </row>
    <row r="198" spans="1:12" x14ac:dyDescent="0.3">
      <c r="A198" s="36" t="str">
        <f xml:space="preserve"> IF( 'From SvanPC++'!A198= "", "", ('From SvanPC++'!A198))</f>
        <v/>
      </c>
      <c r="C198" s="47" t="s">
        <v>10</v>
      </c>
      <c r="G198" s="38" t="str">
        <f t="shared" si="10"/>
        <v/>
      </c>
      <c r="H198" s="36" t="str">
        <f t="shared" si="15"/>
        <v/>
      </c>
      <c r="J198" s="141" t="str">
        <f t="shared" si="12"/>
        <v/>
      </c>
      <c r="K198" s="141" t="str">
        <f t="shared" si="13"/>
        <v/>
      </c>
      <c r="L198" s="141" t="str">
        <f t="shared" si="14"/>
        <v/>
      </c>
    </row>
    <row r="199" spans="1:12" x14ac:dyDescent="0.3">
      <c r="A199" s="36" t="str">
        <f xml:space="preserve"> IF( 'From SvanPC++'!A199= "", "", ('From SvanPC++'!A199))</f>
        <v/>
      </c>
      <c r="C199" s="47" t="s">
        <v>10</v>
      </c>
      <c r="G199" s="38" t="str">
        <f t="shared" ref="G199:G262" si="16" xml:space="preserve"> IF( D199= "", "", ( IF( AND( D199 &gt;= TIMEVALUE( "07:00:01" ), D199 &lt; TIMEVALUE( "08:00:01" ) ) = TRUE, (G198+1), (G198+0) )))</f>
        <v/>
      </c>
      <c r="H199" s="36" t="str">
        <f t="shared" si="15"/>
        <v/>
      </c>
      <c r="J199" s="141" t="str">
        <f t="shared" si="12"/>
        <v/>
      </c>
      <c r="K199" s="141" t="str">
        <f t="shared" si="13"/>
        <v/>
      </c>
      <c r="L199" s="141" t="str">
        <f t="shared" si="14"/>
        <v/>
      </c>
    </row>
    <row r="200" spans="1:12" x14ac:dyDescent="0.3">
      <c r="A200" s="36" t="str">
        <f xml:space="preserve"> IF( 'From SvanPC++'!A200= "", "", ('From SvanPC++'!A200))</f>
        <v/>
      </c>
      <c r="C200" s="47" t="s">
        <v>10</v>
      </c>
      <c r="G200" s="38" t="str">
        <f t="shared" si="16"/>
        <v/>
      </c>
      <c r="H200" s="36" t="str">
        <f t="shared" si="15"/>
        <v/>
      </c>
      <c r="J200" s="141" t="str">
        <f t="shared" ref="J200:J263" si="17" xml:space="preserve"> IF( ISERROR( IF( D200= "", "", ( IF( G200= (G199+1), ( AVERAGEIFS( E200:E344, G200:G344, G200, H200:H344, "Day" )), "" )))), "",( IF( D200= "", "", ( IF( G200= (G199+1), ( AVERAGEIFS( E200:E344, G200:G344, G200, H200:H344, "Day" )), "" )))))</f>
        <v/>
      </c>
      <c r="K200" s="141" t="str">
        <f t="shared" ref="K200:K263" si="18" xml:space="preserve"> IF( ISERROR( IF( D200= "", "", ( IF( G200= (G199+1), ( AVERAGEIFS( E200:E344, G200:G344, G200, H200:H344, "Evening" )), "" )))), "",( IF( D200= "", "", ( IF( G200= (G199+1), ( AVERAGEIFS( E200:E344, G200:G344, G200, H200:H344, "Evening" )), "" )))))</f>
        <v/>
      </c>
      <c r="L200" s="141" t="str">
        <f t="shared" ref="L200:L263" si="19" xml:space="preserve"> IF( ISERROR( IF( D200= "", "", ( IF( G200= (G199+1), ( AVERAGEIFS( E200:E344, G200:G344, G200, H200:H344, "Night" )), "" )))), "",( IF( D200= "", "", ( IF( G200= (G199+1), ( AVERAGEIFS( E200:E344, G200:G344, G200, H200:H344, "Night" )), "" )))))</f>
        <v/>
      </c>
    </row>
    <row r="201" spans="1:12" x14ac:dyDescent="0.3">
      <c r="A201" s="36" t="str">
        <f xml:space="preserve"> IF( 'From SvanPC++'!A201= "", "", ('From SvanPC++'!A201))</f>
        <v/>
      </c>
      <c r="C201" s="47" t="s">
        <v>10</v>
      </c>
      <c r="G201" s="38" t="str">
        <f t="shared" si="16"/>
        <v/>
      </c>
      <c r="H201" s="36" t="str">
        <f t="shared" si="15"/>
        <v/>
      </c>
      <c r="J201" s="141" t="str">
        <f t="shared" si="17"/>
        <v/>
      </c>
      <c r="K201" s="141" t="str">
        <f t="shared" si="18"/>
        <v/>
      </c>
      <c r="L201" s="141" t="str">
        <f t="shared" si="19"/>
        <v/>
      </c>
    </row>
    <row r="202" spans="1:12" x14ac:dyDescent="0.3">
      <c r="A202" s="36" t="str">
        <f xml:space="preserve"> IF( 'From SvanPC++'!A202= "", "", ('From SvanPC++'!A202))</f>
        <v/>
      </c>
      <c r="C202" s="47" t="s">
        <v>10</v>
      </c>
      <c r="G202" s="38" t="str">
        <f t="shared" si="16"/>
        <v/>
      </c>
      <c r="H202" s="36" t="str">
        <f t="shared" si="15"/>
        <v/>
      </c>
      <c r="J202" s="141" t="str">
        <f t="shared" si="17"/>
        <v/>
      </c>
      <c r="K202" s="141" t="str">
        <f t="shared" si="18"/>
        <v/>
      </c>
      <c r="L202" s="141" t="str">
        <f t="shared" si="19"/>
        <v/>
      </c>
    </row>
    <row r="203" spans="1:12" x14ac:dyDescent="0.3">
      <c r="A203" s="36" t="str">
        <f xml:space="preserve"> IF( 'From SvanPC++'!A203= "", "", ('From SvanPC++'!A203))</f>
        <v/>
      </c>
      <c r="C203" s="47" t="s">
        <v>10</v>
      </c>
      <c r="G203" s="38" t="str">
        <f t="shared" si="16"/>
        <v/>
      </c>
      <c r="H203" s="36" t="str">
        <f t="shared" si="15"/>
        <v/>
      </c>
      <c r="J203" s="141" t="str">
        <f t="shared" si="17"/>
        <v/>
      </c>
      <c r="K203" s="141" t="str">
        <f t="shared" si="18"/>
        <v/>
      </c>
      <c r="L203" s="141" t="str">
        <f t="shared" si="19"/>
        <v/>
      </c>
    </row>
    <row r="204" spans="1:12" x14ac:dyDescent="0.3">
      <c r="A204" s="36" t="str">
        <f xml:space="preserve"> IF( 'From SvanPC++'!A204= "", "", ('From SvanPC++'!A204))</f>
        <v/>
      </c>
      <c r="C204" s="47" t="s">
        <v>10</v>
      </c>
      <c r="G204" s="38" t="str">
        <f t="shared" si="16"/>
        <v/>
      </c>
      <c r="H204" s="36" t="str">
        <f t="shared" si="15"/>
        <v/>
      </c>
      <c r="J204" s="141" t="str">
        <f t="shared" si="17"/>
        <v/>
      </c>
      <c r="K204" s="141" t="str">
        <f t="shared" si="18"/>
        <v/>
      </c>
      <c r="L204" s="141" t="str">
        <f t="shared" si="19"/>
        <v/>
      </c>
    </row>
    <row r="205" spans="1:12" x14ac:dyDescent="0.3">
      <c r="A205" s="36" t="str">
        <f xml:space="preserve"> IF( 'From SvanPC++'!A205= "", "", ('From SvanPC++'!A205))</f>
        <v/>
      </c>
      <c r="C205" s="47" t="s">
        <v>10</v>
      </c>
      <c r="G205" s="38" t="str">
        <f t="shared" si="16"/>
        <v/>
      </c>
      <c r="H205" s="36" t="str">
        <f t="shared" si="15"/>
        <v/>
      </c>
      <c r="J205" s="141" t="str">
        <f t="shared" si="17"/>
        <v/>
      </c>
      <c r="K205" s="141" t="str">
        <f t="shared" si="18"/>
        <v/>
      </c>
      <c r="L205" s="141" t="str">
        <f t="shared" si="19"/>
        <v/>
      </c>
    </row>
    <row r="206" spans="1:12" x14ac:dyDescent="0.3">
      <c r="A206" s="36" t="str">
        <f xml:space="preserve"> IF( 'From SvanPC++'!A206= "", "", ('From SvanPC++'!A206))</f>
        <v/>
      </c>
      <c r="C206" s="47" t="s">
        <v>10</v>
      </c>
      <c r="G206" s="38" t="str">
        <f t="shared" si="16"/>
        <v/>
      </c>
      <c r="H206" s="36" t="str">
        <f t="shared" si="15"/>
        <v/>
      </c>
      <c r="J206" s="141" t="str">
        <f t="shared" si="17"/>
        <v/>
      </c>
      <c r="K206" s="141" t="str">
        <f t="shared" si="18"/>
        <v/>
      </c>
      <c r="L206" s="141" t="str">
        <f t="shared" si="19"/>
        <v/>
      </c>
    </row>
    <row r="207" spans="1:12" x14ac:dyDescent="0.3">
      <c r="A207" s="36" t="str">
        <f xml:space="preserve"> IF( 'From SvanPC++'!A207= "", "", ('From SvanPC++'!A207))</f>
        <v/>
      </c>
      <c r="C207" s="47" t="s">
        <v>10</v>
      </c>
      <c r="G207" s="38" t="str">
        <f t="shared" si="16"/>
        <v/>
      </c>
      <c r="H207" s="36" t="str">
        <f t="shared" si="15"/>
        <v/>
      </c>
      <c r="J207" s="141" t="str">
        <f t="shared" si="17"/>
        <v/>
      </c>
      <c r="K207" s="141" t="str">
        <f t="shared" si="18"/>
        <v/>
      </c>
      <c r="L207" s="141" t="str">
        <f t="shared" si="19"/>
        <v/>
      </c>
    </row>
    <row r="208" spans="1:12" x14ac:dyDescent="0.3">
      <c r="A208" s="36" t="str">
        <f xml:space="preserve"> IF( 'From SvanPC++'!A208= "", "", ('From SvanPC++'!A208))</f>
        <v/>
      </c>
      <c r="C208" s="47" t="s">
        <v>10</v>
      </c>
      <c r="G208" s="38" t="str">
        <f t="shared" si="16"/>
        <v/>
      </c>
      <c r="H208" s="36" t="str">
        <f t="shared" si="15"/>
        <v/>
      </c>
      <c r="J208" s="141" t="str">
        <f t="shared" si="17"/>
        <v/>
      </c>
      <c r="K208" s="141" t="str">
        <f t="shared" si="18"/>
        <v/>
      </c>
      <c r="L208" s="141" t="str">
        <f t="shared" si="19"/>
        <v/>
      </c>
    </row>
    <row r="209" spans="1:12" x14ac:dyDescent="0.3">
      <c r="A209" s="36" t="str">
        <f xml:space="preserve"> IF( 'From SvanPC++'!A209= "", "", ('From SvanPC++'!A209))</f>
        <v/>
      </c>
      <c r="C209" s="47" t="s">
        <v>10</v>
      </c>
      <c r="G209" s="38" t="str">
        <f t="shared" si="16"/>
        <v/>
      </c>
      <c r="H209" s="36" t="str">
        <f t="shared" si="15"/>
        <v/>
      </c>
      <c r="J209" s="141" t="str">
        <f t="shared" si="17"/>
        <v/>
      </c>
      <c r="K209" s="141" t="str">
        <f t="shared" si="18"/>
        <v/>
      </c>
      <c r="L209" s="141" t="str">
        <f t="shared" si="19"/>
        <v/>
      </c>
    </row>
    <row r="210" spans="1:12" x14ac:dyDescent="0.3">
      <c r="A210" s="36" t="str">
        <f xml:space="preserve"> IF( 'From SvanPC++'!A210= "", "", ('From SvanPC++'!A210))</f>
        <v/>
      </c>
      <c r="C210" s="47" t="s">
        <v>10</v>
      </c>
      <c r="G210" s="38" t="str">
        <f t="shared" si="16"/>
        <v/>
      </c>
      <c r="H210" s="36" t="str">
        <f t="shared" si="15"/>
        <v/>
      </c>
      <c r="J210" s="141" t="str">
        <f t="shared" si="17"/>
        <v/>
      </c>
      <c r="K210" s="141" t="str">
        <f t="shared" si="18"/>
        <v/>
      </c>
      <c r="L210" s="141" t="str">
        <f t="shared" si="19"/>
        <v/>
      </c>
    </row>
    <row r="211" spans="1:12" x14ac:dyDescent="0.3">
      <c r="A211" s="36" t="str">
        <f xml:space="preserve"> IF( 'From SvanPC++'!A211= "", "", ('From SvanPC++'!A211))</f>
        <v/>
      </c>
      <c r="C211" s="47" t="s">
        <v>10</v>
      </c>
      <c r="G211" s="38" t="str">
        <f t="shared" si="16"/>
        <v/>
      </c>
      <c r="H211" s="36" t="str">
        <f t="shared" si="15"/>
        <v/>
      </c>
      <c r="J211" s="141" t="str">
        <f t="shared" si="17"/>
        <v/>
      </c>
      <c r="K211" s="141" t="str">
        <f t="shared" si="18"/>
        <v/>
      </c>
      <c r="L211" s="141" t="str">
        <f t="shared" si="19"/>
        <v/>
      </c>
    </row>
    <row r="212" spans="1:12" x14ac:dyDescent="0.3">
      <c r="A212" s="36" t="str">
        <f xml:space="preserve"> IF( 'From SvanPC++'!A212= "", "", ('From SvanPC++'!A212))</f>
        <v/>
      </c>
      <c r="C212" s="47" t="s">
        <v>10</v>
      </c>
      <c r="G212" s="38" t="str">
        <f t="shared" si="16"/>
        <v/>
      </c>
      <c r="H212" s="36" t="str">
        <f t="shared" si="15"/>
        <v/>
      </c>
      <c r="J212" s="141" t="str">
        <f t="shared" si="17"/>
        <v/>
      </c>
      <c r="K212" s="141" t="str">
        <f t="shared" si="18"/>
        <v/>
      </c>
      <c r="L212" s="141" t="str">
        <f t="shared" si="19"/>
        <v/>
      </c>
    </row>
    <row r="213" spans="1:12" x14ac:dyDescent="0.3">
      <c r="A213" s="36" t="str">
        <f xml:space="preserve"> IF( 'From SvanPC++'!A213= "", "", ('From SvanPC++'!A213))</f>
        <v/>
      </c>
      <c r="C213" s="47" t="s">
        <v>10</v>
      </c>
      <c r="G213" s="38" t="str">
        <f t="shared" si="16"/>
        <v/>
      </c>
      <c r="H213" s="36" t="str">
        <f t="shared" si="15"/>
        <v/>
      </c>
      <c r="J213" s="141" t="str">
        <f t="shared" si="17"/>
        <v/>
      </c>
      <c r="K213" s="141" t="str">
        <f t="shared" si="18"/>
        <v/>
      </c>
      <c r="L213" s="141" t="str">
        <f t="shared" si="19"/>
        <v/>
      </c>
    </row>
    <row r="214" spans="1:12" x14ac:dyDescent="0.3">
      <c r="A214" s="36" t="str">
        <f xml:space="preserve"> IF( 'From SvanPC++'!A214= "", "", ('From SvanPC++'!A214))</f>
        <v/>
      </c>
      <c r="C214" s="47" t="s">
        <v>10</v>
      </c>
      <c r="G214" s="38" t="str">
        <f t="shared" si="16"/>
        <v/>
      </c>
      <c r="H214" s="36" t="str">
        <f t="shared" si="15"/>
        <v/>
      </c>
      <c r="J214" s="141" t="str">
        <f t="shared" si="17"/>
        <v/>
      </c>
      <c r="K214" s="141" t="str">
        <f t="shared" si="18"/>
        <v/>
      </c>
      <c r="L214" s="141" t="str">
        <f t="shared" si="19"/>
        <v/>
      </c>
    </row>
    <row r="215" spans="1:12" x14ac:dyDescent="0.3">
      <c r="A215" s="36" t="str">
        <f xml:space="preserve"> IF( 'From SvanPC++'!A215= "", "", ('From SvanPC++'!A215))</f>
        <v/>
      </c>
      <c r="C215" s="47" t="s">
        <v>10</v>
      </c>
      <c r="G215" s="38" t="str">
        <f t="shared" si="16"/>
        <v/>
      </c>
      <c r="H215" s="36" t="str">
        <f t="shared" ref="H215:H278" si="20" xml:space="preserve"> IF( D215= "", "", ( IF( AND( D215 &gt;= TIMEVALUE( "07:00:01" ), D215 &lt;= TIMEVALUE( "13:00:00" ), WEEKDAY( C215) =(7+N("Lines 2-17 = saturday day period")) ) = TRUE, "Day",
IF( AND( D215 &gt;= TIMEVALUE( "07:00:01" ), D215 &lt;= TIMEVALUE( "18:00:00" ), WEEKDAY( C215,1+N("Lines 19-38 = weekday day period")) &gt;=2, ( WEEKDAY( C215,1) &lt;=6) ) = TRUE, "Day",
IF( AND( D215 &gt;= TIMEVALUE( "13:00:01" ), D215 &lt;= TIMEVALUE( "22:00:00" ), WEEKDAY( C215) =(7+N("Lines 40-56 = saturday evening period")) ) = TRUE, "Evening",
IF( AND( D215 &gt;= TIMEVALUE( "18:00:01" ), D215 &lt;= TIMEVALUE( "22:00:00" ), WEEKDAY( C215,1+N("Lines 57-77 = weekday evening period")) &gt;=2, ( WEEKDAY( C215,1) &lt;=6) ) = TRUE, "Evening",
IF( AND( D215 &gt;= TIMEVALUE( "07:00:01" ), D215 &lt;= TIMEVALUE( "22:00:00" ), WEEKDAY( C215) =(1+N("Lines 78-94 = sunday evening period")) ) = TRUE, "Evening",
IF( AND( D215 &gt;= TIMEVALUE( "22:00:01" ), D215 &lt;= TIMEVALUE( "23:59:59" ), WEEKDAY( C215) =(7+N("Lines 95-111 = saturday night1 period")) ) = TRUE, "Night",
IF( AND( D215 &gt;= TIMEVALUE( "00:00:00" ), D215 &lt;= TIMEVALUE( "07:00:00" ), WEEKDAY( C215) =(7+N("Lines 112-128 = saturday night2 period")) ) = TRUE, "Night",
IF( AND( D215 &gt;= TIMEVALUE( "22:00:01" ), D215 &lt;= TIMEVALUE( "23:59:59" ), WEEKDAY( C215,1+N("Lines 129-149 = weekday night1 period")) &gt;=2, ( WEEKDAY( C215,1) &lt;=6) ) = TRUE, "Night",
IF( AND( D215 &gt;= TIMEVALUE( "00:00:00" ), D215 &lt;= TIMEVALUE( "07:00:00" ), WEEKDAY( C215,1+N("Lines 150-170 = weekday night2 period")) &gt;=2, ( WEEKDAY( C215,1) &lt;=6) ) = TRUE, "Night",
IF( AND( D215 &gt;= TIMEVALUE( "20:00:01" ), D215 &lt;= TIMEVALUE( "23:59:59" ), WEEKDAY( C215) =(1+N("Lines 171-187 = sunday night1 period")) ) = TRUE, "Night",
IF( AND( D215 &gt;= TIMEVALUE( "00:00:00" ), D215 &lt;= TIMEVALUE( "07:00:00" ), WEEKDAY( C215) =(1+N("Lines 188-204 = sunday night2 period")) ) = TRUE, "Night", )))))))))))))</f>
        <v/>
      </c>
      <c r="J215" s="141" t="str">
        <f t="shared" si="17"/>
        <v/>
      </c>
      <c r="K215" s="141" t="str">
        <f t="shared" si="18"/>
        <v/>
      </c>
      <c r="L215" s="141" t="str">
        <f t="shared" si="19"/>
        <v/>
      </c>
    </row>
    <row r="216" spans="1:12" x14ac:dyDescent="0.3">
      <c r="A216" s="36" t="str">
        <f xml:space="preserve"> IF( 'From SvanPC++'!A216= "", "", ('From SvanPC++'!A216))</f>
        <v/>
      </c>
      <c r="C216" s="47" t="s">
        <v>10</v>
      </c>
      <c r="G216" s="38" t="str">
        <f t="shared" si="16"/>
        <v/>
      </c>
      <c r="H216" s="36" t="str">
        <f t="shared" si="20"/>
        <v/>
      </c>
      <c r="J216" s="141" t="str">
        <f t="shared" si="17"/>
        <v/>
      </c>
      <c r="K216" s="141" t="str">
        <f t="shared" si="18"/>
        <v/>
      </c>
      <c r="L216" s="141" t="str">
        <f t="shared" si="19"/>
        <v/>
      </c>
    </row>
    <row r="217" spans="1:12" x14ac:dyDescent="0.3">
      <c r="A217" s="36" t="str">
        <f xml:space="preserve"> IF( 'From SvanPC++'!A217= "", "", ('From SvanPC++'!A217))</f>
        <v/>
      </c>
      <c r="C217" s="47" t="s">
        <v>10</v>
      </c>
      <c r="G217" s="38" t="str">
        <f t="shared" si="16"/>
        <v/>
      </c>
      <c r="H217" s="36" t="str">
        <f t="shared" si="20"/>
        <v/>
      </c>
      <c r="J217" s="141" t="str">
        <f t="shared" si="17"/>
        <v/>
      </c>
      <c r="K217" s="141" t="str">
        <f t="shared" si="18"/>
        <v/>
      </c>
      <c r="L217" s="141" t="str">
        <f t="shared" si="19"/>
        <v/>
      </c>
    </row>
    <row r="218" spans="1:12" x14ac:dyDescent="0.3">
      <c r="A218" s="36" t="str">
        <f xml:space="preserve"> IF( 'From SvanPC++'!A218= "", "", ('From SvanPC++'!A218))</f>
        <v/>
      </c>
      <c r="C218" s="47" t="s">
        <v>10</v>
      </c>
      <c r="G218" s="38" t="str">
        <f t="shared" si="16"/>
        <v/>
      </c>
      <c r="H218" s="36" t="str">
        <f t="shared" si="20"/>
        <v/>
      </c>
      <c r="J218" s="141" t="str">
        <f t="shared" si="17"/>
        <v/>
      </c>
      <c r="K218" s="141" t="str">
        <f t="shared" si="18"/>
        <v/>
      </c>
      <c r="L218" s="141" t="str">
        <f t="shared" si="19"/>
        <v/>
      </c>
    </row>
    <row r="219" spans="1:12" x14ac:dyDescent="0.3">
      <c r="A219" s="36" t="str">
        <f xml:space="preserve"> IF( 'From SvanPC++'!A219= "", "", ('From SvanPC++'!A219))</f>
        <v/>
      </c>
      <c r="C219" s="47" t="s">
        <v>10</v>
      </c>
      <c r="G219" s="38" t="str">
        <f t="shared" si="16"/>
        <v/>
      </c>
      <c r="H219" s="36" t="str">
        <f t="shared" si="20"/>
        <v/>
      </c>
      <c r="J219" s="141" t="str">
        <f t="shared" si="17"/>
        <v/>
      </c>
      <c r="K219" s="141" t="str">
        <f t="shared" si="18"/>
        <v/>
      </c>
      <c r="L219" s="141" t="str">
        <f t="shared" si="19"/>
        <v/>
      </c>
    </row>
    <row r="220" spans="1:12" x14ac:dyDescent="0.3">
      <c r="A220" s="36" t="str">
        <f xml:space="preserve"> IF( 'From SvanPC++'!A220= "", "", ('From SvanPC++'!A220))</f>
        <v/>
      </c>
      <c r="C220" s="47" t="s">
        <v>10</v>
      </c>
      <c r="G220" s="38" t="str">
        <f t="shared" si="16"/>
        <v/>
      </c>
      <c r="H220" s="36" t="str">
        <f t="shared" si="20"/>
        <v/>
      </c>
      <c r="J220" s="141" t="str">
        <f t="shared" si="17"/>
        <v/>
      </c>
      <c r="K220" s="141" t="str">
        <f t="shared" si="18"/>
        <v/>
      </c>
      <c r="L220" s="141" t="str">
        <f t="shared" si="19"/>
        <v/>
      </c>
    </row>
    <row r="221" spans="1:12" x14ac:dyDescent="0.3">
      <c r="A221" s="36" t="str">
        <f xml:space="preserve"> IF( 'From SvanPC++'!A221= "", "", ('From SvanPC++'!A221))</f>
        <v/>
      </c>
      <c r="C221" s="47" t="s">
        <v>10</v>
      </c>
      <c r="G221" s="38" t="str">
        <f t="shared" si="16"/>
        <v/>
      </c>
      <c r="H221" s="36" t="str">
        <f t="shared" si="20"/>
        <v/>
      </c>
      <c r="J221" s="141" t="str">
        <f t="shared" si="17"/>
        <v/>
      </c>
      <c r="K221" s="141" t="str">
        <f t="shared" si="18"/>
        <v/>
      </c>
      <c r="L221" s="141" t="str">
        <f t="shared" si="19"/>
        <v/>
      </c>
    </row>
    <row r="222" spans="1:12" x14ac:dyDescent="0.3">
      <c r="A222" s="36" t="str">
        <f xml:space="preserve"> IF( 'From SvanPC++'!A222= "", "", ('From SvanPC++'!A222))</f>
        <v/>
      </c>
      <c r="C222" s="47" t="s">
        <v>10</v>
      </c>
      <c r="G222" s="38" t="str">
        <f t="shared" si="16"/>
        <v/>
      </c>
      <c r="H222" s="36" t="str">
        <f t="shared" si="20"/>
        <v/>
      </c>
      <c r="J222" s="141" t="str">
        <f t="shared" si="17"/>
        <v/>
      </c>
      <c r="K222" s="141" t="str">
        <f t="shared" si="18"/>
        <v/>
      </c>
      <c r="L222" s="141" t="str">
        <f t="shared" si="19"/>
        <v/>
      </c>
    </row>
    <row r="223" spans="1:12" x14ac:dyDescent="0.3">
      <c r="A223" s="36" t="str">
        <f xml:space="preserve"> IF( 'From SvanPC++'!A223= "", "", ('From SvanPC++'!A223))</f>
        <v/>
      </c>
      <c r="C223" s="47" t="s">
        <v>10</v>
      </c>
      <c r="G223" s="38" t="str">
        <f t="shared" si="16"/>
        <v/>
      </c>
      <c r="H223" s="36" t="str">
        <f t="shared" si="20"/>
        <v/>
      </c>
      <c r="J223" s="141" t="str">
        <f t="shared" si="17"/>
        <v/>
      </c>
      <c r="K223" s="141" t="str">
        <f t="shared" si="18"/>
        <v/>
      </c>
      <c r="L223" s="141" t="str">
        <f t="shared" si="19"/>
        <v/>
      </c>
    </row>
    <row r="224" spans="1:12" x14ac:dyDescent="0.3">
      <c r="A224" s="36" t="str">
        <f xml:space="preserve"> IF( 'From SvanPC++'!A224= "", "", ('From SvanPC++'!A224))</f>
        <v/>
      </c>
      <c r="C224" s="47" t="s">
        <v>10</v>
      </c>
      <c r="G224" s="38" t="str">
        <f t="shared" si="16"/>
        <v/>
      </c>
      <c r="H224" s="36" t="str">
        <f t="shared" si="20"/>
        <v/>
      </c>
      <c r="J224" s="141" t="str">
        <f t="shared" si="17"/>
        <v/>
      </c>
      <c r="K224" s="141" t="str">
        <f t="shared" si="18"/>
        <v/>
      </c>
      <c r="L224" s="141" t="str">
        <f t="shared" si="19"/>
        <v/>
      </c>
    </row>
    <row r="225" spans="1:12" x14ac:dyDescent="0.3">
      <c r="A225" s="36" t="str">
        <f xml:space="preserve"> IF( 'From SvanPC++'!A225= "", "", ('From SvanPC++'!A225))</f>
        <v/>
      </c>
      <c r="C225" s="47" t="s">
        <v>10</v>
      </c>
      <c r="G225" s="38" t="str">
        <f t="shared" si="16"/>
        <v/>
      </c>
      <c r="H225" s="36" t="str">
        <f t="shared" si="20"/>
        <v/>
      </c>
      <c r="J225" s="141" t="str">
        <f t="shared" si="17"/>
        <v/>
      </c>
      <c r="K225" s="141" t="str">
        <f t="shared" si="18"/>
        <v/>
      </c>
      <c r="L225" s="141" t="str">
        <f t="shared" si="19"/>
        <v/>
      </c>
    </row>
    <row r="226" spans="1:12" x14ac:dyDescent="0.3">
      <c r="A226" s="36" t="str">
        <f xml:space="preserve"> IF( 'From SvanPC++'!A226= "", "", ('From SvanPC++'!A226))</f>
        <v/>
      </c>
      <c r="C226" s="47" t="s">
        <v>10</v>
      </c>
      <c r="G226" s="38" t="str">
        <f t="shared" si="16"/>
        <v/>
      </c>
      <c r="H226" s="36" t="str">
        <f t="shared" si="20"/>
        <v/>
      </c>
      <c r="J226" s="141" t="str">
        <f t="shared" si="17"/>
        <v/>
      </c>
      <c r="K226" s="141" t="str">
        <f t="shared" si="18"/>
        <v/>
      </c>
      <c r="L226" s="141" t="str">
        <f t="shared" si="19"/>
        <v/>
      </c>
    </row>
    <row r="227" spans="1:12" x14ac:dyDescent="0.3">
      <c r="A227" s="36" t="str">
        <f xml:space="preserve"> IF( 'From SvanPC++'!A227= "", "", ('From SvanPC++'!A227))</f>
        <v/>
      </c>
      <c r="C227" s="47" t="s">
        <v>10</v>
      </c>
      <c r="G227" s="38" t="str">
        <f t="shared" si="16"/>
        <v/>
      </c>
      <c r="H227" s="36" t="str">
        <f t="shared" si="20"/>
        <v/>
      </c>
      <c r="J227" s="141" t="str">
        <f t="shared" si="17"/>
        <v/>
      </c>
      <c r="K227" s="141" t="str">
        <f t="shared" si="18"/>
        <v/>
      </c>
      <c r="L227" s="141" t="str">
        <f t="shared" si="19"/>
        <v/>
      </c>
    </row>
    <row r="228" spans="1:12" x14ac:dyDescent="0.3">
      <c r="A228" s="36" t="str">
        <f xml:space="preserve"> IF( 'From SvanPC++'!A228= "", "", ('From SvanPC++'!A228))</f>
        <v/>
      </c>
      <c r="C228" s="47" t="s">
        <v>10</v>
      </c>
      <c r="G228" s="38" t="str">
        <f t="shared" si="16"/>
        <v/>
      </c>
      <c r="H228" s="36" t="str">
        <f t="shared" si="20"/>
        <v/>
      </c>
      <c r="J228" s="141" t="str">
        <f t="shared" si="17"/>
        <v/>
      </c>
      <c r="K228" s="141" t="str">
        <f t="shared" si="18"/>
        <v/>
      </c>
      <c r="L228" s="141" t="str">
        <f t="shared" si="19"/>
        <v/>
      </c>
    </row>
    <row r="229" spans="1:12" x14ac:dyDescent="0.3">
      <c r="A229" s="36" t="str">
        <f xml:space="preserve"> IF( 'From SvanPC++'!A229= "", "", ('From SvanPC++'!A229))</f>
        <v/>
      </c>
      <c r="C229" s="47" t="s">
        <v>10</v>
      </c>
      <c r="G229" s="38" t="str">
        <f t="shared" si="16"/>
        <v/>
      </c>
      <c r="H229" s="36" t="str">
        <f t="shared" si="20"/>
        <v/>
      </c>
      <c r="J229" s="141" t="str">
        <f t="shared" si="17"/>
        <v/>
      </c>
      <c r="K229" s="141" t="str">
        <f t="shared" si="18"/>
        <v/>
      </c>
      <c r="L229" s="141" t="str">
        <f t="shared" si="19"/>
        <v/>
      </c>
    </row>
    <row r="230" spans="1:12" x14ac:dyDescent="0.3">
      <c r="A230" s="36" t="str">
        <f xml:space="preserve"> IF( 'From SvanPC++'!A230= "", "", ('From SvanPC++'!A230))</f>
        <v/>
      </c>
      <c r="C230" s="47" t="s">
        <v>10</v>
      </c>
      <c r="G230" s="38" t="str">
        <f t="shared" si="16"/>
        <v/>
      </c>
      <c r="H230" s="36" t="str">
        <f t="shared" si="20"/>
        <v/>
      </c>
      <c r="J230" s="141" t="str">
        <f t="shared" si="17"/>
        <v/>
      </c>
      <c r="K230" s="141" t="str">
        <f t="shared" si="18"/>
        <v/>
      </c>
      <c r="L230" s="141" t="str">
        <f t="shared" si="19"/>
        <v/>
      </c>
    </row>
    <row r="231" spans="1:12" x14ac:dyDescent="0.3">
      <c r="A231" s="36" t="str">
        <f xml:space="preserve"> IF( 'From SvanPC++'!A231= "", "", ('From SvanPC++'!A231))</f>
        <v/>
      </c>
      <c r="C231" s="47" t="s">
        <v>10</v>
      </c>
      <c r="G231" s="38" t="str">
        <f t="shared" si="16"/>
        <v/>
      </c>
      <c r="H231" s="36" t="str">
        <f t="shared" si="20"/>
        <v/>
      </c>
      <c r="J231" s="141" t="str">
        <f t="shared" si="17"/>
        <v/>
      </c>
      <c r="K231" s="141" t="str">
        <f t="shared" si="18"/>
        <v/>
      </c>
      <c r="L231" s="141" t="str">
        <f t="shared" si="19"/>
        <v/>
      </c>
    </row>
    <row r="232" spans="1:12" x14ac:dyDescent="0.3">
      <c r="A232" s="36" t="str">
        <f xml:space="preserve"> IF( 'From SvanPC++'!A232= "", "", ('From SvanPC++'!A232))</f>
        <v/>
      </c>
      <c r="C232" s="47" t="s">
        <v>10</v>
      </c>
      <c r="G232" s="38" t="str">
        <f t="shared" si="16"/>
        <v/>
      </c>
      <c r="H232" s="36" t="str">
        <f t="shared" si="20"/>
        <v/>
      </c>
      <c r="J232" s="141" t="str">
        <f t="shared" si="17"/>
        <v/>
      </c>
      <c r="K232" s="141" t="str">
        <f t="shared" si="18"/>
        <v/>
      </c>
      <c r="L232" s="141" t="str">
        <f t="shared" si="19"/>
        <v/>
      </c>
    </row>
    <row r="233" spans="1:12" x14ac:dyDescent="0.3">
      <c r="A233" s="36" t="str">
        <f xml:space="preserve"> IF( 'From SvanPC++'!A233= "", "", ('From SvanPC++'!A233))</f>
        <v/>
      </c>
      <c r="C233" s="47" t="s">
        <v>10</v>
      </c>
      <c r="G233" s="38" t="str">
        <f t="shared" si="16"/>
        <v/>
      </c>
      <c r="H233" s="36" t="str">
        <f t="shared" si="20"/>
        <v/>
      </c>
      <c r="J233" s="141" t="str">
        <f t="shared" si="17"/>
        <v/>
      </c>
      <c r="K233" s="141" t="str">
        <f t="shared" si="18"/>
        <v/>
      </c>
      <c r="L233" s="141" t="str">
        <f t="shared" si="19"/>
        <v/>
      </c>
    </row>
    <row r="234" spans="1:12" x14ac:dyDescent="0.3">
      <c r="A234" s="36" t="str">
        <f xml:space="preserve"> IF( 'From SvanPC++'!A234= "", "", ('From SvanPC++'!A234))</f>
        <v/>
      </c>
      <c r="C234" s="47" t="s">
        <v>10</v>
      </c>
      <c r="G234" s="38" t="str">
        <f t="shared" si="16"/>
        <v/>
      </c>
      <c r="H234" s="36" t="str">
        <f t="shared" si="20"/>
        <v/>
      </c>
      <c r="J234" s="141" t="str">
        <f t="shared" si="17"/>
        <v/>
      </c>
      <c r="K234" s="141" t="str">
        <f t="shared" si="18"/>
        <v/>
      </c>
      <c r="L234" s="141" t="str">
        <f t="shared" si="19"/>
        <v/>
      </c>
    </row>
    <row r="235" spans="1:12" x14ac:dyDescent="0.3">
      <c r="A235" s="36" t="str">
        <f xml:space="preserve"> IF( 'From SvanPC++'!A235= "", "", ('From SvanPC++'!A235))</f>
        <v/>
      </c>
      <c r="C235" s="47" t="s">
        <v>10</v>
      </c>
      <c r="G235" s="38" t="str">
        <f t="shared" si="16"/>
        <v/>
      </c>
      <c r="H235" s="36" t="str">
        <f t="shared" si="20"/>
        <v/>
      </c>
      <c r="J235" s="141" t="str">
        <f t="shared" si="17"/>
        <v/>
      </c>
      <c r="K235" s="141" t="str">
        <f t="shared" si="18"/>
        <v/>
      </c>
      <c r="L235" s="141" t="str">
        <f t="shared" si="19"/>
        <v/>
      </c>
    </row>
    <row r="236" spans="1:12" x14ac:dyDescent="0.3">
      <c r="A236" s="36" t="str">
        <f xml:space="preserve"> IF( 'From SvanPC++'!A236= "", "", ('From SvanPC++'!A236))</f>
        <v/>
      </c>
      <c r="C236" s="47" t="s">
        <v>10</v>
      </c>
      <c r="G236" s="38" t="str">
        <f t="shared" si="16"/>
        <v/>
      </c>
      <c r="H236" s="36" t="str">
        <f t="shared" si="20"/>
        <v/>
      </c>
      <c r="J236" s="141" t="str">
        <f t="shared" si="17"/>
        <v/>
      </c>
      <c r="K236" s="141" t="str">
        <f t="shared" si="18"/>
        <v/>
      </c>
      <c r="L236" s="141" t="str">
        <f t="shared" si="19"/>
        <v/>
      </c>
    </row>
    <row r="237" spans="1:12" x14ac:dyDescent="0.3">
      <c r="A237" s="36" t="str">
        <f xml:space="preserve"> IF( 'From SvanPC++'!A237= "", "", ('From SvanPC++'!A237))</f>
        <v/>
      </c>
      <c r="C237" s="47" t="s">
        <v>10</v>
      </c>
      <c r="G237" s="38" t="str">
        <f t="shared" si="16"/>
        <v/>
      </c>
      <c r="H237" s="36" t="str">
        <f t="shared" si="20"/>
        <v/>
      </c>
      <c r="J237" s="141" t="str">
        <f t="shared" si="17"/>
        <v/>
      </c>
      <c r="K237" s="141" t="str">
        <f t="shared" si="18"/>
        <v/>
      </c>
      <c r="L237" s="141" t="str">
        <f t="shared" si="19"/>
        <v/>
      </c>
    </row>
    <row r="238" spans="1:12" x14ac:dyDescent="0.3">
      <c r="A238" s="36" t="str">
        <f xml:space="preserve"> IF( 'From SvanPC++'!A238= "", "", ('From SvanPC++'!A238))</f>
        <v/>
      </c>
      <c r="C238" s="47" t="s">
        <v>10</v>
      </c>
      <c r="G238" s="38" t="str">
        <f t="shared" si="16"/>
        <v/>
      </c>
      <c r="H238" s="36" t="str">
        <f t="shared" si="20"/>
        <v/>
      </c>
      <c r="J238" s="141" t="str">
        <f t="shared" si="17"/>
        <v/>
      </c>
      <c r="K238" s="141" t="str">
        <f t="shared" si="18"/>
        <v/>
      </c>
      <c r="L238" s="141" t="str">
        <f t="shared" si="19"/>
        <v/>
      </c>
    </row>
    <row r="239" spans="1:12" x14ac:dyDescent="0.3">
      <c r="A239" s="36" t="str">
        <f xml:space="preserve"> IF( 'From SvanPC++'!A239= "", "", ('From SvanPC++'!A239))</f>
        <v/>
      </c>
      <c r="C239" s="47" t="s">
        <v>10</v>
      </c>
      <c r="G239" s="38" t="str">
        <f t="shared" si="16"/>
        <v/>
      </c>
      <c r="H239" s="36" t="str">
        <f t="shared" si="20"/>
        <v/>
      </c>
      <c r="J239" s="141" t="str">
        <f t="shared" si="17"/>
        <v/>
      </c>
      <c r="K239" s="141" t="str">
        <f t="shared" si="18"/>
        <v/>
      </c>
      <c r="L239" s="141" t="str">
        <f t="shared" si="19"/>
        <v/>
      </c>
    </row>
    <row r="240" spans="1:12" x14ac:dyDescent="0.3">
      <c r="A240" s="36" t="str">
        <f xml:space="preserve"> IF( 'From SvanPC++'!A240= "", "", ('From SvanPC++'!A240))</f>
        <v/>
      </c>
      <c r="C240" s="47" t="s">
        <v>10</v>
      </c>
      <c r="G240" s="38" t="str">
        <f t="shared" si="16"/>
        <v/>
      </c>
      <c r="H240" s="36" t="str">
        <f t="shared" si="20"/>
        <v/>
      </c>
      <c r="J240" s="141" t="str">
        <f t="shared" si="17"/>
        <v/>
      </c>
      <c r="K240" s="141" t="str">
        <f t="shared" si="18"/>
        <v/>
      </c>
      <c r="L240" s="141" t="str">
        <f t="shared" si="19"/>
        <v/>
      </c>
    </row>
    <row r="241" spans="1:12" x14ac:dyDescent="0.3">
      <c r="A241" s="36" t="str">
        <f xml:space="preserve"> IF( 'From SvanPC++'!A241= "", "", ('From SvanPC++'!A241))</f>
        <v/>
      </c>
      <c r="C241" s="47" t="s">
        <v>10</v>
      </c>
      <c r="G241" s="38" t="str">
        <f t="shared" si="16"/>
        <v/>
      </c>
      <c r="H241" s="36" t="str">
        <f t="shared" si="20"/>
        <v/>
      </c>
      <c r="J241" s="141" t="str">
        <f t="shared" si="17"/>
        <v/>
      </c>
      <c r="K241" s="141" t="str">
        <f t="shared" si="18"/>
        <v/>
      </c>
      <c r="L241" s="141" t="str">
        <f t="shared" si="19"/>
        <v/>
      </c>
    </row>
    <row r="242" spans="1:12" x14ac:dyDescent="0.3">
      <c r="A242" s="36" t="str">
        <f xml:space="preserve"> IF( 'From SvanPC++'!A242= "", "", ('From SvanPC++'!A242))</f>
        <v/>
      </c>
      <c r="C242" s="47" t="s">
        <v>10</v>
      </c>
      <c r="G242" s="38" t="str">
        <f t="shared" si="16"/>
        <v/>
      </c>
      <c r="H242" s="36" t="str">
        <f t="shared" si="20"/>
        <v/>
      </c>
      <c r="J242" s="141" t="str">
        <f t="shared" si="17"/>
        <v/>
      </c>
      <c r="K242" s="141" t="str">
        <f t="shared" si="18"/>
        <v/>
      </c>
      <c r="L242" s="141" t="str">
        <f t="shared" si="19"/>
        <v/>
      </c>
    </row>
    <row r="243" spans="1:12" x14ac:dyDescent="0.3">
      <c r="A243" s="36" t="str">
        <f xml:space="preserve"> IF( 'From SvanPC++'!A243= "", "", ('From SvanPC++'!A243))</f>
        <v/>
      </c>
      <c r="C243" s="47" t="s">
        <v>10</v>
      </c>
      <c r="G243" s="38" t="str">
        <f t="shared" si="16"/>
        <v/>
      </c>
      <c r="H243" s="36" t="str">
        <f t="shared" si="20"/>
        <v/>
      </c>
      <c r="J243" s="141" t="str">
        <f t="shared" si="17"/>
        <v/>
      </c>
      <c r="K243" s="141" t="str">
        <f t="shared" si="18"/>
        <v/>
      </c>
      <c r="L243" s="141" t="str">
        <f t="shared" si="19"/>
        <v/>
      </c>
    </row>
    <row r="244" spans="1:12" x14ac:dyDescent="0.3">
      <c r="A244" s="36" t="str">
        <f xml:space="preserve"> IF( 'From SvanPC++'!A244= "", "", ('From SvanPC++'!A244))</f>
        <v/>
      </c>
      <c r="C244" s="47" t="s">
        <v>10</v>
      </c>
      <c r="G244" s="38" t="str">
        <f t="shared" si="16"/>
        <v/>
      </c>
      <c r="H244" s="36" t="str">
        <f t="shared" si="20"/>
        <v/>
      </c>
      <c r="J244" s="141" t="str">
        <f t="shared" si="17"/>
        <v/>
      </c>
      <c r="K244" s="141" t="str">
        <f t="shared" si="18"/>
        <v/>
      </c>
      <c r="L244" s="141" t="str">
        <f t="shared" si="19"/>
        <v/>
      </c>
    </row>
    <row r="245" spans="1:12" x14ac:dyDescent="0.3">
      <c r="A245" s="36" t="str">
        <f xml:space="preserve"> IF( 'From SvanPC++'!A245= "", "", ('From SvanPC++'!A245))</f>
        <v/>
      </c>
      <c r="C245" s="47" t="s">
        <v>10</v>
      </c>
      <c r="G245" s="38" t="str">
        <f t="shared" si="16"/>
        <v/>
      </c>
      <c r="H245" s="36" t="str">
        <f t="shared" si="20"/>
        <v/>
      </c>
      <c r="J245" s="141" t="str">
        <f t="shared" si="17"/>
        <v/>
      </c>
      <c r="K245" s="141" t="str">
        <f t="shared" si="18"/>
        <v/>
      </c>
      <c r="L245" s="141" t="str">
        <f t="shared" si="19"/>
        <v/>
      </c>
    </row>
    <row r="246" spans="1:12" x14ac:dyDescent="0.3">
      <c r="A246" s="36" t="str">
        <f xml:space="preserve"> IF( 'From SvanPC++'!A246= "", "", ('From SvanPC++'!A246))</f>
        <v/>
      </c>
      <c r="C246" s="47" t="s">
        <v>10</v>
      </c>
      <c r="G246" s="38" t="str">
        <f t="shared" si="16"/>
        <v/>
      </c>
      <c r="H246" s="36" t="str">
        <f t="shared" si="20"/>
        <v/>
      </c>
      <c r="J246" s="141" t="str">
        <f t="shared" si="17"/>
        <v/>
      </c>
      <c r="K246" s="141" t="str">
        <f t="shared" si="18"/>
        <v/>
      </c>
      <c r="L246" s="141" t="str">
        <f t="shared" si="19"/>
        <v/>
      </c>
    </row>
    <row r="247" spans="1:12" x14ac:dyDescent="0.3">
      <c r="A247" s="36" t="str">
        <f xml:space="preserve"> IF( 'From SvanPC++'!A247= "", "", ('From SvanPC++'!A247))</f>
        <v/>
      </c>
      <c r="C247" s="47" t="s">
        <v>10</v>
      </c>
      <c r="G247" s="38" t="str">
        <f t="shared" si="16"/>
        <v/>
      </c>
      <c r="H247" s="36" t="str">
        <f t="shared" si="20"/>
        <v/>
      </c>
      <c r="J247" s="141" t="str">
        <f t="shared" si="17"/>
        <v/>
      </c>
      <c r="K247" s="141" t="str">
        <f t="shared" si="18"/>
        <v/>
      </c>
      <c r="L247" s="141" t="str">
        <f t="shared" si="19"/>
        <v/>
      </c>
    </row>
    <row r="248" spans="1:12" x14ac:dyDescent="0.3">
      <c r="A248" s="36" t="str">
        <f xml:space="preserve"> IF( 'From SvanPC++'!A248= "", "", ('From SvanPC++'!A248))</f>
        <v/>
      </c>
      <c r="C248" s="47" t="s">
        <v>10</v>
      </c>
      <c r="G248" s="38" t="str">
        <f t="shared" si="16"/>
        <v/>
      </c>
      <c r="H248" s="36" t="str">
        <f t="shared" si="20"/>
        <v/>
      </c>
      <c r="J248" s="141" t="str">
        <f t="shared" si="17"/>
        <v/>
      </c>
      <c r="K248" s="141" t="str">
        <f t="shared" si="18"/>
        <v/>
      </c>
      <c r="L248" s="141" t="str">
        <f t="shared" si="19"/>
        <v/>
      </c>
    </row>
    <row r="249" spans="1:12" x14ac:dyDescent="0.3">
      <c r="A249" s="36" t="str">
        <f xml:space="preserve"> IF( 'From SvanPC++'!A249= "", "", ('From SvanPC++'!A249))</f>
        <v/>
      </c>
      <c r="C249" s="47" t="s">
        <v>10</v>
      </c>
      <c r="G249" s="38" t="str">
        <f t="shared" si="16"/>
        <v/>
      </c>
      <c r="H249" s="36" t="str">
        <f t="shared" si="20"/>
        <v/>
      </c>
      <c r="J249" s="141" t="str">
        <f t="shared" si="17"/>
        <v/>
      </c>
      <c r="K249" s="141" t="str">
        <f t="shared" si="18"/>
        <v/>
      </c>
      <c r="L249" s="141" t="str">
        <f t="shared" si="19"/>
        <v/>
      </c>
    </row>
    <row r="250" spans="1:12" x14ac:dyDescent="0.3">
      <c r="A250" s="36" t="str">
        <f xml:space="preserve"> IF( 'From SvanPC++'!A250= "", "", ('From SvanPC++'!A250))</f>
        <v/>
      </c>
      <c r="C250" s="47" t="s">
        <v>10</v>
      </c>
      <c r="G250" s="38" t="str">
        <f t="shared" si="16"/>
        <v/>
      </c>
      <c r="H250" s="36" t="str">
        <f t="shared" si="20"/>
        <v/>
      </c>
      <c r="J250" s="141" t="str">
        <f t="shared" si="17"/>
        <v/>
      </c>
      <c r="K250" s="141" t="str">
        <f t="shared" si="18"/>
        <v/>
      </c>
      <c r="L250" s="141" t="str">
        <f t="shared" si="19"/>
        <v/>
      </c>
    </row>
    <row r="251" spans="1:12" x14ac:dyDescent="0.3">
      <c r="A251" s="36" t="str">
        <f xml:space="preserve"> IF( 'From SvanPC++'!A251= "", "", ('From SvanPC++'!A251))</f>
        <v/>
      </c>
      <c r="C251" s="47" t="s">
        <v>10</v>
      </c>
      <c r="G251" s="38" t="str">
        <f t="shared" si="16"/>
        <v/>
      </c>
      <c r="H251" s="36" t="str">
        <f t="shared" si="20"/>
        <v/>
      </c>
      <c r="J251" s="141" t="str">
        <f t="shared" si="17"/>
        <v/>
      </c>
      <c r="K251" s="141" t="str">
        <f t="shared" si="18"/>
        <v/>
      </c>
      <c r="L251" s="141" t="str">
        <f t="shared" si="19"/>
        <v/>
      </c>
    </row>
    <row r="252" spans="1:12" x14ac:dyDescent="0.3">
      <c r="A252" s="36" t="str">
        <f xml:space="preserve"> IF( 'From SvanPC++'!A252= "", "", ('From SvanPC++'!A252))</f>
        <v/>
      </c>
      <c r="C252" s="47" t="s">
        <v>10</v>
      </c>
      <c r="G252" s="38" t="str">
        <f t="shared" si="16"/>
        <v/>
      </c>
      <c r="H252" s="36" t="str">
        <f t="shared" si="20"/>
        <v/>
      </c>
      <c r="J252" s="141" t="str">
        <f t="shared" si="17"/>
        <v/>
      </c>
      <c r="K252" s="141" t="str">
        <f t="shared" si="18"/>
        <v/>
      </c>
      <c r="L252" s="141" t="str">
        <f t="shared" si="19"/>
        <v/>
      </c>
    </row>
    <row r="253" spans="1:12" x14ac:dyDescent="0.3">
      <c r="A253" s="36" t="str">
        <f xml:space="preserve"> IF( 'From SvanPC++'!A253= "", "", ('From SvanPC++'!A253))</f>
        <v/>
      </c>
      <c r="C253" s="47" t="s">
        <v>10</v>
      </c>
      <c r="G253" s="38" t="str">
        <f t="shared" si="16"/>
        <v/>
      </c>
      <c r="H253" s="36" t="str">
        <f t="shared" si="20"/>
        <v/>
      </c>
      <c r="J253" s="141" t="str">
        <f t="shared" si="17"/>
        <v/>
      </c>
      <c r="K253" s="141" t="str">
        <f t="shared" si="18"/>
        <v/>
      </c>
      <c r="L253" s="141" t="str">
        <f t="shared" si="19"/>
        <v/>
      </c>
    </row>
    <row r="254" spans="1:12" x14ac:dyDescent="0.3">
      <c r="A254" s="36" t="str">
        <f xml:space="preserve"> IF( 'From SvanPC++'!A254= "", "", ('From SvanPC++'!A254))</f>
        <v/>
      </c>
      <c r="C254" s="47" t="s">
        <v>10</v>
      </c>
      <c r="G254" s="38" t="str">
        <f t="shared" si="16"/>
        <v/>
      </c>
      <c r="H254" s="36" t="str">
        <f t="shared" si="20"/>
        <v/>
      </c>
      <c r="J254" s="141" t="str">
        <f t="shared" si="17"/>
        <v/>
      </c>
      <c r="K254" s="141" t="str">
        <f t="shared" si="18"/>
        <v/>
      </c>
      <c r="L254" s="141" t="str">
        <f t="shared" si="19"/>
        <v/>
      </c>
    </row>
    <row r="255" spans="1:12" x14ac:dyDescent="0.3">
      <c r="A255" s="36" t="str">
        <f xml:space="preserve"> IF( 'From SvanPC++'!A255= "", "", ('From SvanPC++'!A255))</f>
        <v/>
      </c>
      <c r="C255" s="47" t="s">
        <v>10</v>
      </c>
      <c r="G255" s="38" t="str">
        <f t="shared" si="16"/>
        <v/>
      </c>
      <c r="H255" s="36" t="str">
        <f t="shared" si="20"/>
        <v/>
      </c>
      <c r="J255" s="141" t="str">
        <f t="shared" si="17"/>
        <v/>
      </c>
      <c r="K255" s="141" t="str">
        <f t="shared" si="18"/>
        <v/>
      </c>
      <c r="L255" s="141" t="str">
        <f t="shared" si="19"/>
        <v/>
      </c>
    </row>
    <row r="256" spans="1:12" x14ac:dyDescent="0.3">
      <c r="A256" s="36" t="str">
        <f xml:space="preserve"> IF( 'From SvanPC++'!A256= "", "", ('From SvanPC++'!A256))</f>
        <v/>
      </c>
      <c r="C256" s="47" t="s">
        <v>10</v>
      </c>
      <c r="G256" s="38" t="str">
        <f t="shared" si="16"/>
        <v/>
      </c>
      <c r="H256" s="36" t="str">
        <f t="shared" si="20"/>
        <v/>
      </c>
      <c r="J256" s="141" t="str">
        <f t="shared" si="17"/>
        <v/>
      </c>
      <c r="K256" s="141" t="str">
        <f t="shared" si="18"/>
        <v/>
      </c>
      <c r="L256" s="141" t="str">
        <f t="shared" si="19"/>
        <v/>
      </c>
    </row>
    <row r="257" spans="1:12" x14ac:dyDescent="0.3">
      <c r="A257" s="36" t="str">
        <f xml:space="preserve"> IF( 'From SvanPC++'!A257= "", "", ('From SvanPC++'!A257))</f>
        <v/>
      </c>
      <c r="C257" s="47" t="s">
        <v>10</v>
      </c>
      <c r="G257" s="38" t="str">
        <f t="shared" si="16"/>
        <v/>
      </c>
      <c r="H257" s="36" t="str">
        <f t="shared" si="20"/>
        <v/>
      </c>
      <c r="J257" s="141" t="str">
        <f t="shared" si="17"/>
        <v/>
      </c>
      <c r="K257" s="141" t="str">
        <f t="shared" si="18"/>
        <v/>
      </c>
      <c r="L257" s="141" t="str">
        <f t="shared" si="19"/>
        <v/>
      </c>
    </row>
    <row r="258" spans="1:12" x14ac:dyDescent="0.3">
      <c r="A258" s="36" t="str">
        <f xml:space="preserve"> IF( 'From SvanPC++'!A258= "", "", ('From SvanPC++'!A258))</f>
        <v/>
      </c>
      <c r="C258" s="47" t="s">
        <v>10</v>
      </c>
      <c r="G258" s="38" t="str">
        <f t="shared" si="16"/>
        <v/>
      </c>
      <c r="H258" s="36" t="str">
        <f t="shared" si="20"/>
        <v/>
      </c>
      <c r="J258" s="141" t="str">
        <f t="shared" si="17"/>
        <v/>
      </c>
      <c r="K258" s="141" t="str">
        <f t="shared" si="18"/>
        <v/>
      </c>
      <c r="L258" s="141" t="str">
        <f t="shared" si="19"/>
        <v/>
      </c>
    </row>
    <row r="259" spans="1:12" x14ac:dyDescent="0.3">
      <c r="A259" s="36" t="str">
        <f xml:space="preserve"> IF( 'From SvanPC++'!A259= "", "", ('From SvanPC++'!A259))</f>
        <v/>
      </c>
      <c r="C259" s="47" t="s">
        <v>10</v>
      </c>
      <c r="G259" s="38" t="str">
        <f t="shared" si="16"/>
        <v/>
      </c>
      <c r="H259" s="36" t="str">
        <f t="shared" si="20"/>
        <v/>
      </c>
      <c r="J259" s="141" t="str">
        <f t="shared" si="17"/>
        <v/>
      </c>
      <c r="K259" s="141" t="str">
        <f t="shared" si="18"/>
        <v/>
      </c>
      <c r="L259" s="141" t="str">
        <f t="shared" si="19"/>
        <v/>
      </c>
    </row>
    <row r="260" spans="1:12" x14ac:dyDescent="0.3">
      <c r="A260" s="36" t="str">
        <f xml:space="preserve"> IF( 'From SvanPC++'!A260= "", "", ('From SvanPC++'!A260))</f>
        <v/>
      </c>
      <c r="C260" s="47" t="s">
        <v>10</v>
      </c>
      <c r="G260" s="38" t="str">
        <f t="shared" si="16"/>
        <v/>
      </c>
      <c r="H260" s="36" t="str">
        <f t="shared" si="20"/>
        <v/>
      </c>
      <c r="J260" s="141" t="str">
        <f t="shared" si="17"/>
        <v/>
      </c>
      <c r="K260" s="141" t="str">
        <f t="shared" si="18"/>
        <v/>
      </c>
      <c r="L260" s="141" t="str">
        <f t="shared" si="19"/>
        <v/>
      </c>
    </row>
    <row r="261" spans="1:12" x14ac:dyDescent="0.3">
      <c r="A261" s="36" t="str">
        <f xml:space="preserve"> IF( 'From SvanPC++'!A261= "", "", ('From SvanPC++'!A261))</f>
        <v/>
      </c>
      <c r="C261" s="47" t="s">
        <v>10</v>
      </c>
      <c r="G261" s="38" t="str">
        <f t="shared" si="16"/>
        <v/>
      </c>
      <c r="H261" s="36" t="str">
        <f t="shared" si="20"/>
        <v/>
      </c>
      <c r="J261" s="141" t="str">
        <f t="shared" si="17"/>
        <v/>
      </c>
      <c r="K261" s="141" t="str">
        <f t="shared" si="18"/>
        <v/>
      </c>
      <c r="L261" s="141" t="str">
        <f t="shared" si="19"/>
        <v/>
      </c>
    </row>
    <row r="262" spans="1:12" x14ac:dyDescent="0.3">
      <c r="A262" s="36" t="str">
        <f xml:space="preserve"> IF( 'From SvanPC++'!A262= "", "", ('From SvanPC++'!A262))</f>
        <v/>
      </c>
      <c r="C262" s="47" t="s">
        <v>10</v>
      </c>
      <c r="G262" s="38" t="str">
        <f t="shared" si="16"/>
        <v/>
      </c>
      <c r="H262" s="36" t="str">
        <f t="shared" si="20"/>
        <v/>
      </c>
      <c r="J262" s="141" t="str">
        <f t="shared" si="17"/>
        <v/>
      </c>
      <c r="K262" s="141" t="str">
        <f t="shared" si="18"/>
        <v/>
      </c>
      <c r="L262" s="141" t="str">
        <f t="shared" si="19"/>
        <v/>
      </c>
    </row>
    <row r="263" spans="1:12" x14ac:dyDescent="0.3">
      <c r="A263" s="36" t="str">
        <f xml:space="preserve"> IF( 'From SvanPC++'!A263= "", "", ('From SvanPC++'!A263))</f>
        <v/>
      </c>
      <c r="C263" s="47" t="s">
        <v>10</v>
      </c>
      <c r="G263" s="38" t="str">
        <f t="shared" ref="G263:G326" si="21" xml:space="preserve"> IF( D263= "", "", ( IF( AND( D263 &gt;= TIMEVALUE( "07:00:01" ), D263 &lt; TIMEVALUE( "08:00:01" ) ) = TRUE, (G262+1), (G262+0) )))</f>
        <v/>
      </c>
      <c r="H263" s="36" t="str">
        <f t="shared" si="20"/>
        <v/>
      </c>
      <c r="J263" s="141" t="str">
        <f t="shared" si="17"/>
        <v/>
      </c>
      <c r="K263" s="141" t="str">
        <f t="shared" si="18"/>
        <v/>
      </c>
      <c r="L263" s="141" t="str">
        <f t="shared" si="19"/>
        <v/>
      </c>
    </row>
    <row r="264" spans="1:12" x14ac:dyDescent="0.3">
      <c r="A264" s="36" t="str">
        <f xml:space="preserve"> IF( 'From SvanPC++'!A264= "", "", ('From SvanPC++'!A264))</f>
        <v/>
      </c>
      <c r="C264" s="47" t="s">
        <v>10</v>
      </c>
      <c r="G264" s="38" t="str">
        <f t="shared" si="21"/>
        <v/>
      </c>
      <c r="H264" s="36" t="str">
        <f t="shared" si="20"/>
        <v/>
      </c>
      <c r="J264" s="141" t="str">
        <f t="shared" ref="J264:J327" si="22" xml:space="preserve"> IF( ISERROR( IF( D264= "", "", ( IF( G264= (G263+1), ( AVERAGEIFS( E264:E408, G264:G408, G264, H264:H408, "Day" )), "" )))), "",( IF( D264= "", "", ( IF( G264= (G263+1), ( AVERAGEIFS( E264:E408, G264:G408, G264, H264:H408, "Day" )), "" )))))</f>
        <v/>
      </c>
      <c r="K264" s="141" t="str">
        <f t="shared" ref="K264:K327" si="23" xml:space="preserve"> IF( ISERROR( IF( D264= "", "", ( IF( G264= (G263+1), ( AVERAGEIFS( E264:E408, G264:G408, G264, H264:H408, "Evening" )), "" )))), "",( IF( D264= "", "", ( IF( G264= (G263+1), ( AVERAGEIFS( E264:E408, G264:G408, G264, H264:H408, "Evening" )), "" )))))</f>
        <v/>
      </c>
      <c r="L264" s="141" t="str">
        <f t="shared" ref="L264:L327" si="24" xml:space="preserve"> IF( ISERROR( IF( D264= "", "", ( IF( G264= (G263+1), ( AVERAGEIFS( E264:E408, G264:G408, G264, H264:H408, "Night" )), "" )))), "",( IF( D264= "", "", ( IF( G264= (G263+1), ( AVERAGEIFS( E264:E408, G264:G408, G264, H264:H408, "Night" )), "" )))))</f>
        <v/>
      </c>
    </row>
    <row r="265" spans="1:12" x14ac:dyDescent="0.3">
      <c r="A265" s="36" t="str">
        <f xml:space="preserve"> IF( 'From SvanPC++'!A265= "", "", ('From SvanPC++'!A265))</f>
        <v/>
      </c>
      <c r="C265" s="47" t="s">
        <v>10</v>
      </c>
      <c r="G265" s="38" t="str">
        <f t="shared" si="21"/>
        <v/>
      </c>
      <c r="H265" s="36" t="str">
        <f t="shared" si="20"/>
        <v/>
      </c>
      <c r="J265" s="141" t="str">
        <f t="shared" si="22"/>
        <v/>
      </c>
      <c r="K265" s="141" t="str">
        <f t="shared" si="23"/>
        <v/>
      </c>
      <c r="L265" s="141" t="str">
        <f t="shared" si="24"/>
        <v/>
      </c>
    </row>
    <row r="266" spans="1:12" x14ac:dyDescent="0.3">
      <c r="A266" s="36" t="str">
        <f xml:space="preserve"> IF( 'From SvanPC++'!A266= "", "", ('From SvanPC++'!A266))</f>
        <v/>
      </c>
      <c r="C266" s="47" t="s">
        <v>10</v>
      </c>
      <c r="G266" s="38" t="str">
        <f t="shared" si="21"/>
        <v/>
      </c>
      <c r="H266" s="36" t="str">
        <f t="shared" si="20"/>
        <v/>
      </c>
      <c r="J266" s="141" t="str">
        <f t="shared" si="22"/>
        <v/>
      </c>
      <c r="K266" s="141" t="str">
        <f t="shared" si="23"/>
        <v/>
      </c>
      <c r="L266" s="141" t="str">
        <f t="shared" si="24"/>
        <v/>
      </c>
    </row>
    <row r="267" spans="1:12" x14ac:dyDescent="0.3">
      <c r="A267" s="36" t="str">
        <f xml:space="preserve"> IF( 'From SvanPC++'!A267= "", "", ('From SvanPC++'!A267))</f>
        <v/>
      </c>
      <c r="C267" s="47" t="s">
        <v>10</v>
      </c>
      <c r="G267" s="38" t="str">
        <f t="shared" si="21"/>
        <v/>
      </c>
      <c r="H267" s="36" t="str">
        <f t="shared" si="20"/>
        <v/>
      </c>
      <c r="J267" s="141" t="str">
        <f t="shared" si="22"/>
        <v/>
      </c>
      <c r="K267" s="141" t="str">
        <f t="shared" si="23"/>
        <v/>
      </c>
      <c r="L267" s="141" t="str">
        <f t="shared" si="24"/>
        <v/>
      </c>
    </row>
    <row r="268" spans="1:12" x14ac:dyDescent="0.3">
      <c r="A268" s="36" t="str">
        <f xml:space="preserve"> IF( 'From SvanPC++'!A268= "", "", ('From SvanPC++'!A268))</f>
        <v/>
      </c>
      <c r="C268" s="47" t="s">
        <v>10</v>
      </c>
      <c r="G268" s="38" t="str">
        <f t="shared" si="21"/>
        <v/>
      </c>
      <c r="H268" s="36" t="str">
        <f t="shared" si="20"/>
        <v/>
      </c>
      <c r="J268" s="141" t="str">
        <f t="shared" si="22"/>
        <v/>
      </c>
      <c r="K268" s="141" t="str">
        <f t="shared" si="23"/>
        <v/>
      </c>
      <c r="L268" s="141" t="str">
        <f t="shared" si="24"/>
        <v/>
      </c>
    </row>
    <row r="269" spans="1:12" x14ac:dyDescent="0.3">
      <c r="A269" s="36" t="str">
        <f xml:space="preserve"> IF( 'From SvanPC++'!A269= "", "", ('From SvanPC++'!A269))</f>
        <v/>
      </c>
      <c r="C269" s="47" t="s">
        <v>10</v>
      </c>
      <c r="G269" s="38" t="str">
        <f t="shared" si="21"/>
        <v/>
      </c>
      <c r="H269" s="36" t="str">
        <f t="shared" si="20"/>
        <v/>
      </c>
      <c r="J269" s="141" t="str">
        <f t="shared" si="22"/>
        <v/>
      </c>
      <c r="K269" s="141" t="str">
        <f t="shared" si="23"/>
        <v/>
      </c>
      <c r="L269" s="141" t="str">
        <f t="shared" si="24"/>
        <v/>
      </c>
    </row>
    <row r="270" spans="1:12" x14ac:dyDescent="0.3">
      <c r="A270" s="36" t="str">
        <f xml:space="preserve"> IF( 'From SvanPC++'!A270= "", "", ('From SvanPC++'!A270))</f>
        <v/>
      </c>
      <c r="C270" s="47" t="s">
        <v>10</v>
      </c>
      <c r="G270" s="38" t="str">
        <f t="shared" si="21"/>
        <v/>
      </c>
      <c r="H270" s="36" t="str">
        <f t="shared" si="20"/>
        <v/>
      </c>
      <c r="J270" s="141" t="str">
        <f t="shared" si="22"/>
        <v/>
      </c>
      <c r="K270" s="141" t="str">
        <f t="shared" si="23"/>
        <v/>
      </c>
      <c r="L270" s="141" t="str">
        <f t="shared" si="24"/>
        <v/>
      </c>
    </row>
    <row r="271" spans="1:12" x14ac:dyDescent="0.3">
      <c r="A271" s="36" t="str">
        <f xml:space="preserve"> IF( 'From SvanPC++'!A271= "", "", ('From SvanPC++'!A271))</f>
        <v/>
      </c>
      <c r="C271" s="47" t="s">
        <v>10</v>
      </c>
      <c r="G271" s="38" t="str">
        <f t="shared" si="21"/>
        <v/>
      </c>
      <c r="H271" s="36" t="str">
        <f t="shared" si="20"/>
        <v/>
      </c>
      <c r="J271" s="141" t="str">
        <f t="shared" si="22"/>
        <v/>
      </c>
      <c r="K271" s="141" t="str">
        <f t="shared" si="23"/>
        <v/>
      </c>
      <c r="L271" s="141" t="str">
        <f t="shared" si="24"/>
        <v/>
      </c>
    </row>
    <row r="272" spans="1:12" x14ac:dyDescent="0.3">
      <c r="A272" s="36" t="str">
        <f xml:space="preserve"> IF( 'From SvanPC++'!A272= "", "", ('From SvanPC++'!A272))</f>
        <v/>
      </c>
      <c r="C272" s="47" t="s">
        <v>10</v>
      </c>
      <c r="G272" s="38" t="str">
        <f t="shared" si="21"/>
        <v/>
      </c>
      <c r="H272" s="36" t="str">
        <f t="shared" si="20"/>
        <v/>
      </c>
      <c r="J272" s="141" t="str">
        <f t="shared" si="22"/>
        <v/>
      </c>
      <c r="K272" s="141" t="str">
        <f t="shared" si="23"/>
        <v/>
      </c>
      <c r="L272" s="141" t="str">
        <f t="shared" si="24"/>
        <v/>
      </c>
    </row>
    <row r="273" spans="1:12" x14ac:dyDescent="0.3">
      <c r="A273" s="36" t="str">
        <f xml:space="preserve"> IF( 'From SvanPC++'!A273= "", "", ('From SvanPC++'!A273))</f>
        <v/>
      </c>
      <c r="C273" s="47" t="s">
        <v>10</v>
      </c>
      <c r="G273" s="38" t="str">
        <f t="shared" si="21"/>
        <v/>
      </c>
      <c r="H273" s="36" t="str">
        <f t="shared" si="20"/>
        <v/>
      </c>
      <c r="J273" s="141" t="str">
        <f t="shared" si="22"/>
        <v/>
      </c>
      <c r="K273" s="141" t="str">
        <f t="shared" si="23"/>
        <v/>
      </c>
      <c r="L273" s="141" t="str">
        <f t="shared" si="24"/>
        <v/>
      </c>
    </row>
    <row r="274" spans="1:12" x14ac:dyDescent="0.3">
      <c r="A274" s="36" t="str">
        <f xml:space="preserve"> IF( 'From SvanPC++'!A274= "", "", ('From SvanPC++'!A274))</f>
        <v/>
      </c>
      <c r="C274" s="47" t="s">
        <v>10</v>
      </c>
      <c r="G274" s="38" t="str">
        <f t="shared" si="21"/>
        <v/>
      </c>
      <c r="H274" s="36" t="str">
        <f t="shared" si="20"/>
        <v/>
      </c>
      <c r="J274" s="141" t="str">
        <f t="shared" si="22"/>
        <v/>
      </c>
      <c r="K274" s="141" t="str">
        <f t="shared" si="23"/>
        <v/>
      </c>
      <c r="L274" s="141" t="str">
        <f t="shared" si="24"/>
        <v/>
      </c>
    </row>
    <row r="275" spans="1:12" x14ac:dyDescent="0.3">
      <c r="A275" s="36" t="str">
        <f xml:space="preserve"> IF( 'From SvanPC++'!A275= "", "", ('From SvanPC++'!A275))</f>
        <v/>
      </c>
      <c r="C275" s="47" t="s">
        <v>10</v>
      </c>
      <c r="G275" s="38" t="str">
        <f t="shared" si="21"/>
        <v/>
      </c>
      <c r="H275" s="36" t="str">
        <f t="shared" si="20"/>
        <v/>
      </c>
      <c r="J275" s="141" t="str">
        <f t="shared" si="22"/>
        <v/>
      </c>
      <c r="K275" s="141" t="str">
        <f t="shared" si="23"/>
        <v/>
      </c>
      <c r="L275" s="141" t="str">
        <f t="shared" si="24"/>
        <v/>
      </c>
    </row>
    <row r="276" spans="1:12" x14ac:dyDescent="0.3">
      <c r="A276" s="36" t="str">
        <f xml:space="preserve"> IF( 'From SvanPC++'!A276= "", "", ('From SvanPC++'!A276))</f>
        <v/>
      </c>
      <c r="C276" s="47" t="s">
        <v>10</v>
      </c>
      <c r="G276" s="38" t="str">
        <f t="shared" si="21"/>
        <v/>
      </c>
      <c r="H276" s="36" t="str">
        <f t="shared" si="20"/>
        <v/>
      </c>
      <c r="J276" s="141" t="str">
        <f t="shared" si="22"/>
        <v/>
      </c>
      <c r="K276" s="141" t="str">
        <f t="shared" si="23"/>
        <v/>
      </c>
      <c r="L276" s="141" t="str">
        <f t="shared" si="24"/>
        <v/>
      </c>
    </row>
    <row r="277" spans="1:12" x14ac:dyDescent="0.3">
      <c r="A277" s="36" t="str">
        <f xml:space="preserve"> IF( 'From SvanPC++'!A277= "", "", ('From SvanPC++'!A277))</f>
        <v/>
      </c>
      <c r="C277" s="47" t="s">
        <v>10</v>
      </c>
      <c r="G277" s="38" t="str">
        <f t="shared" si="21"/>
        <v/>
      </c>
      <c r="H277" s="36" t="str">
        <f t="shared" si="20"/>
        <v/>
      </c>
      <c r="J277" s="141" t="str">
        <f t="shared" si="22"/>
        <v/>
      </c>
      <c r="K277" s="141" t="str">
        <f t="shared" si="23"/>
        <v/>
      </c>
      <c r="L277" s="141" t="str">
        <f t="shared" si="24"/>
        <v/>
      </c>
    </row>
    <row r="278" spans="1:12" x14ac:dyDescent="0.3">
      <c r="A278" s="36" t="str">
        <f xml:space="preserve"> IF( 'From SvanPC++'!A278= "", "", ('From SvanPC++'!A278))</f>
        <v/>
      </c>
      <c r="C278" s="47" t="s">
        <v>10</v>
      </c>
      <c r="G278" s="38" t="str">
        <f t="shared" si="21"/>
        <v/>
      </c>
      <c r="H278" s="36" t="str">
        <f t="shared" si="20"/>
        <v/>
      </c>
      <c r="J278" s="141" t="str">
        <f t="shared" si="22"/>
        <v/>
      </c>
      <c r="K278" s="141" t="str">
        <f t="shared" si="23"/>
        <v/>
      </c>
      <c r="L278" s="141" t="str">
        <f t="shared" si="24"/>
        <v/>
      </c>
    </row>
    <row r="279" spans="1:12" x14ac:dyDescent="0.3">
      <c r="A279" s="36" t="str">
        <f xml:space="preserve"> IF( 'From SvanPC++'!A279= "", "", ('From SvanPC++'!A279))</f>
        <v/>
      </c>
      <c r="C279" s="47" t="s">
        <v>10</v>
      </c>
      <c r="G279" s="38" t="str">
        <f t="shared" si="21"/>
        <v/>
      </c>
      <c r="H279" s="36" t="str">
        <f t="shared" ref="H279:H342" si="25" xml:space="preserve"> IF( D279= "", "", ( IF( AND( D279 &gt;= TIMEVALUE( "07:00:01" ), D279 &lt;= TIMEVALUE( "13:00:00" ), WEEKDAY( C279) =(7+N("Lines 2-17 = saturday day period")) ) = TRUE, "Day",
IF( AND( D279 &gt;= TIMEVALUE( "07:00:01" ), D279 &lt;= TIMEVALUE( "18:00:00" ), WEEKDAY( C279,1+N("Lines 19-38 = weekday day period")) &gt;=2, ( WEEKDAY( C279,1) &lt;=6) ) = TRUE, "Day",
IF( AND( D279 &gt;= TIMEVALUE( "13:00:01" ), D279 &lt;= TIMEVALUE( "22:00:00" ), WEEKDAY( C279) =(7+N("Lines 40-56 = saturday evening period")) ) = TRUE, "Evening",
IF( AND( D279 &gt;= TIMEVALUE( "18:00:01" ), D279 &lt;= TIMEVALUE( "22:00:00" ), WEEKDAY( C279,1+N("Lines 57-77 = weekday evening period")) &gt;=2, ( WEEKDAY( C279,1) &lt;=6) ) = TRUE, "Evening",
IF( AND( D279 &gt;= TIMEVALUE( "07:00:01" ), D279 &lt;= TIMEVALUE( "22:00:00" ), WEEKDAY( C279) =(1+N("Lines 78-94 = sunday evening period")) ) = TRUE, "Evening",
IF( AND( D279 &gt;= TIMEVALUE( "22:00:01" ), D279 &lt;= TIMEVALUE( "23:59:59" ), WEEKDAY( C279) =(7+N("Lines 95-111 = saturday night1 period")) ) = TRUE, "Night",
IF( AND( D279 &gt;= TIMEVALUE( "00:00:00" ), D279 &lt;= TIMEVALUE( "07:00:00" ), WEEKDAY( C279) =(7+N("Lines 112-128 = saturday night2 period")) ) = TRUE, "Night",
IF( AND( D279 &gt;= TIMEVALUE( "22:00:01" ), D279 &lt;= TIMEVALUE( "23:59:59" ), WEEKDAY( C279,1+N("Lines 129-149 = weekday night1 period")) &gt;=2, ( WEEKDAY( C279,1) &lt;=6) ) = TRUE, "Night",
IF( AND( D279 &gt;= TIMEVALUE( "00:00:00" ), D279 &lt;= TIMEVALUE( "07:00:00" ), WEEKDAY( C279,1+N("Lines 150-170 = weekday night2 period")) &gt;=2, ( WEEKDAY( C279,1) &lt;=6) ) = TRUE, "Night",
IF( AND( D279 &gt;= TIMEVALUE( "20:00:01" ), D279 &lt;= TIMEVALUE( "23:59:59" ), WEEKDAY( C279) =(1+N("Lines 171-187 = sunday night1 period")) ) = TRUE, "Night",
IF( AND( D279 &gt;= TIMEVALUE( "00:00:00" ), D279 &lt;= TIMEVALUE( "07:00:00" ), WEEKDAY( C279) =(1+N("Lines 188-204 = sunday night2 period")) ) = TRUE, "Night", )))))))))))))</f>
        <v/>
      </c>
      <c r="J279" s="141" t="str">
        <f t="shared" si="22"/>
        <v/>
      </c>
      <c r="K279" s="141" t="str">
        <f t="shared" si="23"/>
        <v/>
      </c>
      <c r="L279" s="141" t="str">
        <f t="shared" si="24"/>
        <v/>
      </c>
    </row>
    <row r="280" spans="1:12" x14ac:dyDescent="0.3">
      <c r="A280" s="36" t="str">
        <f xml:space="preserve"> IF( 'From SvanPC++'!A280= "", "", ('From SvanPC++'!A280))</f>
        <v/>
      </c>
      <c r="C280" s="47" t="s">
        <v>10</v>
      </c>
      <c r="G280" s="38" t="str">
        <f t="shared" si="21"/>
        <v/>
      </c>
      <c r="H280" s="36" t="str">
        <f t="shared" si="25"/>
        <v/>
      </c>
      <c r="J280" s="141" t="str">
        <f t="shared" si="22"/>
        <v/>
      </c>
      <c r="K280" s="141" t="str">
        <f t="shared" si="23"/>
        <v/>
      </c>
      <c r="L280" s="141" t="str">
        <f t="shared" si="24"/>
        <v/>
      </c>
    </row>
    <row r="281" spans="1:12" x14ac:dyDescent="0.3">
      <c r="A281" s="36" t="str">
        <f xml:space="preserve"> IF( 'From SvanPC++'!A281= "", "", ('From SvanPC++'!A281))</f>
        <v/>
      </c>
      <c r="C281" s="47" t="s">
        <v>10</v>
      </c>
      <c r="G281" s="38" t="str">
        <f t="shared" si="21"/>
        <v/>
      </c>
      <c r="H281" s="36" t="str">
        <f t="shared" si="25"/>
        <v/>
      </c>
      <c r="J281" s="141" t="str">
        <f t="shared" si="22"/>
        <v/>
      </c>
      <c r="K281" s="141" t="str">
        <f t="shared" si="23"/>
        <v/>
      </c>
      <c r="L281" s="141" t="str">
        <f t="shared" si="24"/>
        <v/>
      </c>
    </row>
    <row r="282" spans="1:12" x14ac:dyDescent="0.3">
      <c r="A282" s="36" t="str">
        <f xml:space="preserve"> IF( 'From SvanPC++'!A282= "", "", ('From SvanPC++'!A282))</f>
        <v/>
      </c>
      <c r="C282" s="47" t="s">
        <v>10</v>
      </c>
      <c r="G282" s="38" t="str">
        <f t="shared" si="21"/>
        <v/>
      </c>
      <c r="H282" s="36" t="str">
        <f t="shared" si="25"/>
        <v/>
      </c>
      <c r="J282" s="141" t="str">
        <f t="shared" si="22"/>
        <v/>
      </c>
      <c r="K282" s="141" t="str">
        <f t="shared" si="23"/>
        <v/>
      </c>
      <c r="L282" s="141" t="str">
        <f t="shared" si="24"/>
        <v/>
      </c>
    </row>
    <row r="283" spans="1:12" x14ac:dyDescent="0.3">
      <c r="A283" s="36" t="str">
        <f xml:space="preserve"> IF( 'From SvanPC++'!A283= "", "", ('From SvanPC++'!A283))</f>
        <v/>
      </c>
      <c r="C283" s="47" t="s">
        <v>10</v>
      </c>
      <c r="G283" s="38" t="str">
        <f t="shared" si="21"/>
        <v/>
      </c>
      <c r="H283" s="36" t="str">
        <f t="shared" si="25"/>
        <v/>
      </c>
      <c r="J283" s="141" t="str">
        <f t="shared" si="22"/>
        <v/>
      </c>
      <c r="K283" s="141" t="str">
        <f t="shared" si="23"/>
        <v/>
      </c>
      <c r="L283" s="141" t="str">
        <f t="shared" si="24"/>
        <v/>
      </c>
    </row>
    <row r="284" spans="1:12" x14ac:dyDescent="0.3">
      <c r="A284" s="36" t="str">
        <f xml:space="preserve"> IF( 'From SvanPC++'!A284= "", "", ('From SvanPC++'!A284))</f>
        <v/>
      </c>
      <c r="C284" s="47" t="s">
        <v>10</v>
      </c>
      <c r="G284" s="38" t="str">
        <f t="shared" si="21"/>
        <v/>
      </c>
      <c r="H284" s="36" t="str">
        <f t="shared" si="25"/>
        <v/>
      </c>
      <c r="J284" s="141" t="str">
        <f t="shared" si="22"/>
        <v/>
      </c>
      <c r="K284" s="141" t="str">
        <f t="shared" si="23"/>
        <v/>
      </c>
      <c r="L284" s="141" t="str">
        <f t="shared" si="24"/>
        <v/>
      </c>
    </row>
    <row r="285" spans="1:12" x14ac:dyDescent="0.3">
      <c r="A285" s="36" t="str">
        <f xml:space="preserve"> IF( 'From SvanPC++'!A285= "", "", ('From SvanPC++'!A285))</f>
        <v/>
      </c>
      <c r="C285" s="47" t="s">
        <v>10</v>
      </c>
      <c r="G285" s="38" t="str">
        <f t="shared" si="21"/>
        <v/>
      </c>
      <c r="H285" s="36" t="str">
        <f t="shared" si="25"/>
        <v/>
      </c>
      <c r="J285" s="141" t="str">
        <f t="shared" si="22"/>
        <v/>
      </c>
      <c r="K285" s="141" t="str">
        <f t="shared" si="23"/>
        <v/>
      </c>
      <c r="L285" s="141" t="str">
        <f t="shared" si="24"/>
        <v/>
      </c>
    </row>
    <row r="286" spans="1:12" x14ac:dyDescent="0.3">
      <c r="A286" s="36" t="str">
        <f xml:space="preserve"> IF( 'From SvanPC++'!A286= "", "", ('From SvanPC++'!A286))</f>
        <v/>
      </c>
      <c r="C286" s="47" t="s">
        <v>10</v>
      </c>
      <c r="G286" s="38" t="str">
        <f t="shared" si="21"/>
        <v/>
      </c>
      <c r="H286" s="36" t="str">
        <f t="shared" si="25"/>
        <v/>
      </c>
      <c r="J286" s="141" t="str">
        <f t="shared" si="22"/>
        <v/>
      </c>
      <c r="K286" s="141" t="str">
        <f t="shared" si="23"/>
        <v/>
      </c>
      <c r="L286" s="141" t="str">
        <f t="shared" si="24"/>
        <v/>
      </c>
    </row>
    <row r="287" spans="1:12" x14ac:dyDescent="0.3">
      <c r="A287" s="36" t="str">
        <f xml:space="preserve"> IF( 'From SvanPC++'!A287= "", "", ('From SvanPC++'!A287))</f>
        <v/>
      </c>
      <c r="C287" s="47" t="s">
        <v>10</v>
      </c>
      <c r="G287" s="38" t="str">
        <f t="shared" si="21"/>
        <v/>
      </c>
      <c r="H287" s="36" t="str">
        <f t="shared" si="25"/>
        <v/>
      </c>
      <c r="J287" s="141" t="str">
        <f t="shared" si="22"/>
        <v/>
      </c>
      <c r="K287" s="141" t="str">
        <f t="shared" si="23"/>
        <v/>
      </c>
      <c r="L287" s="141" t="str">
        <f t="shared" si="24"/>
        <v/>
      </c>
    </row>
    <row r="288" spans="1:12" x14ac:dyDescent="0.3">
      <c r="A288" s="36" t="str">
        <f xml:space="preserve"> IF( 'From SvanPC++'!A288= "", "", ('From SvanPC++'!A288))</f>
        <v/>
      </c>
      <c r="C288" s="47" t="s">
        <v>10</v>
      </c>
      <c r="G288" s="38" t="str">
        <f t="shared" si="21"/>
        <v/>
      </c>
      <c r="H288" s="36" t="str">
        <f t="shared" si="25"/>
        <v/>
      </c>
      <c r="J288" s="141" t="str">
        <f t="shared" si="22"/>
        <v/>
      </c>
      <c r="K288" s="141" t="str">
        <f t="shared" si="23"/>
        <v/>
      </c>
      <c r="L288" s="141" t="str">
        <f t="shared" si="24"/>
        <v/>
      </c>
    </row>
    <row r="289" spans="1:12" x14ac:dyDescent="0.3">
      <c r="A289" s="36" t="str">
        <f xml:space="preserve"> IF( 'From SvanPC++'!A289= "", "", ('From SvanPC++'!A289))</f>
        <v/>
      </c>
      <c r="C289" s="47" t="s">
        <v>10</v>
      </c>
      <c r="G289" s="38" t="str">
        <f t="shared" si="21"/>
        <v/>
      </c>
      <c r="H289" s="36" t="str">
        <f t="shared" si="25"/>
        <v/>
      </c>
      <c r="J289" s="141" t="str">
        <f t="shared" si="22"/>
        <v/>
      </c>
      <c r="K289" s="141" t="str">
        <f t="shared" si="23"/>
        <v/>
      </c>
      <c r="L289" s="141" t="str">
        <f t="shared" si="24"/>
        <v/>
      </c>
    </row>
    <row r="290" spans="1:12" x14ac:dyDescent="0.3">
      <c r="A290" s="36" t="str">
        <f xml:space="preserve"> IF( 'From SvanPC++'!A290= "", "", ('From SvanPC++'!A290))</f>
        <v/>
      </c>
      <c r="C290" s="47" t="s">
        <v>10</v>
      </c>
      <c r="G290" s="38" t="str">
        <f t="shared" si="21"/>
        <v/>
      </c>
      <c r="H290" s="36" t="str">
        <f t="shared" si="25"/>
        <v/>
      </c>
      <c r="J290" s="141" t="str">
        <f t="shared" si="22"/>
        <v/>
      </c>
      <c r="K290" s="141" t="str">
        <f t="shared" si="23"/>
        <v/>
      </c>
      <c r="L290" s="141" t="str">
        <f t="shared" si="24"/>
        <v/>
      </c>
    </row>
    <row r="291" spans="1:12" x14ac:dyDescent="0.3">
      <c r="A291" s="36" t="str">
        <f xml:space="preserve"> IF( 'From SvanPC++'!A291= "", "", ('From SvanPC++'!A291))</f>
        <v/>
      </c>
      <c r="C291" s="47" t="s">
        <v>10</v>
      </c>
      <c r="G291" s="38" t="str">
        <f t="shared" si="21"/>
        <v/>
      </c>
      <c r="H291" s="36" t="str">
        <f t="shared" si="25"/>
        <v/>
      </c>
      <c r="J291" s="141" t="str">
        <f t="shared" si="22"/>
        <v/>
      </c>
      <c r="K291" s="141" t="str">
        <f t="shared" si="23"/>
        <v/>
      </c>
      <c r="L291" s="141" t="str">
        <f t="shared" si="24"/>
        <v/>
      </c>
    </row>
    <row r="292" spans="1:12" x14ac:dyDescent="0.3">
      <c r="A292" s="36" t="str">
        <f xml:space="preserve"> IF( 'From SvanPC++'!A292= "", "", ('From SvanPC++'!A292))</f>
        <v/>
      </c>
      <c r="C292" s="47" t="s">
        <v>10</v>
      </c>
      <c r="G292" s="38" t="str">
        <f t="shared" si="21"/>
        <v/>
      </c>
      <c r="H292" s="36" t="str">
        <f t="shared" si="25"/>
        <v/>
      </c>
      <c r="J292" s="141" t="str">
        <f t="shared" si="22"/>
        <v/>
      </c>
      <c r="K292" s="141" t="str">
        <f t="shared" si="23"/>
        <v/>
      </c>
      <c r="L292" s="141" t="str">
        <f t="shared" si="24"/>
        <v/>
      </c>
    </row>
    <row r="293" spans="1:12" x14ac:dyDescent="0.3">
      <c r="A293" s="36" t="str">
        <f xml:space="preserve"> IF( 'From SvanPC++'!A293= "", "", ('From SvanPC++'!A293))</f>
        <v/>
      </c>
      <c r="C293" s="47" t="s">
        <v>10</v>
      </c>
      <c r="G293" s="38" t="str">
        <f t="shared" si="21"/>
        <v/>
      </c>
      <c r="H293" s="36" t="str">
        <f t="shared" si="25"/>
        <v/>
      </c>
      <c r="J293" s="141" t="str">
        <f t="shared" si="22"/>
        <v/>
      </c>
      <c r="K293" s="141" t="str">
        <f t="shared" si="23"/>
        <v/>
      </c>
      <c r="L293" s="141" t="str">
        <f t="shared" si="24"/>
        <v/>
      </c>
    </row>
    <row r="294" spans="1:12" x14ac:dyDescent="0.3">
      <c r="A294" s="36" t="str">
        <f xml:space="preserve"> IF( 'From SvanPC++'!A294= "", "", ('From SvanPC++'!A294))</f>
        <v/>
      </c>
      <c r="C294" s="47" t="s">
        <v>10</v>
      </c>
      <c r="G294" s="38" t="str">
        <f t="shared" si="21"/>
        <v/>
      </c>
      <c r="H294" s="36" t="str">
        <f t="shared" si="25"/>
        <v/>
      </c>
      <c r="J294" s="141" t="str">
        <f t="shared" si="22"/>
        <v/>
      </c>
      <c r="K294" s="141" t="str">
        <f t="shared" si="23"/>
        <v/>
      </c>
      <c r="L294" s="141" t="str">
        <f t="shared" si="24"/>
        <v/>
      </c>
    </row>
    <row r="295" spans="1:12" x14ac:dyDescent="0.3">
      <c r="A295" s="36" t="str">
        <f xml:space="preserve"> IF( 'From SvanPC++'!A295= "", "", ('From SvanPC++'!A295))</f>
        <v/>
      </c>
      <c r="C295" s="47" t="s">
        <v>10</v>
      </c>
      <c r="G295" s="38" t="str">
        <f t="shared" si="21"/>
        <v/>
      </c>
      <c r="H295" s="36" t="str">
        <f t="shared" si="25"/>
        <v/>
      </c>
      <c r="J295" s="141" t="str">
        <f t="shared" si="22"/>
        <v/>
      </c>
      <c r="K295" s="141" t="str">
        <f t="shared" si="23"/>
        <v/>
      </c>
      <c r="L295" s="141" t="str">
        <f t="shared" si="24"/>
        <v/>
      </c>
    </row>
    <row r="296" spans="1:12" x14ac:dyDescent="0.3">
      <c r="A296" s="36" t="str">
        <f xml:space="preserve"> IF( 'From SvanPC++'!A296= "", "", ('From SvanPC++'!A296))</f>
        <v/>
      </c>
      <c r="C296" s="47" t="s">
        <v>10</v>
      </c>
      <c r="G296" s="38" t="str">
        <f t="shared" si="21"/>
        <v/>
      </c>
      <c r="H296" s="36" t="str">
        <f t="shared" si="25"/>
        <v/>
      </c>
      <c r="J296" s="141" t="str">
        <f t="shared" si="22"/>
        <v/>
      </c>
      <c r="K296" s="141" t="str">
        <f t="shared" si="23"/>
        <v/>
      </c>
      <c r="L296" s="141" t="str">
        <f t="shared" si="24"/>
        <v/>
      </c>
    </row>
    <row r="297" spans="1:12" x14ac:dyDescent="0.3">
      <c r="A297" s="36" t="str">
        <f xml:space="preserve"> IF( 'From SvanPC++'!A297= "", "", ('From SvanPC++'!A297))</f>
        <v/>
      </c>
      <c r="C297" s="47" t="s">
        <v>10</v>
      </c>
      <c r="G297" s="38" t="str">
        <f t="shared" si="21"/>
        <v/>
      </c>
      <c r="H297" s="36" t="str">
        <f t="shared" si="25"/>
        <v/>
      </c>
      <c r="J297" s="141" t="str">
        <f t="shared" si="22"/>
        <v/>
      </c>
      <c r="K297" s="141" t="str">
        <f t="shared" si="23"/>
        <v/>
      </c>
      <c r="L297" s="141" t="str">
        <f t="shared" si="24"/>
        <v/>
      </c>
    </row>
    <row r="298" spans="1:12" x14ac:dyDescent="0.3">
      <c r="A298" s="36" t="str">
        <f xml:space="preserve"> IF( 'From SvanPC++'!A298= "", "", ('From SvanPC++'!A298))</f>
        <v/>
      </c>
      <c r="C298" s="47" t="s">
        <v>10</v>
      </c>
      <c r="G298" s="38" t="str">
        <f t="shared" si="21"/>
        <v/>
      </c>
      <c r="H298" s="36" t="str">
        <f t="shared" si="25"/>
        <v/>
      </c>
      <c r="J298" s="141" t="str">
        <f t="shared" si="22"/>
        <v/>
      </c>
      <c r="K298" s="141" t="str">
        <f t="shared" si="23"/>
        <v/>
      </c>
      <c r="L298" s="141" t="str">
        <f t="shared" si="24"/>
        <v/>
      </c>
    </row>
    <row r="299" spans="1:12" x14ac:dyDescent="0.3">
      <c r="A299" s="36" t="str">
        <f xml:space="preserve"> IF( 'From SvanPC++'!A299= "", "", ('From SvanPC++'!A299))</f>
        <v/>
      </c>
      <c r="C299" s="47" t="s">
        <v>10</v>
      </c>
      <c r="G299" s="38" t="str">
        <f t="shared" si="21"/>
        <v/>
      </c>
      <c r="H299" s="36" t="str">
        <f t="shared" si="25"/>
        <v/>
      </c>
      <c r="J299" s="141" t="str">
        <f t="shared" si="22"/>
        <v/>
      </c>
      <c r="K299" s="141" t="str">
        <f t="shared" si="23"/>
        <v/>
      </c>
      <c r="L299" s="141" t="str">
        <f t="shared" si="24"/>
        <v/>
      </c>
    </row>
    <row r="300" spans="1:12" x14ac:dyDescent="0.3">
      <c r="A300" s="36" t="str">
        <f xml:space="preserve"> IF( 'From SvanPC++'!A300= "", "", ('From SvanPC++'!A300))</f>
        <v/>
      </c>
      <c r="C300" s="47" t="s">
        <v>10</v>
      </c>
      <c r="G300" s="38" t="str">
        <f t="shared" si="21"/>
        <v/>
      </c>
      <c r="H300" s="36" t="str">
        <f t="shared" si="25"/>
        <v/>
      </c>
      <c r="J300" s="141" t="str">
        <f t="shared" si="22"/>
        <v/>
      </c>
      <c r="K300" s="141" t="str">
        <f t="shared" si="23"/>
        <v/>
      </c>
      <c r="L300" s="141" t="str">
        <f t="shared" si="24"/>
        <v/>
      </c>
    </row>
    <row r="301" spans="1:12" x14ac:dyDescent="0.3">
      <c r="A301" s="36" t="str">
        <f xml:space="preserve"> IF( 'From SvanPC++'!A301= "", "", ('From SvanPC++'!A301))</f>
        <v/>
      </c>
      <c r="C301" s="47" t="s">
        <v>10</v>
      </c>
      <c r="G301" s="38" t="str">
        <f t="shared" si="21"/>
        <v/>
      </c>
      <c r="H301" s="36" t="str">
        <f t="shared" si="25"/>
        <v/>
      </c>
      <c r="J301" s="141" t="str">
        <f t="shared" si="22"/>
        <v/>
      </c>
      <c r="K301" s="141" t="str">
        <f t="shared" si="23"/>
        <v/>
      </c>
      <c r="L301" s="141" t="str">
        <f t="shared" si="24"/>
        <v/>
      </c>
    </row>
    <row r="302" spans="1:12" x14ac:dyDescent="0.3">
      <c r="A302" s="36" t="str">
        <f xml:space="preserve"> IF( 'From SvanPC++'!A302= "", "", ('From SvanPC++'!A302))</f>
        <v/>
      </c>
      <c r="C302" s="47" t="s">
        <v>10</v>
      </c>
      <c r="G302" s="38" t="str">
        <f t="shared" si="21"/>
        <v/>
      </c>
      <c r="H302" s="36" t="str">
        <f t="shared" si="25"/>
        <v/>
      </c>
      <c r="J302" s="141" t="str">
        <f t="shared" si="22"/>
        <v/>
      </c>
      <c r="K302" s="141" t="str">
        <f t="shared" si="23"/>
        <v/>
      </c>
      <c r="L302" s="141" t="str">
        <f t="shared" si="24"/>
        <v/>
      </c>
    </row>
    <row r="303" spans="1:12" x14ac:dyDescent="0.3">
      <c r="A303" s="36" t="str">
        <f xml:space="preserve"> IF( 'From SvanPC++'!A303= "", "", ('From SvanPC++'!A303))</f>
        <v/>
      </c>
      <c r="C303" s="47" t="s">
        <v>10</v>
      </c>
      <c r="G303" s="38" t="str">
        <f t="shared" si="21"/>
        <v/>
      </c>
      <c r="H303" s="36" t="str">
        <f t="shared" si="25"/>
        <v/>
      </c>
      <c r="J303" s="141" t="str">
        <f t="shared" si="22"/>
        <v/>
      </c>
      <c r="K303" s="141" t="str">
        <f t="shared" si="23"/>
        <v/>
      </c>
      <c r="L303" s="141" t="str">
        <f t="shared" si="24"/>
        <v/>
      </c>
    </row>
    <row r="304" spans="1:12" x14ac:dyDescent="0.3">
      <c r="A304" s="36" t="str">
        <f xml:space="preserve"> IF( 'From SvanPC++'!A304= "", "", ('From SvanPC++'!A304))</f>
        <v/>
      </c>
      <c r="C304" s="47" t="s">
        <v>10</v>
      </c>
      <c r="G304" s="38" t="str">
        <f t="shared" si="21"/>
        <v/>
      </c>
      <c r="H304" s="36" t="str">
        <f t="shared" si="25"/>
        <v/>
      </c>
      <c r="J304" s="141" t="str">
        <f t="shared" si="22"/>
        <v/>
      </c>
      <c r="K304" s="141" t="str">
        <f t="shared" si="23"/>
        <v/>
      </c>
      <c r="L304" s="141" t="str">
        <f t="shared" si="24"/>
        <v/>
      </c>
    </row>
    <row r="305" spans="1:12" x14ac:dyDescent="0.3">
      <c r="A305" s="36" t="str">
        <f xml:space="preserve"> IF( 'From SvanPC++'!A305= "", "", ('From SvanPC++'!A305))</f>
        <v/>
      </c>
      <c r="C305" s="47" t="s">
        <v>10</v>
      </c>
      <c r="G305" s="38" t="str">
        <f t="shared" si="21"/>
        <v/>
      </c>
      <c r="H305" s="36" t="str">
        <f t="shared" si="25"/>
        <v/>
      </c>
      <c r="J305" s="141" t="str">
        <f t="shared" si="22"/>
        <v/>
      </c>
      <c r="K305" s="141" t="str">
        <f t="shared" si="23"/>
        <v/>
      </c>
      <c r="L305" s="141" t="str">
        <f t="shared" si="24"/>
        <v/>
      </c>
    </row>
    <row r="306" spans="1:12" x14ac:dyDescent="0.3">
      <c r="A306" s="36" t="str">
        <f xml:space="preserve"> IF( 'From SvanPC++'!A306= "", "", ('From SvanPC++'!A306))</f>
        <v/>
      </c>
      <c r="C306" s="47" t="s">
        <v>10</v>
      </c>
      <c r="G306" s="38" t="str">
        <f t="shared" si="21"/>
        <v/>
      </c>
      <c r="H306" s="36" t="str">
        <f t="shared" si="25"/>
        <v/>
      </c>
      <c r="J306" s="141" t="str">
        <f t="shared" si="22"/>
        <v/>
      </c>
      <c r="K306" s="141" t="str">
        <f t="shared" si="23"/>
        <v/>
      </c>
      <c r="L306" s="141" t="str">
        <f t="shared" si="24"/>
        <v/>
      </c>
    </row>
    <row r="307" spans="1:12" x14ac:dyDescent="0.3">
      <c r="A307" s="36" t="str">
        <f xml:space="preserve"> IF( 'From SvanPC++'!A307= "", "", ('From SvanPC++'!A307))</f>
        <v/>
      </c>
      <c r="C307" s="47" t="s">
        <v>10</v>
      </c>
      <c r="G307" s="38" t="str">
        <f t="shared" si="21"/>
        <v/>
      </c>
      <c r="H307" s="36" t="str">
        <f t="shared" si="25"/>
        <v/>
      </c>
      <c r="J307" s="141" t="str">
        <f t="shared" si="22"/>
        <v/>
      </c>
      <c r="K307" s="141" t="str">
        <f t="shared" si="23"/>
        <v/>
      </c>
      <c r="L307" s="141" t="str">
        <f t="shared" si="24"/>
        <v/>
      </c>
    </row>
    <row r="308" spans="1:12" x14ac:dyDescent="0.3">
      <c r="A308" s="36" t="str">
        <f xml:space="preserve"> IF( 'From SvanPC++'!A308= "", "", ('From SvanPC++'!A308))</f>
        <v/>
      </c>
      <c r="C308" s="47" t="s">
        <v>10</v>
      </c>
      <c r="G308" s="38" t="str">
        <f t="shared" si="21"/>
        <v/>
      </c>
      <c r="H308" s="36" t="str">
        <f t="shared" si="25"/>
        <v/>
      </c>
      <c r="J308" s="141" t="str">
        <f t="shared" si="22"/>
        <v/>
      </c>
      <c r="K308" s="141" t="str">
        <f t="shared" si="23"/>
        <v/>
      </c>
      <c r="L308" s="141" t="str">
        <f t="shared" si="24"/>
        <v/>
      </c>
    </row>
    <row r="309" spans="1:12" x14ac:dyDescent="0.3">
      <c r="A309" s="36" t="str">
        <f xml:space="preserve"> IF( 'From SvanPC++'!A309= "", "", ('From SvanPC++'!A309))</f>
        <v/>
      </c>
      <c r="C309" s="47" t="s">
        <v>10</v>
      </c>
      <c r="G309" s="38" t="str">
        <f t="shared" si="21"/>
        <v/>
      </c>
      <c r="H309" s="36" t="str">
        <f t="shared" si="25"/>
        <v/>
      </c>
      <c r="J309" s="141" t="str">
        <f t="shared" si="22"/>
        <v/>
      </c>
      <c r="K309" s="141" t="str">
        <f t="shared" si="23"/>
        <v/>
      </c>
      <c r="L309" s="141" t="str">
        <f t="shared" si="24"/>
        <v/>
      </c>
    </row>
    <row r="310" spans="1:12" x14ac:dyDescent="0.3">
      <c r="A310" s="36" t="str">
        <f xml:space="preserve"> IF( 'From SvanPC++'!A310= "", "", ('From SvanPC++'!A310))</f>
        <v/>
      </c>
      <c r="C310" s="47" t="s">
        <v>10</v>
      </c>
      <c r="G310" s="38" t="str">
        <f t="shared" si="21"/>
        <v/>
      </c>
      <c r="H310" s="36" t="str">
        <f t="shared" si="25"/>
        <v/>
      </c>
      <c r="J310" s="141" t="str">
        <f t="shared" si="22"/>
        <v/>
      </c>
      <c r="K310" s="141" t="str">
        <f t="shared" si="23"/>
        <v/>
      </c>
      <c r="L310" s="141" t="str">
        <f t="shared" si="24"/>
        <v/>
      </c>
    </row>
    <row r="311" spans="1:12" x14ac:dyDescent="0.3">
      <c r="A311" s="36" t="str">
        <f xml:space="preserve"> IF( 'From SvanPC++'!A311= "", "", ('From SvanPC++'!A311))</f>
        <v/>
      </c>
      <c r="C311" s="47" t="s">
        <v>10</v>
      </c>
      <c r="G311" s="38" t="str">
        <f t="shared" si="21"/>
        <v/>
      </c>
      <c r="H311" s="36" t="str">
        <f t="shared" si="25"/>
        <v/>
      </c>
      <c r="J311" s="141" t="str">
        <f t="shared" si="22"/>
        <v/>
      </c>
      <c r="K311" s="141" t="str">
        <f t="shared" si="23"/>
        <v/>
      </c>
      <c r="L311" s="141" t="str">
        <f t="shared" si="24"/>
        <v/>
      </c>
    </row>
    <row r="312" spans="1:12" x14ac:dyDescent="0.3">
      <c r="A312" s="36" t="str">
        <f xml:space="preserve"> IF( 'From SvanPC++'!A312= "", "", ('From SvanPC++'!A312))</f>
        <v/>
      </c>
      <c r="C312" s="47" t="s">
        <v>10</v>
      </c>
      <c r="G312" s="38" t="str">
        <f t="shared" si="21"/>
        <v/>
      </c>
      <c r="H312" s="36" t="str">
        <f t="shared" si="25"/>
        <v/>
      </c>
      <c r="J312" s="141" t="str">
        <f t="shared" si="22"/>
        <v/>
      </c>
      <c r="K312" s="141" t="str">
        <f t="shared" si="23"/>
        <v/>
      </c>
      <c r="L312" s="141" t="str">
        <f t="shared" si="24"/>
        <v/>
      </c>
    </row>
    <row r="313" spans="1:12" x14ac:dyDescent="0.3">
      <c r="A313" s="36" t="str">
        <f xml:space="preserve"> IF( 'From SvanPC++'!A313= "", "", ('From SvanPC++'!A313))</f>
        <v/>
      </c>
      <c r="C313" s="47" t="s">
        <v>10</v>
      </c>
      <c r="G313" s="38" t="str">
        <f t="shared" si="21"/>
        <v/>
      </c>
      <c r="H313" s="36" t="str">
        <f t="shared" si="25"/>
        <v/>
      </c>
      <c r="J313" s="141" t="str">
        <f t="shared" si="22"/>
        <v/>
      </c>
      <c r="K313" s="141" t="str">
        <f t="shared" si="23"/>
        <v/>
      </c>
      <c r="L313" s="141" t="str">
        <f t="shared" si="24"/>
        <v/>
      </c>
    </row>
    <row r="314" spans="1:12" x14ac:dyDescent="0.3">
      <c r="A314" s="36" t="str">
        <f xml:space="preserve"> IF( 'From SvanPC++'!A314= "", "", ('From SvanPC++'!A314))</f>
        <v/>
      </c>
      <c r="C314" s="47" t="s">
        <v>10</v>
      </c>
      <c r="G314" s="38" t="str">
        <f t="shared" si="21"/>
        <v/>
      </c>
      <c r="H314" s="36" t="str">
        <f t="shared" si="25"/>
        <v/>
      </c>
      <c r="J314" s="141" t="str">
        <f t="shared" si="22"/>
        <v/>
      </c>
      <c r="K314" s="141" t="str">
        <f t="shared" si="23"/>
        <v/>
      </c>
      <c r="L314" s="141" t="str">
        <f t="shared" si="24"/>
        <v/>
      </c>
    </row>
    <row r="315" spans="1:12" x14ac:dyDescent="0.3">
      <c r="A315" s="36" t="str">
        <f xml:space="preserve"> IF( 'From SvanPC++'!A315= "", "", ('From SvanPC++'!A315))</f>
        <v/>
      </c>
      <c r="C315" s="47" t="s">
        <v>10</v>
      </c>
      <c r="G315" s="38" t="str">
        <f t="shared" si="21"/>
        <v/>
      </c>
      <c r="H315" s="36" t="str">
        <f t="shared" si="25"/>
        <v/>
      </c>
      <c r="J315" s="141" t="str">
        <f t="shared" si="22"/>
        <v/>
      </c>
      <c r="K315" s="141" t="str">
        <f t="shared" si="23"/>
        <v/>
      </c>
      <c r="L315" s="141" t="str">
        <f t="shared" si="24"/>
        <v/>
      </c>
    </row>
    <row r="316" spans="1:12" x14ac:dyDescent="0.3">
      <c r="A316" s="36" t="str">
        <f xml:space="preserve"> IF( 'From SvanPC++'!A316= "", "", ('From SvanPC++'!A316))</f>
        <v/>
      </c>
      <c r="C316" s="47" t="s">
        <v>10</v>
      </c>
      <c r="G316" s="38" t="str">
        <f t="shared" si="21"/>
        <v/>
      </c>
      <c r="H316" s="36" t="str">
        <f t="shared" si="25"/>
        <v/>
      </c>
      <c r="J316" s="141" t="str">
        <f t="shared" si="22"/>
        <v/>
      </c>
      <c r="K316" s="141" t="str">
        <f t="shared" si="23"/>
        <v/>
      </c>
      <c r="L316" s="141" t="str">
        <f t="shared" si="24"/>
        <v/>
      </c>
    </row>
    <row r="317" spans="1:12" x14ac:dyDescent="0.3">
      <c r="A317" s="36" t="str">
        <f xml:space="preserve"> IF( 'From SvanPC++'!A317= "", "", ('From SvanPC++'!A317))</f>
        <v/>
      </c>
      <c r="C317" s="47" t="s">
        <v>10</v>
      </c>
      <c r="G317" s="38" t="str">
        <f t="shared" si="21"/>
        <v/>
      </c>
      <c r="H317" s="36" t="str">
        <f t="shared" si="25"/>
        <v/>
      </c>
      <c r="J317" s="141" t="str">
        <f t="shared" si="22"/>
        <v/>
      </c>
      <c r="K317" s="141" t="str">
        <f t="shared" si="23"/>
        <v/>
      </c>
      <c r="L317" s="141" t="str">
        <f t="shared" si="24"/>
        <v/>
      </c>
    </row>
    <row r="318" spans="1:12" x14ac:dyDescent="0.3">
      <c r="A318" s="36" t="str">
        <f xml:space="preserve"> IF( 'From SvanPC++'!A318= "", "", ('From SvanPC++'!A318))</f>
        <v/>
      </c>
      <c r="C318" s="47" t="s">
        <v>10</v>
      </c>
      <c r="G318" s="38" t="str">
        <f t="shared" si="21"/>
        <v/>
      </c>
      <c r="H318" s="36" t="str">
        <f t="shared" si="25"/>
        <v/>
      </c>
      <c r="J318" s="141" t="str">
        <f t="shared" si="22"/>
        <v/>
      </c>
      <c r="K318" s="141" t="str">
        <f t="shared" si="23"/>
        <v/>
      </c>
      <c r="L318" s="141" t="str">
        <f t="shared" si="24"/>
        <v/>
      </c>
    </row>
    <row r="319" spans="1:12" x14ac:dyDescent="0.3">
      <c r="A319" s="36" t="str">
        <f xml:space="preserve"> IF( 'From SvanPC++'!A319= "", "", ('From SvanPC++'!A319))</f>
        <v/>
      </c>
      <c r="C319" s="47" t="s">
        <v>10</v>
      </c>
      <c r="G319" s="38" t="str">
        <f t="shared" si="21"/>
        <v/>
      </c>
      <c r="H319" s="36" t="str">
        <f t="shared" si="25"/>
        <v/>
      </c>
      <c r="J319" s="141" t="str">
        <f t="shared" si="22"/>
        <v/>
      </c>
      <c r="K319" s="141" t="str">
        <f t="shared" si="23"/>
        <v/>
      </c>
      <c r="L319" s="141" t="str">
        <f t="shared" si="24"/>
        <v/>
      </c>
    </row>
    <row r="320" spans="1:12" x14ac:dyDescent="0.3">
      <c r="A320" s="36" t="str">
        <f xml:space="preserve"> IF( 'From SvanPC++'!A320= "", "", ('From SvanPC++'!A320))</f>
        <v/>
      </c>
      <c r="C320" s="47" t="s">
        <v>10</v>
      </c>
      <c r="G320" s="38" t="str">
        <f t="shared" si="21"/>
        <v/>
      </c>
      <c r="H320" s="36" t="str">
        <f t="shared" si="25"/>
        <v/>
      </c>
      <c r="J320" s="141" t="str">
        <f t="shared" si="22"/>
        <v/>
      </c>
      <c r="K320" s="141" t="str">
        <f t="shared" si="23"/>
        <v/>
      </c>
      <c r="L320" s="141" t="str">
        <f t="shared" si="24"/>
        <v/>
      </c>
    </row>
    <row r="321" spans="1:12" x14ac:dyDescent="0.3">
      <c r="A321" s="36" t="str">
        <f xml:space="preserve"> IF( 'From SvanPC++'!A321= "", "", ('From SvanPC++'!A321))</f>
        <v/>
      </c>
      <c r="C321" s="47" t="s">
        <v>10</v>
      </c>
      <c r="G321" s="38" t="str">
        <f t="shared" si="21"/>
        <v/>
      </c>
      <c r="H321" s="36" t="str">
        <f t="shared" si="25"/>
        <v/>
      </c>
      <c r="J321" s="141" t="str">
        <f t="shared" si="22"/>
        <v/>
      </c>
      <c r="K321" s="141" t="str">
        <f t="shared" si="23"/>
        <v/>
      </c>
      <c r="L321" s="141" t="str">
        <f t="shared" si="24"/>
        <v/>
      </c>
    </row>
    <row r="322" spans="1:12" x14ac:dyDescent="0.3">
      <c r="A322" s="36" t="str">
        <f xml:space="preserve"> IF( 'From SvanPC++'!A322= "", "", ('From SvanPC++'!A322))</f>
        <v/>
      </c>
      <c r="C322" s="47" t="s">
        <v>10</v>
      </c>
      <c r="G322" s="38" t="str">
        <f t="shared" si="21"/>
        <v/>
      </c>
      <c r="H322" s="36" t="str">
        <f t="shared" si="25"/>
        <v/>
      </c>
      <c r="J322" s="141" t="str">
        <f t="shared" si="22"/>
        <v/>
      </c>
      <c r="K322" s="141" t="str">
        <f t="shared" si="23"/>
        <v/>
      </c>
      <c r="L322" s="141" t="str">
        <f t="shared" si="24"/>
        <v/>
      </c>
    </row>
    <row r="323" spans="1:12" x14ac:dyDescent="0.3">
      <c r="A323" s="36" t="str">
        <f xml:space="preserve"> IF( 'From SvanPC++'!A323= "", "", ('From SvanPC++'!A323))</f>
        <v/>
      </c>
      <c r="C323" s="47" t="s">
        <v>10</v>
      </c>
      <c r="G323" s="38" t="str">
        <f t="shared" si="21"/>
        <v/>
      </c>
      <c r="H323" s="36" t="str">
        <f t="shared" si="25"/>
        <v/>
      </c>
      <c r="J323" s="141" t="str">
        <f t="shared" si="22"/>
        <v/>
      </c>
      <c r="K323" s="141" t="str">
        <f t="shared" si="23"/>
        <v/>
      </c>
      <c r="L323" s="141" t="str">
        <f t="shared" si="24"/>
        <v/>
      </c>
    </row>
    <row r="324" spans="1:12" x14ac:dyDescent="0.3">
      <c r="A324" s="36" t="str">
        <f xml:space="preserve"> IF( 'From SvanPC++'!A324= "", "", ('From SvanPC++'!A324))</f>
        <v/>
      </c>
      <c r="C324" s="47" t="s">
        <v>10</v>
      </c>
      <c r="G324" s="38" t="str">
        <f t="shared" si="21"/>
        <v/>
      </c>
      <c r="H324" s="36" t="str">
        <f t="shared" si="25"/>
        <v/>
      </c>
      <c r="J324" s="141" t="str">
        <f t="shared" si="22"/>
        <v/>
      </c>
      <c r="K324" s="141" t="str">
        <f t="shared" si="23"/>
        <v/>
      </c>
      <c r="L324" s="141" t="str">
        <f t="shared" si="24"/>
        <v/>
      </c>
    </row>
    <row r="325" spans="1:12" x14ac:dyDescent="0.3">
      <c r="A325" s="36" t="str">
        <f xml:space="preserve"> IF( 'From SvanPC++'!A325= "", "", ('From SvanPC++'!A325))</f>
        <v/>
      </c>
      <c r="C325" s="47" t="s">
        <v>10</v>
      </c>
      <c r="G325" s="38" t="str">
        <f t="shared" si="21"/>
        <v/>
      </c>
      <c r="H325" s="36" t="str">
        <f t="shared" si="25"/>
        <v/>
      </c>
      <c r="J325" s="141" t="str">
        <f t="shared" si="22"/>
        <v/>
      </c>
      <c r="K325" s="141" t="str">
        <f t="shared" si="23"/>
        <v/>
      </c>
      <c r="L325" s="141" t="str">
        <f t="shared" si="24"/>
        <v/>
      </c>
    </row>
    <row r="326" spans="1:12" x14ac:dyDescent="0.3">
      <c r="A326" s="36" t="str">
        <f xml:space="preserve"> IF( 'From SvanPC++'!A326= "", "", ('From SvanPC++'!A326))</f>
        <v/>
      </c>
      <c r="C326" s="47" t="s">
        <v>10</v>
      </c>
      <c r="G326" s="38" t="str">
        <f t="shared" si="21"/>
        <v/>
      </c>
      <c r="H326" s="36" t="str">
        <f t="shared" si="25"/>
        <v/>
      </c>
      <c r="J326" s="141" t="str">
        <f t="shared" si="22"/>
        <v/>
      </c>
      <c r="K326" s="141" t="str">
        <f t="shared" si="23"/>
        <v/>
      </c>
      <c r="L326" s="141" t="str">
        <f t="shared" si="24"/>
        <v/>
      </c>
    </row>
    <row r="327" spans="1:12" x14ac:dyDescent="0.3">
      <c r="A327" s="36" t="str">
        <f xml:space="preserve"> IF( 'From SvanPC++'!A327= "", "", ('From SvanPC++'!A327))</f>
        <v/>
      </c>
      <c r="C327" s="47" t="s">
        <v>10</v>
      </c>
      <c r="G327" s="38" t="str">
        <f t="shared" ref="G327:G390" si="26" xml:space="preserve"> IF( D327= "", "", ( IF( AND( D327 &gt;= TIMEVALUE( "07:00:01" ), D327 &lt; TIMEVALUE( "08:00:01" ) ) = TRUE, (G326+1), (G326+0) )))</f>
        <v/>
      </c>
      <c r="H327" s="36" t="str">
        <f t="shared" si="25"/>
        <v/>
      </c>
      <c r="J327" s="141" t="str">
        <f t="shared" si="22"/>
        <v/>
      </c>
      <c r="K327" s="141" t="str">
        <f t="shared" si="23"/>
        <v/>
      </c>
      <c r="L327" s="141" t="str">
        <f t="shared" si="24"/>
        <v/>
      </c>
    </row>
    <row r="328" spans="1:12" x14ac:dyDescent="0.3">
      <c r="A328" s="36" t="str">
        <f xml:space="preserve"> IF( 'From SvanPC++'!A328= "", "", ('From SvanPC++'!A328))</f>
        <v/>
      </c>
      <c r="C328" s="47" t="s">
        <v>10</v>
      </c>
      <c r="G328" s="38" t="str">
        <f t="shared" si="26"/>
        <v/>
      </c>
      <c r="H328" s="36" t="str">
        <f t="shared" si="25"/>
        <v/>
      </c>
      <c r="J328" s="141" t="str">
        <f t="shared" ref="J328:J391" si="27" xml:space="preserve"> IF( ISERROR( IF( D328= "", "", ( IF( G328= (G327+1), ( AVERAGEIFS( E328:E472, G328:G472, G328, H328:H472, "Day" )), "" )))), "",( IF( D328= "", "", ( IF( G328= (G327+1), ( AVERAGEIFS( E328:E472, G328:G472, G328, H328:H472, "Day" )), "" )))))</f>
        <v/>
      </c>
      <c r="K328" s="141" t="str">
        <f t="shared" ref="K328:K391" si="28" xml:space="preserve"> IF( ISERROR( IF( D328= "", "", ( IF( G328= (G327+1), ( AVERAGEIFS( E328:E472, G328:G472, G328, H328:H472, "Evening" )), "" )))), "",( IF( D328= "", "", ( IF( G328= (G327+1), ( AVERAGEIFS( E328:E472, G328:G472, G328, H328:H472, "Evening" )), "" )))))</f>
        <v/>
      </c>
      <c r="L328" s="141" t="str">
        <f t="shared" ref="L328:L391" si="29" xml:space="preserve"> IF( ISERROR( IF( D328= "", "", ( IF( G328= (G327+1), ( AVERAGEIFS( E328:E472, G328:G472, G328, H328:H472, "Night" )), "" )))), "",( IF( D328= "", "", ( IF( G328= (G327+1), ( AVERAGEIFS( E328:E472, G328:G472, G328, H328:H472, "Night" )), "" )))))</f>
        <v/>
      </c>
    </row>
    <row r="329" spans="1:12" x14ac:dyDescent="0.3">
      <c r="A329" s="36" t="str">
        <f xml:space="preserve"> IF( 'From SvanPC++'!A329= "", "", ('From SvanPC++'!A329))</f>
        <v/>
      </c>
      <c r="C329" s="47" t="s">
        <v>10</v>
      </c>
      <c r="G329" s="38" t="str">
        <f t="shared" si="26"/>
        <v/>
      </c>
      <c r="H329" s="36" t="str">
        <f t="shared" si="25"/>
        <v/>
      </c>
      <c r="J329" s="141" t="str">
        <f t="shared" si="27"/>
        <v/>
      </c>
      <c r="K329" s="141" t="str">
        <f t="shared" si="28"/>
        <v/>
      </c>
      <c r="L329" s="141" t="str">
        <f t="shared" si="29"/>
        <v/>
      </c>
    </row>
    <row r="330" spans="1:12" x14ac:dyDescent="0.3">
      <c r="A330" s="36" t="str">
        <f xml:space="preserve"> IF( 'From SvanPC++'!A330= "", "", ('From SvanPC++'!A330))</f>
        <v/>
      </c>
      <c r="C330" s="47" t="s">
        <v>10</v>
      </c>
      <c r="G330" s="38" t="str">
        <f t="shared" si="26"/>
        <v/>
      </c>
      <c r="H330" s="36" t="str">
        <f t="shared" si="25"/>
        <v/>
      </c>
      <c r="J330" s="141" t="str">
        <f t="shared" si="27"/>
        <v/>
      </c>
      <c r="K330" s="141" t="str">
        <f t="shared" si="28"/>
        <v/>
      </c>
      <c r="L330" s="141" t="str">
        <f t="shared" si="29"/>
        <v/>
      </c>
    </row>
    <row r="331" spans="1:12" x14ac:dyDescent="0.3">
      <c r="A331" s="36" t="str">
        <f xml:space="preserve"> IF( 'From SvanPC++'!A331= "", "", ('From SvanPC++'!A331))</f>
        <v/>
      </c>
      <c r="C331" s="47" t="s">
        <v>10</v>
      </c>
      <c r="G331" s="38" t="str">
        <f t="shared" si="26"/>
        <v/>
      </c>
      <c r="H331" s="36" t="str">
        <f t="shared" si="25"/>
        <v/>
      </c>
      <c r="J331" s="141" t="str">
        <f t="shared" si="27"/>
        <v/>
      </c>
      <c r="K331" s="141" t="str">
        <f t="shared" si="28"/>
        <v/>
      </c>
      <c r="L331" s="141" t="str">
        <f t="shared" si="29"/>
        <v/>
      </c>
    </row>
    <row r="332" spans="1:12" x14ac:dyDescent="0.3">
      <c r="A332" s="36" t="str">
        <f xml:space="preserve"> IF( 'From SvanPC++'!A332= "", "", ('From SvanPC++'!A332))</f>
        <v/>
      </c>
      <c r="C332" s="47" t="s">
        <v>10</v>
      </c>
      <c r="G332" s="38" t="str">
        <f t="shared" si="26"/>
        <v/>
      </c>
      <c r="H332" s="36" t="str">
        <f t="shared" si="25"/>
        <v/>
      </c>
      <c r="J332" s="141" t="str">
        <f t="shared" si="27"/>
        <v/>
      </c>
      <c r="K332" s="141" t="str">
        <f t="shared" si="28"/>
        <v/>
      </c>
      <c r="L332" s="141" t="str">
        <f t="shared" si="29"/>
        <v/>
      </c>
    </row>
    <row r="333" spans="1:12" x14ac:dyDescent="0.3">
      <c r="A333" s="36" t="str">
        <f xml:space="preserve"> IF( 'From SvanPC++'!A333= "", "", ('From SvanPC++'!A333))</f>
        <v/>
      </c>
      <c r="C333" s="47" t="s">
        <v>10</v>
      </c>
      <c r="G333" s="38" t="str">
        <f t="shared" si="26"/>
        <v/>
      </c>
      <c r="H333" s="36" t="str">
        <f t="shared" si="25"/>
        <v/>
      </c>
      <c r="J333" s="141" t="str">
        <f t="shared" si="27"/>
        <v/>
      </c>
      <c r="K333" s="141" t="str">
        <f t="shared" si="28"/>
        <v/>
      </c>
      <c r="L333" s="141" t="str">
        <f t="shared" si="29"/>
        <v/>
      </c>
    </row>
    <row r="334" spans="1:12" x14ac:dyDescent="0.3">
      <c r="A334" s="36" t="str">
        <f xml:space="preserve"> IF( 'From SvanPC++'!A334= "", "", ('From SvanPC++'!A334))</f>
        <v/>
      </c>
      <c r="C334" s="47" t="s">
        <v>10</v>
      </c>
      <c r="G334" s="38" t="str">
        <f t="shared" si="26"/>
        <v/>
      </c>
      <c r="H334" s="36" t="str">
        <f t="shared" si="25"/>
        <v/>
      </c>
      <c r="J334" s="141" t="str">
        <f t="shared" si="27"/>
        <v/>
      </c>
      <c r="K334" s="141" t="str">
        <f t="shared" si="28"/>
        <v/>
      </c>
      <c r="L334" s="141" t="str">
        <f t="shared" si="29"/>
        <v/>
      </c>
    </row>
    <row r="335" spans="1:12" x14ac:dyDescent="0.3">
      <c r="A335" s="36" t="str">
        <f xml:space="preserve"> IF( 'From SvanPC++'!A335= "", "", ('From SvanPC++'!A335))</f>
        <v/>
      </c>
      <c r="C335" s="47" t="s">
        <v>10</v>
      </c>
      <c r="G335" s="38" t="str">
        <f t="shared" si="26"/>
        <v/>
      </c>
      <c r="H335" s="36" t="str">
        <f t="shared" si="25"/>
        <v/>
      </c>
      <c r="J335" s="141" t="str">
        <f t="shared" si="27"/>
        <v/>
      </c>
      <c r="K335" s="141" t="str">
        <f t="shared" si="28"/>
        <v/>
      </c>
      <c r="L335" s="141" t="str">
        <f t="shared" si="29"/>
        <v/>
      </c>
    </row>
    <row r="336" spans="1:12" x14ac:dyDescent="0.3">
      <c r="A336" s="36" t="str">
        <f xml:space="preserve"> IF( 'From SvanPC++'!A336= "", "", ('From SvanPC++'!A336))</f>
        <v/>
      </c>
      <c r="C336" s="47" t="s">
        <v>10</v>
      </c>
      <c r="G336" s="38" t="str">
        <f t="shared" si="26"/>
        <v/>
      </c>
      <c r="H336" s="36" t="str">
        <f t="shared" si="25"/>
        <v/>
      </c>
      <c r="J336" s="141" t="str">
        <f t="shared" si="27"/>
        <v/>
      </c>
      <c r="K336" s="141" t="str">
        <f t="shared" si="28"/>
        <v/>
      </c>
      <c r="L336" s="141" t="str">
        <f t="shared" si="29"/>
        <v/>
      </c>
    </row>
    <row r="337" spans="1:12" x14ac:dyDescent="0.3">
      <c r="A337" s="36" t="str">
        <f xml:space="preserve"> IF( 'From SvanPC++'!A337= "", "", ('From SvanPC++'!A337))</f>
        <v/>
      </c>
      <c r="C337" s="47" t="s">
        <v>10</v>
      </c>
      <c r="G337" s="38" t="str">
        <f t="shared" si="26"/>
        <v/>
      </c>
      <c r="H337" s="36" t="str">
        <f t="shared" si="25"/>
        <v/>
      </c>
      <c r="J337" s="141" t="str">
        <f t="shared" si="27"/>
        <v/>
      </c>
      <c r="K337" s="141" t="str">
        <f t="shared" si="28"/>
        <v/>
      </c>
      <c r="L337" s="141" t="str">
        <f t="shared" si="29"/>
        <v/>
      </c>
    </row>
    <row r="338" spans="1:12" x14ac:dyDescent="0.3">
      <c r="A338" s="36" t="str">
        <f xml:space="preserve"> IF( 'From SvanPC++'!A338= "", "", ('From SvanPC++'!A338))</f>
        <v/>
      </c>
      <c r="C338" s="47" t="s">
        <v>10</v>
      </c>
      <c r="G338" s="38" t="str">
        <f t="shared" si="26"/>
        <v/>
      </c>
      <c r="H338" s="36" t="str">
        <f t="shared" si="25"/>
        <v/>
      </c>
      <c r="J338" s="141" t="str">
        <f t="shared" si="27"/>
        <v/>
      </c>
      <c r="K338" s="141" t="str">
        <f t="shared" si="28"/>
        <v/>
      </c>
      <c r="L338" s="141" t="str">
        <f t="shared" si="29"/>
        <v/>
      </c>
    </row>
    <row r="339" spans="1:12" x14ac:dyDescent="0.3">
      <c r="A339" s="36" t="str">
        <f xml:space="preserve"> IF( 'From SvanPC++'!A339= "", "", ('From SvanPC++'!A339))</f>
        <v/>
      </c>
      <c r="C339" s="47" t="s">
        <v>10</v>
      </c>
      <c r="G339" s="38" t="str">
        <f t="shared" si="26"/>
        <v/>
      </c>
      <c r="H339" s="36" t="str">
        <f t="shared" si="25"/>
        <v/>
      </c>
      <c r="J339" s="141" t="str">
        <f t="shared" si="27"/>
        <v/>
      </c>
      <c r="K339" s="141" t="str">
        <f t="shared" si="28"/>
        <v/>
      </c>
      <c r="L339" s="141" t="str">
        <f t="shared" si="29"/>
        <v/>
      </c>
    </row>
    <row r="340" spans="1:12" x14ac:dyDescent="0.3">
      <c r="A340" s="36" t="str">
        <f xml:space="preserve"> IF( 'From SvanPC++'!A340= "", "", ('From SvanPC++'!A340))</f>
        <v/>
      </c>
      <c r="C340" s="47" t="s">
        <v>10</v>
      </c>
      <c r="G340" s="38" t="str">
        <f t="shared" si="26"/>
        <v/>
      </c>
      <c r="H340" s="36" t="str">
        <f t="shared" si="25"/>
        <v/>
      </c>
      <c r="J340" s="141" t="str">
        <f t="shared" si="27"/>
        <v/>
      </c>
      <c r="K340" s="141" t="str">
        <f t="shared" si="28"/>
        <v/>
      </c>
      <c r="L340" s="141" t="str">
        <f t="shared" si="29"/>
        <v/>
      </c>
    </row>
    <row r="341" spans="1:12" x14ac:dyDescent="0.3">
      <c r="A341" s="36" t="str">
        <f xml:space="preserve"> IF( 'From SvanPC++'!A341= "", "", ('From SvanPC++'!A341))</f>
        <v/>
      </c>
      <c r="C341" s="47" t="s">
        <v>10</v>
      </c>
      <c r="G341" s="38" t="str">
        <f t="shared" si="26"/>
        <v/>
      </c>
      <c r="H341" s="36" t="str">
        <f t="shared" si="25"/>
        <v/>
      </c>
      <c r="J341" s="141" t="str">
        <f t="shared" si="27"/>
        <v/>
      </c>
      <c r="K341" s="141" t="str">
        <f t="shared" si="28"/>
        <v/>
      </c>
      <c r="L341" s="141" t="str">
        <f t="shared" si="29"/>
        <v/>
      </c>
    </row>
    <row r="342" spans="1:12" x14ac:dyDescent="0.3">
      <c r="A342" s="36" t="str">
        <f xml:space="preserve"> IF( 'From SvanPC++'!A342= "", "", ('From SvanPC++'!A342))</f>
        <v/>
      </c>
      <c r="C342" s="47" t="s">
        <v>10</v>
      </c>
      <c r="G342" s="38" t="str">
        <f t="shared" si="26"/>
        <v/>
      </c>
      <c r="H342" s="36" t="str">
        <f t="shared" si="25"/>
        <v/>
      </c>
      <c r="J342" s="141" t="str">
        <f t="shared" si="27"/>
        <v/>
      </c>
      <c r="K342" s="141" t="str">
        <f t="shared" si="28"/>
        <v/>
      </c>
      <c r="L342" s="141" t="str">
        <f t="shared" si="29"/>
        <v/>
      </c>
    </row>
    <row r="343" spans="1:12" x14ac:dyDescent="0.3">
      <c r="A343" s="36" t="str">
        <f xml:space="preserve"> IF( 'From SvanPC++'!A343= "", "", ('From SvanPC++'!A343))</f>
        <v/>
      </c>
      <c r="C343" s="47" t="s">
        <v>10</v>
      </c>
      <c r="G343" s="38" t="str">
        <f t="shared" si="26"/>
        <v/>
      </c>
      <c r="H343" s="36" t="str">
        <f t="shared" ref="H343:H406" si="30" xml:space="preserve"> IF( D343= "", "", ( IF( AND( D343 &gt;= TIMEVALUE( "07:00:01" ), D343 &lt;= TIMEVALUE( "13:00:00" ), WEEKDAY( C343) =(7+N("Lines 2-17 = saturday day period")) ) = TRUE, "Day",
IF( AND( D343 &gt;= TIMEVALUE( "07:00:01" ), D343 &lt;= TIMEVALUE( "18:00:00" ), WEEKDAY( C343,1+N("Lines 19-38 = weekday day period")) &gt;=2, ( WEEKDAY( C343,1) &lt;=6) ) = TRUE, "Day",
IF( AND( D343 &gt;= TIMEVALUE( "13:00:01" ), D343 &lt;= TIMEVALUE( "22:00:00" ), WEEKDAY( C343) =(7+N("Lines 40-56 = saturday evening period")) ) = TRUE, "Evening",
IF( AND( D343 &gt;= TIMEVALUE( "18:00:01" ), D343 &lt;= TIMEVALUE( "22:00:00" ), WEEKDAY( C343,1+N("Lines 57-77 = weekday evening period")) &gt;=2, ( WEEKDAY( C343,1) &lt;=6) ) = TRUE, "Evening",
IF( AND( D343 &gt;= TIMEVALUE( "07:00:01" ), D343 &lt;= TIMEVALUE( "22:00:00" ), WEEKDAY( C343) =(1+N("Lines 78-94 = sunday evening period")) ) = TRUE, "Evening",
IF( AND( D343 &gt;= TIMEVALUE( "22:00:01" ), D343 &lt;= TIMEVALUE( "23:59:59" ), WEEKDAY( C343) =(7+N("Lines 95-111 = saturday night1 period")) ) = TRUE, "Night",
IF( AND( D343 &gt;= TIMEVALUE( "00:00:00" ), D343 &lt;= TIMEVALUE( "07:00:00" ), WEEKDAY( C343) =(7+N("Lines 112-128 = saturday night2 period")) ) = TRUE, "Night",
IF( AND( D343 &gt;= TIMEVALUE( "22:00:01" ), D343 &lt;= TIMEVALUE( "23:59:59" ), WEEKDAY( C343,1+N("Lines 129-149 = weekday night1 period")) &gt;=2, ( WEEKDAY( C343,1) &lt;=6) ) = TRUE, "Night",
IF( AND( D343 &gt;= TIMEVALUE( "00:00:00" ), D343 &lt;= TIMEVALUE( "07:00:00" ), WEEKDAY( C343,1+N("Lines 150-170 = weekday night2 period")) &gt;=2, ( WEEKDAY( C343,1) &lt;=6) ) = TRUE, "Night",
IF( AND( D343 &gt;= TIMEVALUE( "20:00:01" ), D343 &lt;= TIMEVALUE( "23:59:59" ), WEEKDAY( C343) =(1+N("Lines 171-187 = sunday night1 period")) ) = TRUE, "Night",
IF( AND( D343 &gt;= TIMEVALUE( "00:00:00" ), D343 &lt;= TIMEVALUE( "07:00:00" ), WEEKDAY( C343) =(1+N("Lines 188-204 = sunday night2 period")) ) = TRUE, "Night", )))))))))))))</f>
        <v/>
      </c>
      <c r="J343" s="141" t="str">
        <f t="shared" si="27"/>
        <v/>
      </c>
      <c r="K343" s="141" t="str">
        <f t="shared" si="28"/>
        <v/>
      </c>
      <c r="L343" s="141" t="str">
        <f t="shared" si="29"/>
        <v/>
      </c>
    </row>
    <row r="344" spans="1:12" x14ac:dyDescent="0.3">
      <c r="A344" s="36" t="str">
        <f xml:space="preserve"> IF( 'From SvanPC++'!A344= "", "", ('From SvanPC++'!A344))</f>
        <v/>
      </c>
      <c r="C344" s="47" t="s">
        <v>10</v>
      </c>
      <c r="G344" s="38" t="str">
        <f t="shared" si="26"/>
        <v/>
      </c>
      <c r="H344" s="36" t="str">
        <f t="shared" si="30"/>
        <v/>
      </c>
      <c r="J344" s="141" t="str">
        <f t="shared" si="27"/>
        <v/>
      </c>
      <c r="K344" s="141" t="str">
        <f t="shared" si="28"/>
        <v/>
      </c>
      <c r="L344" s="141" t="str">
        <f t="shared" si="29"/>
        <v/>
      </c>
    </row>
    <row r="345" spans="1:12" x14ac:dyDescent="0.3">
      <c r="A345" s="36" t="str">
        <f xml:space="preserve"> IF( 'From SvanPC++'!A345= "", "", ('From SvanPC++'!A345))</f>
        <v/>
      </c>
      <c r="C345" s="47" t="s">
        <v>10</v>
      </c>
      <c r="G345" s="38" t="str">
        <f t="shared" si="26"/>
        <v/>
      </c>
      <c r="H345" s="36" t="str">
        <f t="shared" si="30"/>
        <v/>
      </c>
      <c r="J345" s="141" t="str">
        <f t="shared" si="27"/>
        <v/>
      </c>
      <c r="K345" s="141" t="str">
        <f t="shared" si="28"/>
        <v/>
      </c>
      <c r="L345" s="141" t="str">
        <f t="shared" si="29"/>
        <v/>
      </c>
    </row>
    <row r="346" spans="1:12" x14ac:dyDescent="0.3">
      <c r="A346" s="36" t="str">
        <f xml:space="preserve"> IF( 'From SvanPC++'!A346= "", "", ('From SvanPC++'!A346))</f>
        <v/>
      </c>
      <c r="C346" s="47" t="s">
        <v>10</v>
      </c>
      <c r="G346" s="38" t="str">
        <f t="shared" si="26"/>
        <v/>
      </c>
      <c r="H346" s="36" t="str">
        <f t="shared" si="30"/>
        <v/>
      </c>
      <c r="J346" s="141" t="str">
        <f t="shared" si="27"/>
        <v/>
      </c>
      <c r="K346" s="141" t="str">
        <f t="shared" si="28"/>
        <v/>
      </c>
      <c r="L346" s="141" t="str">
        <f t="shared" si="29"/>
        <v/>
      </c>
    </row>
    <row r="347" spans="1:12" x14ac:dyDescent="0.3">
      <c r="A347" s="36" t="str">
        <f xml:space="preserve"> IF( 'From SvanPC++'!A347= "", "", ('From SvanPC++'!A347))</f>
        <v/>
      </c>
      <c r="C347" s="47" t="s">
        <v>10</v>
      </c>
      <c r="G347" s="38" t="str">
        <f t="shared" si="26"/>
        <v/>
      </c>
      <c r="H347" s="36" t="str">
        <f t="shared" si="30"/>
        <v/>
      </c>
      <c r="J347" s="141" t="str">
        <f t="shared" si="27"/>
        <v/>
      </c>
      <c r="K347" s="141" t="str">
        <f t="shared" si="28"/>
        <v/>
      </c>
      <c r="L347" s="141" t="str">
        <f t="shared" si="29"/>
        <v/>
      </c>
    </row>
    <row r="348" spans="1:12" x14ac:dyDescent="0.3">
      <c r="A348" s="36" t="str">
        <f xml:space="preserve"> IF( 'From SvanPC++'!A348= "", "", ('From SvanPC++'!A348))</f>
        <v/>
      </c>
      <c r="C348" s="47" t="s">
        <v>10</v>
      </c>
      <c r="G348" s="38" t="str">
        <f t="shared" si="26"/>
        <v/>
      </c>
      <c r="H348" s="36" t="str">
        <f t="shared" si="30"/>
        <v/>
      </c>
      <c r="J348" s="141" t="str">
        <f t="shared" si="27"/>
        <v/>
      </c>
      <c r="K348" s="141" t="str">
        <f t="shared" si="28"/>
        <v/>
      </c>
      <c r="L348" s="141" t="str">
        <f t="shared" si="29"/>
        <v/>
      </c>
    </row>
    <row r="349" spans="1:12" x14ac:dyDescent="0.3">
      <c r="A349" s="36" t="str">
        <f xml:space="preserve"> IF( 'From SvanPC++'!A349= "", "", ('From SvanPC++'!A349))</f>
        <v/>
      </c>
      <c r="C349" s="47" t="s">
        <v>10</v>
      </c>
      <c r="G349" s="38" t="str">
        <f t="shared" si="26"/>
        <v/>
      </c>
      <c r="H349" s="36" t="str">
        <f t="shared" si="30"/>
        <v/>
      </c>
      <c r="J349" s="141" t="str">
        <f t="shared" si="27"/>
        <v/>
      </c>
      <c r="K349" s="141" t="str">
        <f t="shared" si="28"/>
        <v/>
      </c>
      <c r="L349" s="141" t="str">
        <f t="shared" si="29"/>
        <v/>
      </c>
    </row>
    <row r="350" spans="1:12" x14ac:dyDescent="0.3">
      <c r="A350" s="36" t="str">
        <f xml:space="preserve"> IF( 'From SvanPC++'!A350= "", "", ('From SvanPC++'!A350))</f>
        <v/>
      </c>
      <c r="C350" s="47" t="s">
        <v>10</v>
      </c>
      <c r="G350" s="38" t="str">
        <f t="shared" si="26"/>
        <v/>
      </c>
      <c r="H350" s="36" t="str">
        <f t="shared" si="30"/>
        <v/>
      </c>
      <c r="J350" s="141" t="str">
        <f t="shared" si="27"/>
        <v/>
      </c>
      <c r="K350" s="141" t="str">
        <f t="shared" si="28"/>
        <v/>
      </c>
      <c r="L350" s="141" t="str">
        <f t="shared" si="29"/>
        <v/>
      </c>
    </row>
    <row r="351" spans="1:12" x14ac:dyDescent="0.3">
      <c r="A351" s="36" t="str">
        <f xml:space="preserve"> IF( 'From SvanPC++'!A351= "", "", ('From SvanPC++'!A351))</f>
        <v/>
      </c>
      <c r="C351" s="47" t="s">
        <v>10</v>
      </c>
      <c r="G351" s="38" t="str">
        <f t="shared" si="26"/>
        <v/>
      </c>
      <c r="H351" s="36" t="str">
        <f t="shared" si="30"/>
        <v/>
      </c>
      <c r="J351" s="141" t="str">
        <f t="shared" si="27"/>
        <v/>
      </c>
      <c r="K351" s="141" t="str">
        <f t="shared" si="28"/>
        <v/>
      </c>
      <c r="L351" s="141" t="str">
        <f t="shared" si="29"/>
        <v/>
      </c>
    </row>
    <row r="352" spans="1:12" x14ac:dyDescent="0.3">
      <c r="A352" s="36" t="str">
        <f xml:space="preserve"> IF( 'From SvanPC++'!A352= "", "", ('From SvanPC++'!A352))</f>
        <v/>
      </c>
      <c r="C352" s="47" t="s">
        <v>10</v>
      </c>
      <c r="G352" s="38" t="str">
        <f t="shared" si="26"/>
        <v/>
      </c>
      <c r="H352" s="36" t="str">
        <f t="shared" si="30"/>
        <v/>
      </c>
      <c r="J352" s="141" t="str">
        <f t="shared" si="27"/>
        <v/>
      </c>
      <c r="K352" s="141" t="str">
        <f t="shared" si="28"/>
        <v/>
      </c>
      <c r="L352" s="141" t="str">
        <f t="shared" si="29"/>
        <v/>
      </c>
    </row>
    <row r="353" spans="1:12" x14ac:dyDescent="0.3">
      <c r="A353" s="36" t="str">
        <f xml:space="preserve"> IF( 'From SvanPC++'!A353= "", "", ('From SvanPC++'!A353))</f>
        <v/>
      </c>
      <c r="C353" s="47" t="s">
        <v>10</v>
      </c>
      <c r="G353" s="38" t="str">
        <f t="shared" si="26"/>
        <v/>
      </c>
      <c r="H353" s="36" t="str">
        <f t="shared" si="30"/>
        <v/>
      </c>
      <c r="J353" s="141" t="str">
        <f t="shared" si="27"/>
        <v/>
      </c>
      <c r="K353" s="141" t="str">
        <f t="shared" si="28"/>
        <v/>
      </c>
      <c r="L353" s="141" t="str">
        <f t="shared" si="29"/>
        <v/>
      </c>
    </row>
    <row r="354" spans="1:12" x14ac:dyDescent="0.3">
      <c r="A354" s="36" t="str">
        <f xml:space="preserve"> IF( 'From SvanPC++'!A354= "", "", ('From SvanPC++'!A354))</f>
        <v/>
      </c>
      <c r="C354" s="47" t="s">
        <v>10</v>
      </c>
      <c r="G354" s="38" t="str">
        <f t="shared" si="26"/>
        <v/>
      </c>
      <c r="H354" s="36" t="str">
        <f t="shared" si="30"/>
        <v/>
      </c>
      <c r="J354" s="141" t="str">
        <f t="shared" si="27"/>
        <v/>
      </c>
      <c r="K354" s="141" t="str">
        <f t="shared" si="28"/>
        <v/>
      </c>
      <c r="L354" s="141" t="str">
        <f t="shared" si="29"/>
        <v/>
      </c>
    </row>
    <row r="355" spans="1:12" x14ac:dyDescent="0.3">
      <c r="A355" s="36" t="str">
        <f xml:space="preserve"> IF( 'From SvanPC++'!A355= "", "", ('From SvanPC++'!A355))</f>
        <v/>
      </c>
      <c r="C355" s="47" t="s">
        <v>10</v>
      </c>
      <c r="G355" s="38" t="str">
        <f t="shared" si="26"/>
        <v/>
      </c>
      <c r="H355" s="36" t="str">
        <f t="shared" si="30"/>
        <v/>
      </c>
      <c r="J355" s="141" t="str">
        <f t="shared" si="27"/>
        <v/>
      </c>
      <c r="K355" s="141" t="str">
        <f t="shared" si="28"/>
        <v/>
      </c>
      <c r="L355" s="141" t="str">
        <f t="shared" si="29"/>
        <v/>
      </c>
    </row>
    <row r="356" spans="1:12" x14ac:dyDescent="0.3">
      <c r="A356" s="36" t="str">
        <f xml:space="preserve"> IF( 'From SvanPC++'!A356= "", "", ('From SvanPC++'!A356))</f>
        <v/>
      </c>
      <c r="C356" s="47" t="s">
        <v>10</v>
      </c>
      <c r="G356" s="38" t="str">
        <f t="shared" si="26"/>
        <v/>
      </c>
      <c r="H356" s="36" t="str">
        <f t="shared" si="30"/>
        <v/>
      </c>
      <c r="J356" s="141" t="str">
        <f t="shared" si="27"/>
        <v/>
      </c>
      <c r="K356" s="141" t="str">
        <f t="shared" si="28"/>
        <v/>
      </c>
      <c r="L356" s="141" t="str">
        <f t="shared" si="29"/>
        <v/>
      </c>
    </row>
    <row r="357" spans="1:12" x14ac:dyDescent="0.3">
      <c r="A357" s="36" t="str">
        <f xml:space="preserve"> IF( 'From SvanPC++'!A357= "", "", ('From SvanPC++'!A357))</f>
        <v/>
      </c>
      <c r="C357" s="47" t="s">
        <v>10</v>
      </c>
      <c r="G357" s="38" t="str">
        <f t="shared" si="26"/>
        <v/>
      </c>
      <c r="H357" s="36" t="str">
        <f t="shared" si="30"/>
        <v/>
      </c>
      <c r="J357" s="141" t="str">
        <f t="shared" si="27"/>
        <v/>
      </c>
      <c r="K357" s="141" t="str">
        <f t="shared" si="28"/>
        <v/>
      </c>
      <c r="L357" s="141" t="str">
        <f t="shared" si="29"/>
        <v/>
      </c>
    </row>
    <row r="358" spans="1:12" x14ac:dyDescent="0.3">
      <c r="A358" s="36" t="str">
        <f xml:space="preserve"> IF( 'From SvanPC++'!A358= "", "", ('From SvanPC++'!A358))</f>
        <v/>
      </c>
      <c r="C358" s="47" t="s">
        <v>10</v>
      </c>
      <c r="G358" s="38" t="str">
        <f t="shared" si="26"/>
        <v/>
      </c>
      <c r="H358" s="36" t="str">
        <f t="shared" si="30"/>
        <v/>
      </c>
      <c r="J358" s="141" t="str">
        <f t="shared" si="27"/>
        <v/>
      </c>
      <c r="K358" s="141" t="str">
        <f t="shared" si="28"/>
        <v/>
      </c>
      <c r="L358" s="141" t="str">
        <f t="shared" si="29"/>
        <v/>
      </c>
    </row>
    <row r="359" spans="1:12" x14ac:dyDescent="0.3">
      <c r="A359" s="36" t="str">
        <f xml:space="preserve"> IF( 'From SvanPC++'!A359= "", "", ('From SvanPC++'!A359))</f>
        <v/>
      </c>
      <c r="C359" s="47" t="s">
        <v>10</v>
      </c>
      <c r="G359" s="38" t="str">
        <f t="shared" si="26"/>
        <v/>
      </c>
      <c r="H359" s="36" t="str">
        <f t="shared" si="30"/>
        <v/>
      </c>
      <c r="J359" s="141" t="str">
        <f t="shared" si="27"/>
        <v/>
      </c>
      <c r="K359" s="141" t="str">
        <f t="shared" si="28"/>
        <v/>
      </c>
      <c r="L359" s="141" t="str">
        <f t="shared" si="29"/>
        <v/>
      </c>
    </row>
    <row r="360" spans="1:12" x14ac:dyDescent="0.3">
      <c r="A360" s="36" t="str">
        <f xml:space="preserve"> IF( 'From SvanPC++'!A360= "", "", ('From SvanPC++'!A360))</f>
        <v/>
      </c>
      <c r="C360" s="47" t="s">
        <v>10</v>
      </c>
      <c r="G360" s="38" t="str">
        <f t="shared" si="26"/>
        <v/>
      </c>
      <c r="H360" s="36" t="str">
        <f t="shared" si="30"/>
        <v/>
      </c>
      <c r="J360" s="141" t="str">
        <f t="shared" si="27"/>
        <v/>
      </c>
      <c r="K360" s="141" t="str">
        <f t="shared" si="28"/>
        <v/>
      </c>
      <c r="L360" s="141" t="str">
        <f t="shared" si="29"/>
        <v/>
      </c>
    </row>
    <row r="361" spans="1:12" x14ac:dyDescent="0.3">
      <c r="A361" s="36" t="str">
        <f xml:space="preserve"> IF( 'From SvanPC++'!A361= "", "", ('From SvanPC++'!A361))</f>
        <v/>
      </c>
      <c r="C361" s="47" t="s">
        <v>10</v>
      </c>
      <c r="G361" s="38" t="str">
        <f t="shared" si="26"/>
        <v/>
      </c>
      <c r="H361" s="36" t="str">
        <f t="shared" si="30"/>
        <v/>
      </c>
      <c r="J361" s="141" t="str">
        <f t="shared" si="27"/>
        <v/>
      </c>
      <c r="K361" s="141" t="str">
        <f t="shared" si="28"/>
        <v/>
      </c>
      <c r="L361" s="141" t="str">
        <f t="shared" si="29"/>
        <v/>
      </c>
    </row>
    <row r="362" spans="1:12" x14ac:dyDescent="0.3">
      <c r="A362" s="36" t="str">
        <f xml:space="preserve"> IF( 'From SvanPC++'!A362= "", "", ('From SvanPC++'!A362))</f>
        <v/>
      </c>
      <c r="C362" s="47" t="s">
        <v>10</v>
      </c>
      <c r="G362" s="38" t="str">
        <f t="shared" si="26"/>
        <v/>
      </c>
      <c r="H362" s="36" t="str">
        <f t="shared" si="30"/>
        <v/>
      </c>
      <c r="J362" s="141" t="str">
        <f t="shared" si="27"/>
        <v/>
      </c>
      <c r="K362" s="141" t="str">
        <f t="shared" si="28"/>
        <v/>
      </c>
      <c r="L362" s="141" t="str">
        <f t="shared" si="29"/>
        <v/>
      </c>
    </row>
    <row r="363" spans="1:12" x14ac:dyDescent="0.3">
      <c r="A363" s="36" t="str">
        <f xml:space="preserve"> IF( 'From SvanPC++'!A363= "", "", ('From SvanPC++'!A363))</f>
        <v/>
      </c>
      <c r="C363" s="47" t="s">
        <v>10</v>
      </c>
      <c r="G363" s="38" t="str">
        <f t="shared" si="26"/>
        <v/>
      </c>
      <c r="H363" s="36" t="str">
        <f t="shared" si="30"/>
        <v/>
      </c>
      <c r="J363" s="141" t="str">
        <f t="shared" si="27"/>
        <v/>
      </c>
      <c r="K363" s="141" t="str">
        <f t="shared" si="28"/>
        <v/>
      </c>
      <c r="L363" s="141" t="str">
        <f t="shared" si="29"/>
        <v/>
      </c>
    </row>
    <row r="364" spans="1:12" x14ac:dyDescent="0.3">
      <c r="A364" s="36" t="str">
        <f xml:space="preserve"> IF( 'From SvanPC++'!A364= "", "", ('From SvanPC++'!A364))</f>
        <v/>
      </c>
      <c r="C364" s="47" t="s">
        <v>10</v>
      </c>
      <c r="G364" s="38" t="str">
        <f t="shared" si="26"/>
        <v/>
      </c>
      <c r="H364" s="36" t="str">
        <f t="shared" si="30"/>
        <v/>
      </c>
      <c r="J364" s="141" t="str">
        <f t="shared" si="27"/>
        <v/>
      </c>
      <c r="K364" s="141" t="str">
        <f t="shared" si="28"/>
        <v/>
      </c>
      <c r="L364" s="141" t="str">
        <f t="shared" si="29"/>
        <v/>
      </c>
    </row>
    <row r="365" spans="1:12" x14ac:dyDescent="0.3">
      <c r="A365" s="36" t="str">
        <f xml:space="preserve"> IF( 'From SvanPC++'!A365= "", "", ('From SvanPC++'!A365))</f>
        <v/>
      </c>
      <c r="C365" s="47" t="s">
        <v>10</v>
      </c>
      <c r="G365" s="38" t="str">
        <f t="shared" si="26"/>
        <v/>
      </c>
      <c r="H365" s="36" t="str">
        <f t="shared" si="30"/>
        <v/>
      </c>
      <c r="J365" s="141" t="str">
        <f t="shared" si="27"/>
        <v/>
      </c>
      <c r="K365" s="141" t="str">
        <f t="shared" si="28"/>
        <v/>
      </c>
      <c r="L365" s="141" t="str">
        <f t="shared" si="29"/>
        <v/>
      </c>
    </row>
    <row r="366" spans="1:12" x14ac:dyDescent="0.3">
      <c r="A366" s="36" t="str">
        <f xml:space="preserve"> IF( 'From SvanPC++'!A366= "", "", ('From SvanPC++'!A366))</f>
        <v/>
      </c>
      <c r="C366" s="47" t="s">
        <v>10</v>
      </c>
      <c r="G366" s="38" t="str">
        <f t="shared" si="26"/>
        <v/>
      </c>
      <c r="H366" s="36" t="str">
        <f t="shared" si="30"/>
        <v/>
      </c>
      <c r="J366" s="141" t="str">
        <f t="shared" si="27"/>
        <v/>
      </c>
      <c r="K366" s="141" t="str">
        <f t="shared" si="28"/>
        <v/>
      </c>
      <c r="L366" s="141" t="str">
        <f t="shared" si="29"/>
        <v/>
      </c>
    </row>
    <row r="367" spans="1:12" x14ac:dyDescent="0.3">
      <c r="A367" s="36" t="str">
        <f xml:space="preserve"> IF( 'From SvanPC++'!A367= "", "", ('From SvanPC++'!A367))</f>
        <v/>
      </c>
      <c r="C367" s="47" t="s">
        <v>10</v>
      </c>
      <c r="G367" s="38" t="str">
        <f t="shared" si="26"/>
        <v/>
      </c>
      <c r="H367" s="36" t="str">
        <f t="shared" si="30"/>
        <v/>
      </c>
      <c r="J367" s="141" t="str">
        <f t="shared" si="27"/>
        <v/>
      </c>
      <c r="K367" s="141" t="str">
        <f t="shared" si="28"/>
        <v/>
      </c>
      <c r="L367" s="141" t="str">
        <f t="shared" si="29"/>
        <v/>
      </c>
    </row>
    <row r="368" spans="1:12" x14ac:dyDescent="0.3">
      <c r="A368" s="36" t="str">
        <f xml:space="preserve"> IF( 'From SvanPC++'!A368= "", "", ('From SvanPC++'!A368))</f>
        <v/>
      </c>
      <c r="C368" s="47" t="s">
        <v>10</v>
      </c>
      <c r="G368" s="38" t="str">
        <f t="shared" si="26"/>
        <v/>
      </c>
      <c r="H368" s="36" t="str">
        <f t="shared" si="30"/>
        <v/>
      </c>
      <c r="J368" s="141" t="str">
        <f t="shared" si="27"/>
        <v/>
      </c>
      <c r="K368" s="141" t="str">
        <f t="shared" si="28"/>
        <v/>
      </c>
      <c r="L368" s="141" t="str">
        <f t="shared" si="29"/>
        <v/>
      </c>
    </row>
    <row r="369" spans="1:12" x14ac:dyDescent="0.3">
      <c r="A369" s="36" t="str">
        <f xml:space="preserve"> IF( 'From SvanPC++'!A369= "", "", ('From SvanPC++'!A369))</f>
        <v/>
      </c>
      <c r="C369" s="47" t="s">
        <v>10</v>
      </c>
      <c r="G369" s="38" t="str">
        <f t="shared" si="26"/>
        <v/>
      </c>
      <c r="H369" s="36" t="str">
        <f t="shared" si="30"/>
        <v/>
      </c>
      <c r="J369" s="141" t="str">
        <f t="shared" si="27"/>
        <v/>
      </c>
      <c r="K369" s="141" t="str">
        <f t="shared" si="28"/>
        <v/>
      </c>
      <c r="L369" s="141" t="str">
        <f t="shared" si="29"/>
        <v/>
      </c>
    </row>
    <row r="370" spans="1:12" x14ac:dyDescent="0.3">
      <c r="A370" s="36" t="str">
        <f xml:space="preserve"> IF( 'From SvanPC++'!A370= "", "", ('From SvanPC++'!A370))</f>
        <v/>
      </c>
      <c r="C370" s="47" t="s">
        <v>10</v>
      </c>
      <c r="G370" s="38" t="str">
        <f t="shared" si="26"/>
        <v/>
      </c>
      <c r="H370" s="36" t="str">
        <f t="shared" si="30"/>
        <v/>
      </c>
      <c r="J370" s="141" t="str">
        <f t="shared" si="27"/>
        <v/>
      </c>
      <c r="K370" s="141" t="str">
        <f t="shared" si="28"/>
        <v/>
      </c>
      <c r="L370" s="141" t="str">
        <f t="shared" si="29"/>
        <v/>
      </c>
    </row>
    <row r="371" spans="1:12" x14ac:dyDescent="0.3">
      <c r="A371" s="36" t="str">
        <f xml:space="preserve"> IF( 'From SvanPC++'!A371= "", "", ('From SvanPC++'!A371))</f>
        <v/>
      </c>
      <c r="C371" s="47" t="s">
        <v>10</v>
      </c>
      <c r="G371" s="38" t="str">
        <f t="shared" si="26"/>
        <v/>
      </c>
      <c r="H371" s="36" t="str">
        <f t="shared" si="30"/>
        <v/>
      </c>
      <c r="J371" s="141" t="str">
        <f t="shared" si="27"/>
        <v/>
      </c>
      <c r="K371" s="141" t="str">
        <f t="shared" si="28"/>
        <v/>
      </c>
      <c r="L371" s="141" t="str">
        <f t="shared" si="29"/>
        <v/>
      </c>
    </row>
    <row r="372" spans="1:12" x14ac:dyDescent="0.3">
      <c r="A372" s="36" t="str">
        <f xml:space="preserve"> IF( 'From SvanPC++'!A372= "", "", ('From SvanPC++'!A372))</f>
        <v/>
      </c>
      <c r="C372" s="47" t="s">
        <v>10</v>
      </c>
      <c r="G372" s="38" t="str">
        <f t="shared" si="26"/>
        <v/>
      </c>
      <c r="H372" s="36" t="str">
        <f t="shared" si="30"/>
        <v/>
      </c>
      <c r="J372" s="141" t="str">
        <f t="shared" si="27"/>
        <v/>
      </c>
      <c r="K372" s="141" t="str">
        <f t="shared" si="28"/>
        <v/>
      </c>
      <c r="L372" s="141" t="str">
        <f t="shared" si="29"/>
        <v/>
      </c>
    </row>
    <row r="373" spans="1:12" x14ac:dyDescent="0.3">
      <c r="A373" s="36" t="str">
        <f xml:space="preserve"> IF( 'From SvanPC++'!A373= "", "", ('From SvanPC++'!A373))</f>
        <v/>
      </c>
      <c r="C373" s="47" t="s">
        <v>10</v>
      </c>
      <c r="G373" s="38" t="str">
        <f t="shared" si="26"/>
        <v/>
      </c>
      <c r="H373" s="36" t="str">
        <f t="shared" si="30"/>
        <v/>
      </c>
      <c r="J373" s="141" t="str">
        <f t="shared" si="27"/>
        <v/>
      </c>
      <c r="K373" s="141" t="str">
        <f t="shared" si="28"/>
        <v/>
      </c>
      <c r="L373" s="141" t="str">
        <f t="shared" si="29"/>
        <v/>
      </c>
    </row>
    <row r="374" spans="1:12" x14ac:dyDescent="0.3">
      <c r="A374" s="36" t="str">
        <f xml:space="preserve"> IF( 'From SvanPC++'!A374= "", "", ('From SvanPC++'!A374))</f>
        <v/>
      </c>
      <c r="C374" s="47" t="s">
        <v>10</v>
      </c>
      <c r="G374" s="38" t="str">
        <f t="shared" si="26"/>
        <v/>
      </c>
      <c r="H374" s="36" t="str">
        <f t="shared" si="30"/>
        <v/>
      </c>
      <c r="J374" s="141" t="str">
        <f t="shared" si="27"/>
        <v/>
      </c>
      <c r="K374" s="141" t="str">
        <f t="shared" si="28"/>
        <v/>
      </c>
      <c r="L374" s="141" t="str">
        <f t="shared" si="29"/>
        <v/>
      </c>
    </row>
    <row r="375" spans="1:12" x14ac:dyDescent="0.3">
      <c r="A375" s="36" t="str">
        <f xml:space="preserve"> IF( 'From SvanPC++'!A375= "", "", ('From SvanPC++'!A375))</f>
        <v/>
      </c>
      <c r="C375" s="47" t="s">
        <v>10</v>
      </c>
      <c r="G375" s="38" t="str">
        <f t="shared" si="26"/>
        <v/>
      </c>
      <c r="H375" s="36" t="str">
        <f t="shared" si="30"/>
        <v/>
      </c>
      <c r="J375" s="141" t="str">
        <f t="shared" si="27"/>
        <v/>
      </c>
      <c r="K375" s="141" t="str">
        <f t="shared" si="28"/>
        <v/>
      </c>
      <c r="L375" s="141" t="str">
        <f t="shared" si="29"/>
        <v/>
      </c>
    </row>
    <row r="376" spans="1:12" x14ac:dyDescent="0.3">
      <c r="A376" s="36" t="str">
        <f xml:space="preserve"> IF( 'From SvanPC++'!A376= "", "", ('From SvanPC++'!A376))</f>
        <v/>
      </c>
      <c r="C376" s="47" t="s">
        <v>10</v>
      </c>
      <c r="G376" s="38" t="str">
        <f t="shared" si="26"/>
        <v/>
      </c>
      <c r="H376" s="36" t="str">
        <f t="shared" si="30"/>
        <v/>
      </c>
      <c r="J376" s="141" t="str">
        <f t="shared" si="27"/>
        <v/>
      </c>
      <c r="K376" s="141" t="str">
        <f t="shared" si="28"/>
        <v/>
      </c>
      <c r="L376" s="141" t="str">
        <f t="shared" si="29"/>
        <v/>
      </c>
    </row>
    <row r="377" spans="1:12" x14ac:dyDescent="0.3">
      <c r="A377" s="36" t="str">
        <f xml:space="preserve"> IF( 'From SvanPC++'!A377= "", "", ('From SvanPC++'!A377))</f>
        <v/>
      </c>
      <c r="C377" s="47" t="s">
        <v>10</v>
      </c>
      <c r="G377" s="38" t="str">
        <f t="shared" si="26"/>
        <v/>
      </c>
      <c r="H377" s="36" t="str">
        <f t="shared" si="30"/>
        <v/>
      </c>
      <c r="J377" s="141" t="str">
        <f t="shared" si="27"/>
        <v/>
      </c>
      <c r="K377" s="141" t="str">
        <f t="shared" si="28"/>
        <v/>
      </c>
      <c r="L377" s="141" t="str">
        <f t="shared" si="29"/>
        <v/>
      </c>
    </row>
    <row r="378" spans="1:12" x14ac:dyDescent="0.3">
      <c r="A378" s="36" t="str">
        <f xml:space="preserve"> IF( 'From SvanPC++'!A378= "", "", ('From SvanPC++'!A378))</f>
        <v/>
      </c>
      <c r="C378" s="47" t="s">
        <v>10</v>
      </c>
      <c r="G378" s="38" t="str">
        <f t="shared" si="26"/>
        <v/>
      </c>
      <c r="H378" s="36" t="str">
        <f t="shared" si="30"/>
        <v/>
      </c>
      <c r="J378" s="141" t="str">
        <f t="shared" si="27"/>
        <v/>
      </c>
      <c r="K378" s="141" t="str">
        <f t="shared" si="28"/>
        <v/>
      </c>
      <c r="L378" s="141" t="str">
        <f t="shared" si="29"/>
        <v/>
      </c>
    </row>
    <row r="379" spans="1:12" x14ac:dyDescent="0.3">
      <c r="A379" s="36" t="str">
        <f xml:space="preserve"> IF( 'From SvanPC++'!A379= "", "", ('From SvanPC++'!A379))</f>
        <v/>
      </c>
      <c r="C379" s="47" t="s">
        <v>10</v>
      </c>
      <c r="G379" s="38" t="str">
        <f t="shared" si="26"/>
        <v/>
      </c>
      <c r="H379" s="36" t="str">
        <f t="shared" si="30"/>
        <v/>
      </c>
      <c r="J379" s="141" t="str">
        <f t="shared" si="27"/>
        <v/>
      </c>
      <c r="K379" s="141" t="str">
        <f t="shared" si="28"/>
        <v/>
      </c>
      <c r="L379" s="141" t="str">
        <f t="shared" si="29"/>
        <v/>
      </c>
    </row>
    <row r="380" spans="1:12" x14ac:dyDescent="0.3">
      <c r="A380" s="36" t="str">
        <f xml:space="preserve"> IF( 'From SvanPC++'!A380= "", "", ('From SvanPC++'!A380))</f>
        <v/>
      </c>
      <c r="C380" s="47" t="s">
        <v>10</v>
      </c>
      <c r="G380" s="38" t="str">
        <f t="shared" si="26"/>
        <v/>
      </c>
      <c r="H380" s="36" t="str">
        <f t="shared" si="30"/>
        <v/>
      </c>
      <c r="J380" s="141" t="str">
        <f t="shared" si="27"/>
        <v/>
      </c>
      <c r="K380" s="141" t="str">
        <f t="shared" si="28"/>
        <v/>
      </c>
      <c r="L380" s="141" t="str">
        <f t="shared" si="29"/>
        <v/>
      </c>
    </row>
    <row r="381" spans="1:12" x14ac:dyDescent="0.3">
      <c r="A381" s="36" t="str">
        <f xml:space="preserve"> IF( 'From SvanPC++'!A381= "", "", ('From SvanPC++'!A381))</f>
        <v/>
      </c>
      <c r="C381" s="47" t="s">
        <v>10</v>
      </c>
      <c r="G381" s="38" t="str">
        <f t="shared" si="26"/>
        <v/>
      </c>
      <c r="H381" s="36" t="str">
        <f t="shared" si="30"/>
        <v/>
      </c>
      <c r="J381" s="141" t="str">
        <f t="shared" si="27"/>
        <v/>
      </c>
      <c r="K381" s="141" t="str">
        <f t="shared" si="28"/>
        <v/>
      </c>
      <c r="L381" s="141" t="str">
        <f t="shared" si="29"/>
        <v/>
      </c>
    </row>
    <row r="382" spans="1:12" x14ac:dyDescent="0.3">
      <c r="A382" s="36" t="str">
        <f xml:space="preserve"> IF( 'From SvanPC++'!A382= "", "", ('From SvanPC++'!A382))</f>
        <v/>
      </c>
      <c r="C382" s="47" t="s">
        <v>10</v>
      </c>
      <c r="G382" s="38" t="str">
        <f t="shared" si="26"/>
        <v/>
      </c>
      <c r="H382" s="36" t="str">
        <f t="shared" si="30"/>
        <v/>
      </c>
      <c r="J382" s="141" t="str">
        <f t="shared" si="27"/>
        <v/>
      </c>
      <c r="K382" s="141" t="str">
        <f t="shared" si="28"/>
        <v/>
      </c>
      <c r="L382" s="141" t="str">
        <f t="shared" si="29"/>
        <v/>
      </c>
    </row>
    <row r="383" spans="1:12" x14ac:dyDescent="0.3">
      <c r="A383" s="36" t="str">
        <f xml:space="preserve"> IF( 'From SvanPC++'!A383= "", "", ('From SvanPC++'!A383))</f>
        <v/>
      </c>
      <c r="C383" s="47" t="s">
        <v>10</v>
      </c>
      <c r="G383" s="38" t="str">
        <f t="shared" si="26"/>
        <v/>
      </c>
      <c r="H383" s="36" t="str">
        <f t="shared" si="30"/>
        <v/>
      </c>
      <c r="J383" s="141" t="str">
        <f t="shared" si="27"/>
        <v/>
      </c>
      <c r="K383" s="141" t="str">
        <f t="shared" si="28"/>
        <v/>
      </c>
      <c r="L383" s="141" t="str">
        <f t="shared" si="29"/>
        <v/>
      </c>
    </row>
    <row r="384" spans="1:12" x14ac:dyDescent="0.3">
      <c r="A384" s="36" t="str">
        <f xml:space="preserve"> IF( 'From SvanPC++'!A384= "", "", ('From SvanPC++'!A384))</f>
        <v/>
      </c>
      <c r="C384" s="47" t="s">
        <v>10</v>
      </c>
      <c r="G384" s="38" t="str">
        <f t="shared" si="26"/>
        <v/>
      </c>
      <c r="H384" s="36" t="str">
        <f t="shared" si="30"/>
        <v/>
      </c>
      <c r="J384" s="141" t="str">
        <f t="shared" si="27"/>
        <v/>
      </c>
      <c r="K384" s="141" t="str">
        <f t="shared" si="28"/>
        <v/>
      </c>
      <c r="L384" s="141" t="str">
        <f t="shared" si="29"/>
        <v/>
      </c>
    </row>
    <row r="385" spans="1:12" x14ac:dyDescent="0.3">
      <c r="A385" s="36" t="str">
        <f xml:space="preserve"> IF( 'From SvanPC++'!A385= "", "", ('From SvanPC++'!A385))</f>
        <v/>
      </c>
      <c r="C385" s="47" t="s">
        <v>10</v>
      </c>
      <c r="G385" s="38" t="str">
        <f t="shared" si="26"/>
        <v/>
      </c>
      <c r="H385" s="36" t="str">
        <f t="shared" si="30"/>
        <v/>
      </c>
      <c r="J385" s="141" t="str">
        <f t="shared" si="27"/>
        <v/>
      </c>
      <c r="K385" s="141" t="str">
        <f t="shared" si="28"/>
        <v/>
      </c>
      <c r="L385" s="141" t="str">
        <f t="shared" si="29"/>
        <v/>
      </c>
    </row>
    <row r="386" spans="1:12" x14ac:dyDescent="0.3">
      <c r="A386" s="36" t="str">
        <f xml:space="preserve"> IF( 'From SvanPC++'!A386= "", "", ('From SvanPC++'!A386))</f>
        <v/>
      </c>
      <c r="C386" s="47" t="s">
        <v>10</v>
      </c>
      <c r="G386" s="38" t="str">
        <f t="shared" si="26"/>
        <v/>
      </c>
      <c r="H386" s="36" t="str">
        <f t="shared" si="30"/>
        <v/>
      </c>
      <c r="J386" s="141" t="str">
        <f t="shared" si="27"/>
        <v/>
      </c>
      <c r="K386" s="141" t="str">
        <f t="shared" si="28"/>
        <v/>
      </c>
      <c r="L386" s="141" t="str">
        <f t="shared" si="29"/>
        <v/>
      </c>
    </row>
    <row r="387" spans="1:12" x14ac:dyDescent="0.3">
      <c r="A387" s="36" t="str">
        <f xml:space="preserve"> IF( 'From SvanPC++'!A387= "", "", ('From SvanPC++'!A387))</f>
        <v/>
      </c>
      <c r="C387" s="47" t="s">
        <v>10</v>
      </c>
      <c r="G387" s="38" t="str">
        <f t="shared" si="26"/>
        <v/>
      </c>
      <c r="H387" s="36" t="str">
        <f t="shared" si="30"/>
        <v/>
      </c>
      <c r="J387" s="141" t="str">
        <f t="shared" si="27"/>
        <v/>
      </c>
      <c r="K387" s="141" t="str">
        <f t="shared" si="28"/>
        <v/>
      </c>
      <c r="L387" s="141" t="str">
        <f t="shared" si="29"/>
        <v/>
      </c>
    </row>
    <row r="388" spans="1:12" x14ac:dyDescent="0.3">
      <c r="A388" s="36" t="str">
        <f xml:space="preserve"> IF( 'From SvanPC++'!A388= "", "", ('From SvanPC++'!A388))</f>
        <v/>
      </c>
      <c r="C388" s="47" t="s">
        <v>10</v>
      </c>
      <c r="G388" s="38" t="str">
        <f t="shared" si="26"/>
        <v/>
      </c>
      <c r="H388" s="36" t="str">
        <f t="shared" si="30"/>
        <v/>
      </c>
      <c r="J388" s="141" t="str">
        <f t="shared" si="27"/>
        <v/>
      </c>
      <c r="K388" s="141" t="str">
        <f t="shared" si="28"/>
        <v/>
      </c>
      <c r="L388" s="141" t="str">
        <f t="shared" si="29"/>
        <v/>
      </c>
    </row>
    <row r="389" spans="1:12" x14ac:dyDescent="0.3">
      <c r="A389" s="36" t="str">
        <f xml:space="preserve"> IF( 'From SvanPC++'!A389= "", "", ('From SvanPC++'!A389))</f>
        <v/>
      </c>
      <c r="C389" s="47" t="s">
        <v>10</v>
      </c>
      <c r="G389" s="38" t="str">
        <f t="shared" si="26"/>
        <v/>
      </c>
      <c r="H389" s="36" t="str">
        <f t="shared" si="30"/>
        <v/>
      </c>
      <c r="J389" s="141" t="str">
        <f t="shared" si="27"/>
        <v/>
      </c>
      <c r="K389" s="141" t="str">
        <f t="shared" si="28"/>
        <v/>
      </c>
      <c r="L389" s="141" t="str">
        <f t="shared" si="29"/>
        <v/>
      </c>
    </row>
    <row r="390" spans="1:12" x14ac:dyDescent="0.3">
      <c r="A390" s="36" t="str">
        <f xml:space="preserve"> IF( 'From SvanPC++'!A390= "", "", ('From SvanPC++'!A390))</f>
        <v/>
      </c>
      <c r="C390" s="47" t="s">
        <v>10</v>
      </c>
      <c r="G390" s="38" t="str">
        <f t="shared" si="26"/>
        <v/>
      </c>
      <c r="H390" s="36" t="str">
        <f t="shared" si="30"/>
        <v/>
      </c>
      <c r="J390" s="141" t="str">
        <f t="shared" si="27"/>
        <v/>
      </c>
      <c r="K390" s="141" t="str">
        <f t="shared" si="28"/>
        <v/>
      </c>
      <c r="L390" s="141" t="str">
        <f t="shared" si="29"/>
        <v/>
      </c>
    </row>
    <row r="391" spans="1:12" x14ac:dyDescent="0.3">
      <c r="A391" s="36" t="str">
        <f xml:space="preserve"> IF( 'From SvanPC++'!A391= "", "", ('From SvanPC++'!A391))</f>
        <v/>
      </c>
      <c r="C391" s="47" t="s">
        <v>10</v>
      </c>
      <c r="G391" s="38" t="str">
        <f t="shared" ref="G391:G454" si="31" xml:space="preserve"> IF( D391= "", "", ( IF( AND( D391 &gt;= TIMEVALUE( "07:00:01" ), D391 &lt; TIMEVALUE( "08:00:01" ) ) = TRUE, (G390+1), (G390+0) )))</f>
        <v/>
      </c>
      <c r="H391" s="36" t="str">
        <f t="shared" si="30"/>
        <v/>
      </c>
      <c r="J391" s="141" t="str">
        <f t="shared" si="27"/>
        <v/>
      </c>
      <c r="K391" s="141" t="str">
        <f t="shared" si="28"/>
        <v/>
      </c>
      <c r="L391" s="141" t="str">
        <f t="shared" si="29"/>
        <v/>
      </c>
    </row>
    <row r="392" spans="1:12" x14ac:dyDescent="0.3">
      <c r="A392" s="36" t="str">
        <f xml:space="preserve"> IF( 'From SvanPC++'!A392= "", "", ('From SvanPC++'!A392))</f>
        <v/>
      </c>
      <c r="C392" s="47" t="s">
        <v>10</v>
      </c>
      <c r="G392" s="38" t="str">
        <f t="shared" si="31"/>
        <v/>
      </c>
      <c r="H392" s="36" t="str">
        <f t="shared" si="30"/>
        <v/>
      </c>
      <c r="J392" s="141" t="str">
        <f t="shared" ref="J392:J455" si="32" xml:space="preserve"> IF( ISERROR( IF( D392= "", "", ( IF( G392= (G391+1), ( AVERAGEIFS( E392:E536, G392:G536, G392, H392:H536, "Day" )), "" )))), "",( IF( D392= "", "", ( IF( G392= (G391+1), ( AVERAGEIFS( E392:E536, G392:G536, G392, H392:H536, "Day" )), "" )))))</f>
        <v/>
      </c>
      <c r="K392" s="141" t="str">
        <f t="shared" ref="K392:K455" si="33" xml:space="preserve"> IF( ISERROR( IF( D392= "", "", ( IF( G392= (G391+1), ( AVERAGEIFS( E392:E536, G392:G536, G392, H392:H536, "Evening" )), "" )))), "",( IF( D392= "", "", ( IF( G392= (G391+1), ( AVERAGEIFS( E392:E536, G392:G536, G392, H392:H536, "Evening" )), "" )))))</f>
        <v/>
      </c>
      <c r="L392" s="141" t="str">
        <f t="shared" ref="L392:L455" si="34" xml:space="preserve"> IF( ISERROR( IF( D392= "", "", ( IF( G392= (G391+1), ( AVERAGEIFS( E392:E536, G392:G536, G392, H392:H536, "Night" )), "" )))), "",( IF( D392= "", "", ( IF( G392= (G391+1), ( AVERAGEIFS( E392:E536, G392:G536, G392, H392:H536, "Night" )), "" )))))</f>
        <v/>
      </c>
    </row>
    <row r="393" spans="1:12" x14ac:dyDescent="0.3">
      <c r="A393" s="36" t="str">
        <f xml:space="preserve"> IF( 'From SvanPC++'!A393= "", "", ('From SvanPC++'!A393))</f>
        <v/>
      </c>
      <c r="C393" s="47" t="s">
        <v>10</v>
      </c>
      <c r="G393" s="38" t="str">
        <f t="shared" si="31"/>
        <v/>
      </c>
      <c r="H393" s="36" t="str">
        <f t="shared" si="30"/>
        <v/>
      </c>
      <c r="J393" s="141" t="str">
        <f t="shared" si="32"/>
        <v/>
      </c>
      <c r="K393" s="141" t="str">
        <f t="shared" si="33"/>
        <v/>
      </c>
      <c r="L393" s="141" t="str">
        <f t="shared" si="34"/>
        <v/>
      </c>
    </row>
    <row r="394" spans="1:12" x14ac:dyDescent="0.3">
      <c r="A394" s="36" t="str">
        <f xml:space="preserve"> IF( 'From SvanPC++'!A394= "", "", ('From SvanPC++'!A394))</f>
        <v/>
      </c>
      <c r="C394" s="47" t="s">
        <v>10</v>
      </c>
      <c r="G394" s="38" t="str">
        <f t="shared" si="31"/>
        <v/>
      </c>
      <c r="H394" s="36" t="str">
        <f t="shared" si="30"/>
        <v/>
      </c>
      <c r="J394" s="141" t="str">
        <f t="shared" si="32"/>
        <v/>
      </c>
      <c r="K394" s="141" t="str">
        <f t="shared" si="33"/>
        <v/>
      </c>
      <c r="L394" s="141" t="str">
        <f t="shared" si="34"/>
        <v/>
      </c>
    </row>
    <row r="395" spans="1:12" x14ac:dyDescent="0.3">
      <c r="A395" s="36" t="str">
        <f xml:space="preserve"> IF( 'From SvanPC++'!A395= "", "", ('From SvanPC++'!A395))</f>
        <v/>
      </c>
      <c r="C395" s="47" t="s">
        <v>10</v>
      </c>
      <c r="G395" s="38" t="str">
        <f t="shared" si="31"/>
        <v/>
      </c>
      <c r="H395" s="36" t="str">
        <f t="shared" si="30"/>
        <v/>
      </c>
      <c r="J395" s="141" t="str">
        <f t="shared" si="32"/>
        <v/>
      </c>
      <c r="K395" s="141" t="str">
        <f t="shared" si="33"/>
        <v/>
      </c>
      <c r="L395" s="141" t="str">
        <f t="shared" si="34"/>
        <v/>
      </c>
    </row>
    <row r="396" spans="1:12" x14ac:dyDescent="0.3">
      <c r="A396" s="36" t="str">
        <f xml:space="preserve"> IF( 'From SvanPC++'!A396= "", "", ('From SvanPC++'!A396))</f>
        <v/>
      </c>
      <c r="C396" s="47" t="s">
        <v>10</v>
      </c>
      <c r="G396" s="38" t="str">
        <f t="shared" si="31"/>
        <v/>
      </c>
      <c r="H396" s="36" t="str">
        <f t="shared" si="30"/>
        <v/>
      </c>
      <c r="J396" s="141" t="str">
        <f t="shared" si="32"/>
        <v/>
      </c>
      <c r="K396" s="141" t="str">
        <f t="shared" si="33"/>
        <v/>
      </c>
      <c r="L396" s="141" t="str">
        <f t="shared" si="34"/>
        <v/>
      </c>
    </row>
    <row r="397" spans="1:12" x14ac:dyDescent="0.3">
      <c r="A397" s="36" t="str">
        <f xml:space="preserve"> IF( 'From SvanPC++'!A397= "", "", ('From SvanPC++'!A397))</f>
        <v/>
      </c>
      <c r="C397" s="47" t="s">
        <v>10</v>
      </c>
      <c r="G397" s="38" t="str">
        <f t="shared" si="31"/>
        <v/>
      </c>
      <c r="H397" s="36" t="str">
        <f t="shared" si="30"/>
        <v/>
      </c>
      <c r="J397" s="141" t="str">
        <f t="shared" si="32"/>
        <v/>
      </c>
      <c r="K397" s="141" t="str">
        <f t="shared" si="33"/>
        <v/>
      </c>
      <c r="L397" s="141" t="str">
        <f t="shared" si="34"/>
        <v/>
      </c>
    </row>
    <row r="398" spans="1:12" x14ac:dyDescent="0.3">
      <c r="A398" s="36" t="str">
        <f xml:space="preserve"> IF( 'From SvanPC++'!A398= "", "", ('From SvanPC++'!A398))</f>
        <v/>
      </c>
      <c r="C398" s="47" t="s">
        <v>10</v>
      </c>
      <c r="G398" s="38" t="str">
        <f t="shared" si="31"/>
        <v/>
      </c>
      <c r="H398" s="36" t="str">
        <f t="shared" si="30"/>
        <v/>
      </c>
      <c r="J398" s="141" t="str">
        <f t="shared" si="32"/>
        <v/>
      </c>
      <c r="K398" s="141" t="str">
        <f t="shared" si="33"/>
        <v/>
      </c>
      <c r="L398" s="141" t="str">
        <f t="shared" si="34"/>
        <v/>
      </c>
    </row>
    <row r="399" spans="1:12" x14ac:dyDescent="0.3">
      <c r="A399" s="36" t="str">
        <f xml:space="preserve"> IF( 'From SvanPC++'!A399= "", "", ('From SvanPC++'!A399))</f>
        <v/>
      </c>
      <c r="C399" s="47" t="s">
        <v>10</v>
      </c>
      <c r="G399" s="38" t="str">
        <f t="shared" si="31"/>
        <v/>
      </c>
      <c r="H399" s="36" t="str">
        <f t="shared" si="30"/>
        <v/>
      </c>
      <c r="J399" s="141" t="str">
        <f t="shared" si="32"/>
        <v/>
      </c>
      <c r="K399" s="141" t="str">
        <f t="shared" si="33"/>
        <v/>
      </c>
      <c r="L399" s="141" t="str">
        <f t="shared" si="34"/>
        <v/>
      </c>
    </row>
    <row r="400" spans="1:12" x14ac:dyDescent="0.3">
      <c r="A400" s="36" t="str">
        <f xml:space="preserve"> IF( 'From SvanPC++'!A400= "", "", ('From SvanPC++'!A400))</f>
        <v/>
      </c>
      <c r="C400" s="47" t="s">
        <v>10</v>
      </c>
      <c r="G400" s="38" t="str">
        <f t="shared" si="31"/>
        <v/>
      </c>
      <c r="H400" s="36" t="str">
        <f t="shared" si="30"/>
        <v/>
      </c>
      <c r="J400" s="141" t="str">
        <f t="shared" si="32"/>
        <v/>
      </c>
      <c r="K400" s="141" t="str">
        <f t="shared" si="33"/>
        <v/>
      </c>
      <c r="L400" s="141" t="str">
        <f t="shared" si="34"/>
        <v/>
      </c>
    </row>
    <row r="401" spans="1:12" x14ac:dyDescent="0.3">
      <c r="A401" s="36" t="str">
        <f xml:space="preserve"> IF( 'From SvanPC++'!A401= "", "", ('From SvanPC++'!A401))</f>
        <v/>
      </c>
      <c r="C401" s="47" t="s">
        <v>10</v>
      </c>
      <c r="G401" s="38" t="str">
        <f t="shared" si="31"/>
        <v/>
      </c>
      <c r="H401" s="36" t="str">
        <f t="shared" si="30"/>
        <v/>
      </c>
      <c r="J401" s="141" t="str">
        <f t="shared" si="32"/>
        <v/>
      </c>
      <c r="K401" s="141" t="str">
        <f t="shared" si="33"/>
        <v/>
      </c>
      <c r="L401" s="141" t="str">
        <f t="shared" si="34"/>
        <v/>
      </c>
    </row>
    <row r="402" spans="1:12" x14ac:dyDescent="0.3">
      <c r="A402" s="36" t="str">
        <f xml:space="preserve"> IF( 'From SvanPC++'!A402= "", "", ('From SvanPC++'!A402))</f>
        <v/>
      </c>
      <c r="C402" s="47" t="s">
        <v>10</v>
      </c>
      <c r="G402" s="38" t="str">
        <f t="shared" si="31"/>
        <v/>
      </c>
      <c r="H402" s="36" t="str">
        <f t="shared" si="30"/>
        <v/>
      </c>
      <c r="J402" s="141" t="str">
        <f t="shared" si="32"/>
        <v/>
      </c>
      <c r="K402" s="141" t="str">
        <f t="shared" si="33"/>
        <v/>
      </c>
      <c r="L402" s="141" t="str">
        <f t="shared" si="34"/>
        <v/>
      </c>
    </row>
    <row r="403" spans="1:12" x14ac:dyDescent="0.3">
      <c r="A403" s="36" t="str">
        <f xml:space="preserve"> IF( 'From SvanPC++'!A403= "", "", ('From SvanPC++'!A403))</f>
        <v/>
      </c>
      <c r="C403" s="47" t="s">
        <v>10</v>
      </c>
      <c r="G403" s="38" t="str">
        <f t="shared" si="31"/>
        <v/>
      </c>
      <c r="H403" s="36" t="str">
        <f t="shared" si="30"/>
        <v/>
      </c>
      <c r="J403" s="141" t="str">
        <f t="shared" si="32"/>
        <v/>
      </c>
      <c r="K403" s="141" t="str">
        <f t="shared" si="33"/>
        <v/>
      </c>
      <c r="L403" s="141" t="str">
        <f t="shared" si="34"/>
        <v/>
      </c>
    </row>
    <row r="404" spans="1:12" x14ac:dyDescent="0.3">
      <c r="A404" s="36" t="str">
        <f xml:space="preserve"> IF( 'From SvanPC++'!A404= "", "", ('From SvanPC++'!A404))</f>
        <v/>
      </c>
      <c r="C404" s="47" t="s">
        <v>10</v>
      </c>
      <c r="G404" s="38" t="str">
        <f t="shared" si="31"/>
        <v/>
      </c>
      <c r="H404" s="36" t="str">
        <f t="shared" si="30"/>
        <v/>
      </c>
      <c r="J404" s="141" t="str">
        <f t="shared" si="32"/>
        <v/>
      </c>
      <c r="K404" s="141" t="str">
        <f t="shared" si="33"/>
        <v/>
      </c>
      <c r="L404" s="141" t="str">
        <f t="shared" si="34"/>
        <v/>
      </c>
    </row>
    <row r="405" spans="1:12" x14ac:dyDescent="0.3">
      <c r="A405" s="36" t="str">
        <f xml:space="preserve"> IF( 'From SvanPC++'!A405= "", "", ('From SvanPC++'!A405))</f>
        <v/>
      </c>
      <c r="C405" s="47" t="s">
        <v>10</v>
      </c>
      <c r="G405" s="38" t="str">
        <f t="shared" si="31"/>
        <v/>
      </c>
      <c r="H405" s="36" t="str">
        <f t="shared" si="30"/>
        <v/>
      </c>
      <c r="J405" s="141" t="str">
        <f t="shared" si="32"/>
        <v/>
      </c>
      <c r="K405" s="141" t="str">
        <f t="shared" si="33"/>
        <v/>
      </c>
      <c r="L405" s="141" t="str">
        <f t="shared" si="34"/>
        <v/>
      </c>
    </row>
    <row r="406" spans="1:12" x14ac:dyDescent="0.3">
      <c r="A406" s="36" t="str">
        <f xml:space="preserve"> IF( 'From SvanPC++'!A406= "", "", ('From SvanPC++'!A406))</f>
        <v/>
      </c>
      <c r="C406" s="47" t="s">
        <v>10</v>
      </c>
      <c r="G406" s="38" t="str">
        <f t="shared" si="31"/>
        <v/>
      </c>
      <c r="H406" s="36" t="str">
        <f t="shared" si="30"/>
        <v/>
      </c>
      <c r="J406" s="141" t="str">
        <f t="shared" si="32"/>
        <v/>
      </c>
      <c r="K406" s="141" t="str">
        <f t="shared" si="33"/>
        <v/>
      </c>
      <c r="L406" s="141" t="str">
        <f t="shared" si="34"/>
        <v/>
      </c>
    </row>
    <row r="407" spans="1:12" x14ac:dyDescent="0.3">
      <c r="A407" s="36" t="str">
        <f xml:space="preserve"> IF( 'From SvanPC++'!A407= "", "", ('From SvanPC++'!A407))</f>
        <v/>
      </c>
      <c r="C407" s="47" t="s">
        <v>10</v>
      </c>
      <c r="G407" s="38" t="str">
        <f t="shared" si="31"/>
        <v/>
      </c>
      <c r="H407" s="36" t="str">
        <f t="shared" ref="H407:H470" si="35" xml:space="preserve"> IF( D407= "", "", ( IF( AND( D407 &gt;= TIMEVALUE( "07:00:01" ), D407 &lt;= TIMEVALUE( "13:00:00" ), WEEKDAY( C407) =(7+N("Lines 2-17 = saturday day period")) ) = TRUE, "Day",
IF( AND( D407 &gt;= TIMEVALUE( "07:00:01" ), D407 &lt;= TIMEVALUE( "18:00:00" ), WEEKDAY( C407,1+N("Lines 19-38 = weekday day period")) &gt;=2, ( WEEKDAY( C407,1) &lt;=6) ) = TRUE, "Day",
IF( AND( D407 &gt;= TIMEVALUE( "13:00:01" ), D407 &lt;= TIMEVALUE( "22:00:00" ), WEEKDAY( C407) =(7+N("Lines 40-56 = saturday evening period")) ) = TRUE, "Evening",
IF( AND( D407 &gt;= TIMEVALUE( "18:00:01" ), D407 &lt;= TIMEVALUE( "22:00:00" ), WEEKDAY( C407,1+N("Lines 57-77 = weekday evening period")) &gt;=2, ( WEEKDAY( C407,1) &lt;=6) ) = TRUE, "Evening",
IF( AND( D407 &gt;= TIMEVALUE( "07:00:01" ), D407 &lt;= TIMEVALUE( "22:00:00" ), WEEKDAY( C407) =(1+N("Lines 78-94 = sunday evening period")) ) = TRUE, "Evening",
IF( AND( D407 &gt;= TIMEVALUE( "22:00:01" ), D407 &lt;= TIMEVALUE( "23:59:59" ), WEEKDAY( C407) =(7+N("Lines 95-111 = saturday night1 period")) ) = TRUE, "Night",
IF( AND( D407 &gt;= TIMEVALUE( "00:00:00" ), D407 &lt;= TIMEVALUE( "07:00:00" ), WEEKDAY( C407) =(7+N("Lines 112-128 = saturday night2 period")) ) = TRUE, "Night",
IF( AND( D407 &gt;= TIMEVALUE( "22:00:01" ), D407 &lt;= TIMEVALUE( "23:59:59" ), WEEKDAY( C407,1+N("Lines 129-149 = weekday night1 period")) &gt;=2, ( WEEKDAY( C407,1) &lt;=6) ) = TRUE, "Night",
IF( AND( D407 &gt;= TIMEVALUE( "00:00:00" ), D407 &lt;= TIMEVALUE( "07:00:00" ), WEEKDAY( C407,1+N("Lines 150-170 = weekday night2 period")) &gt;=2, ( WEEKDAY( C407,1) &lt;=6) ) = TRUE, "Night",
IF( AND( D407 &gt;= TIMEVALUE( "20:00:01" ), D407 &lt;= TIMEVALUE( "23:59:59" ), WEEKDAY( C407) =(1+N("Lines 171-187 = sunday night1 period")) ) = TRUE, "Night",
IF( AND( D407 &gt;= TIMEVALUE( "00:00:00" ), D407 &lt;= TIMEVALUE( "07:00:00" ), WEEKDAY( C407) =(1+N("Lines 188-204 = sunday night2 period")) ) = TRUE, "Night", )))))))))))))</f>
        <v/>
      </c>
      <c r="J407" s="141" t="str">
        <f t="shared" si="32"/>
        <v/>
      </c>
      <c r="K407" s="141" t="str">
        <f t="shared" si="33"/>
        <v/>
      </c>
      <c r="L407" s="141" t="str">
        <f t="shared" si="34"/>
        <v/>
      </c>
    </row>
    <row r="408" spans="1:12" x14ac:dyDescent="0.3">
      <c r="A408" s="36" t="str">
        <f xml:space="preserve"> IF( 'From SvanPC++'!A408= "", "", ('From SvanPC++'!A408))</f>
        <v/>
      </c>
      <c r="C408" s="47" t="s">
        <v>10</v>
      </c>
      <c r="G408" s="38" t="str">
        <f t="shared" si="31"/>
        <v/>
      </c>
      <c r="H408" s="36" t="str">
        <f t="shared" si="35"/>
        <v/>
      </c>
      <c r="J408" s="141" t="str">
        <f t="shared" si="32"/>
        <v/>
      </c>
      <c r="K408" s="141" t="str">
        <f t="shared" si="33"/>
        <v/>
      </c>
      <c r="L408" s="141" t="str">
        <f t="shared" si="34"/>
        <v/>
      </c>
    </row>
    <row r="409" spans="1:12" x14ac:dyDescent="0.3">
      <c r="A409" s="36" t="str">
        <f xml:space="preserve"> IF( 'From SvanPC++'!A409= "", "", ('From SvanPC++'!A409))</f>
        <v/>
      </c>
      <c r="C409" s="47" t="s">
        <v>10</v>
      </c>
      <c r="G409" s="38" t="str">
        <f t="shared" si="31"/>
        <v/>
      </c>
      <c r="H409" s="36" t="str">
        <f t="shared" si="35"/>
        <v/>
      </c>
      <c r="J409" s="141" t="str">
        <f t="shared" si="32"/>
        <v/>
      </c>
      <c r="K409" s="141" t="str">
        <f t="shared" si="33"/>
        <v/>
      </c>
      <c r="L409" s="141" t="str">
        <f t="shared" si="34"/>
        <v/>
      </c>
    </row>
    <row r="410" spans="1:12" x14ac:dyDescent="0.3">
      <c r="A410" s="36" t="str">
        <f xml:space="preserve"> IF( 'From SvanPC++'!A410= "", "", ('From SvanPC++'!A410))</f>
        <v/>
      </c>
      <c r="C410" s="47" t="s">
        <v>10</v>
      </c>
      <c r="G410" s="38" t="str">
        <f t="shared" si="31"/>
        <v/>
      </c>
      <c r="H410" s="36" t="str">
        <f t="shared" si="35"/>
        <v/>
      </c>
      <c r="J410" s="141" t="str">
        <f t="shared" si="32"/>
        <v/>
      </c>
      <c r="K410" s="141" t="str">
        <f t="shared" si="33"/>
        <v/>
      </c>
      <c r="L410" s="141" t="str">
        <f t="shared" si="34"/>
        <v/>
      </c>
    </row>
    <row r="411" spans="1:12" x14ac:dyDescent="0.3">
      <c r="A411" s="36" t="str">
        <f xml:space="preserve"> IF( 'From SvanPC++'!A411= "", "", ('From SvanPC++'!A411))</f>
        <v/>
      </c>
      <c r="C411" s="47" t="s">
        <v>10</v>
      </c>
      <c r="G411" s="38" t="str">
        <f t="shared" si="31"/>
        <v/>
      </c>
      <c r="H411" s="36" t="str">
        <f t="shared" si="35"/>
        <v/>
      </c>
      <c r="J411" s="141" t="str">
        <f t="shared" si="32"/>
        <v/>
      </c>
      <c r="K411" s="141" t="str">
        <f t="shared" si="33"/>
        <v/>
      </c>
      <c r="L411" s="141" t="str">
        <f t="shared" si="34"/>
        <v/>
      </c>
    </row>
    <row r="412" spans="1:12" x14ac:dyDescent="0.3">
      <c r="A412" s="36" t="str">
        <f xml:space="preserve"> IF( 'From SvanPC++'!A412= "", "", ('From SvanPC++'!A412))</f>
        <v/>
      </c>
      <c r="C412" s="47" t="s">
        <v>10</v>
      </c>
      <c r="G412" s="38" t="str">
        <f t="shared" si="31"/>
        <v/>
      </c>
      <c r="H412" s="36" t="str">
        <f t="shared" si="35"/>
        <v/>
      </c>
      <c r="J412" s="141" t="str">
        <f t="shared" si="32"/>
        <v/>
      </c>
      <c r="K412" s="141" t="str">
        <f t="shared" si="33"/>
        <v/>
      </c>
      <c r="L412" s="141" t="str">
        <f t="shared" si="34"/>
        <v/>
      </c>
    </row>
    <row r="413" spans="1:12" x14ac:dyDescent="0.3">
      <c r="A413" s="36" t="str">
        <f xml:space="preserve"> IF( 'From SvanPC++'!A413= "", "", ('From SvanPC++'!A413))</f>
        <v/>
      </c>
      <c r="C413" s="47" t="s">
        <v>10</v>
      </c>
      <c r="G413" s="38" t="str">
        <f t="shared" si="31"/>
        <v/>
      </c>
      <c r="H413" s="36" t="str">
        <f t="shared" si="35"/>
        <v/>
      </c>
      <c r="J413" s="141" t="str">
        <f t="shared" si="32"/>
        <v/>
      </c>
      <c r="K413" s="141" t="str">
        <f t="shared" si="33"/>
        <v/>
      </c>
      <c r="L413" s="141" t="str">
        <f t="shared" si="34"/>
        <v/>
      </c>
    </row>
    <row r="414" spans="1:12" x14ac:dyDescent="0.3">
      <c r="A414" s="36" t="str">
        <f xml:space="preserve"> IF( 'From SvanPC++'!A414= "", "", ('From SvanPC++'!A414))</f>
        <v/>
      </c>
      <c r="C414" s="47" t="s">
        <v>10</v>
      </c>
      <c r="G414" s="38" t="str">
        <f t="shared" si="31"/>
        <v/>
      </c>
      <c r="H414" s="36" t="str">
        <f t="shared" si="35"/>
        <v/>
      </c>
      <c r="J414" s="141" t="str">
        <f t="shared" si="32"/>
        <v/>
      </c>
      <c r="K414" s="141" t="str">
        <f t="shared" si="33"/>
        <v/>
      </c>
      <c r="L414" s="141" t="str">
        <f t="shared" si="34"/>
        <v/>
      </c>
    </row>
    <row r="415" spans="1:12" x14ac:dyDescent="0.3">
      <c r="A415" s="36" t="str">
        <f xml:space="preserve"> IF( 'From SvanPC++'!A415= "", "", ('From SvanPC++'!A415))</f>
        <v/>
      </c>
      <c r="C415" s="47" t="s">
        <v>10</v>
      </c>
      <c r="G415" s="38" t="str">
        <f t="shared" si="31"/>
        <v/>
      </c>
      <c r="H415" s="36" t="str">
        <f t="shared" si="35"/>
        <v/>
      </c>
      <c r="J415" s="141" t="str">
        <f t="shared" si="32"/>
        <v/>
      </c>
      <c r="K415" s="141" t="str">
        <f t="shared" si="33"/>
        <v/>
      </c>
      <c r="L415" s="141" t="str">
        <f t="shared" si="34"/>
        <v/>
      </c>
    </row>
    <row r="416" spans="1:12" x14ac:dyDescent="0.3">
      <c r="A416" s="36" t="str">
        <f xml:space="preserve"> IF( 'From SvanPC++'!A416= "", "", ('From SvanPC++'!A416))</f>
        <v/>
      </c>
      <c r="C416" s="47" t="s">
        <v>10</v>
      </c>
      <c r="G416" s="38" t="str">
        <f t="shared" si="31"/>
        <v/>
      </c>
      <c r="H416" s="36" t="str">
        <f t="shared" si="35"/>
        <v/>
      </c>
      <c r="J416" s="141" t="str">
        <f t="shared" si="32"/>
        <v/>
      </c>
      <c r="K416" s="141" t="str">
        <f t="shared" si="33"/>
        <v/>
      </c>
      <c r="L416" s="141" t="str">
        <f t="shared" si="34"/>
        <v/>
      </c>
    </row>
    <row r="417" spans="1:12" x14ac:dyDescent="0.3">
      <c r="A417" s="36" t="str">
        <f xml:space="preserve"> IF( 'From SvanPC++'!A417= "", "", ('From SvanPC++'!A417))</f>
        <v/>
      </c>
      <c r="C417" s="47" t="s">
        <v>10</v>
      </c>
      <c r="G417" s="38" t="str">
        <f t="shared" si="31"/>
        <v/>
      </c>
      <c r="H417" s="36" t="str">
        <f t="shared" si="35"/>
        <v/>
      </c>
      <c r="J417" s="141" t="str">
        <f t="shared" si="32"/>
        <v/>
      </c>
      <c r="K417" s="141" t="str">
        <f t="shared" si="33"/>
        <v/>
      </c>
      <c r="L417" s="141" t="str">
        <f t="shared" si="34"/>
        <v/>
      </c>
    </row>
    <row r="418" spans="1:12" x14ac:dyDescent="0.3">
      <c r="A418" s="36" t="str">
        <f xml:space="preserve"> IF( 'From SvanPC++'!A418= "", "", ('From SvanPC++'!A418))</f>
        <v/>
      </c>
      <c r="C418" s="47" t="s">
        <v>10</v>
      </c>
      <c r="G418" s="38" t="str">
        <f t="shared" si="31"/>
        <v/>
      </c>
      <c r="H418" s="36" t="str">
        <f t="shared" si="35"/>
        <v/>
      </c>
      <c r="J418" s="141" t="str">
        <f t="shared" si="32"/>
        <v/>
      </c>
      <c r="K418" s="141" t="str">
        <f t="shared" si="33"/>
        <v/>
      </c>
      <c r="L418" s="141" t="str">
        <f t="shared" si="34"/>
        <v/>
      </c>
    </row>
    <row r="419" spans="1:12" x14ac:dyDescent="0.3">
      <c r="A419" s="36" t="str">
        <f xml:space="preserve"> IF( 'From SvanPC++'!A419= "", "", ('From SvanPC++'!A419))</f>
        <v/>
      </c>
      <c r="C419" s="47" t="s">
        <v>10</v>
      </c>
      <c r="G419" s="38" t="str">
        <f t="shared" si="31"/>
        <v/>
      </c>
      <c r="H419" s="36" t="str">
        <f t="shared" si="35"/>
        <v/>
      </c>
      <c r="J419" s="141" t="str">
        <f t="shared" si="32"/>
        <v/>
      </c>
      <c r="K419" s="141" t="str">
        <f t="shared" si="33"/>
        <v/>
      </c>
      <c r="L419" s="141" t="str">
        <f t="shared" si="34"/>
        <v/>
      </c>
    </row>
    <row r="420" spans="1:12" x14ac:dyDescent="0.3">
      <c r="A420" s="36" t="str">
        <f xml:space="preserve"> IF( 'From SvanPC++'!A420= "", "", ('From SvanPC++'!A420))</f>
        <v/>
      </c>
      <c r="C420" s="47" t="s">
        <v>10</v>
      </c>
      <c r="G420" s="38" t="str">
        <f t="shared" si="31"/>
        <v/>
      </c>
      <c r="H420" s="36" t="str">
        <f t="shared" si="35"/>
        <v/>
      </c>
      <c r="J420" s="141" t="str">
        <f t="shared" si="32"/>
        <v/>
      </c>
      <c r="K420" s="141" t="str">
        <f t="shared" si="33"/>
        <v/>
      </c>
      <c r="L420" s="141" t="str">
        <f t="shared" si="34"/>
        <v/>
      </c>
    </row>
    <row r="421" spans="1:12" x14ac:dyDescent="0.3">
      <c r="A421" s="36" t="str">
        <f xml:space="preserve"> IF( 'From SvanPC++'!A421= "", "", ('From SvanPC++'!A421))</f>
        <v/>
      </c>
      <c r="C421" s="47" t="s">
        <v>10</v>
      </c>
      <c r="G421" s="38" t="str">
        <f t="shared" si="31"/>
        <v/>
      </c>
      <c r="H421" s="36" t="str">
        <f t="shared" si="35"/>
        <v/>
      </c>
      <c r="J421" s="141" t="str">
        <f t="shared" si="32"/>
        <v/>
      </c>
      <c r="K421" s="141" t="str">
        <f t="shared" si="33"/>
        <v/>
      </c>
      <c r="L421" s="141" t="str">
        <f t="shared" si="34"/>
        <v/>
      </c>
    </row>
    <row r="422" spans="1:12" x14ac:dyDescent="0.3">
      <c r="A422" s="36" t="str">
        <f xml:space="preserve"> IF( 'From SvanPC++'!A422= "", "", ('From SvanPC++'!A422))</f>
        <v/>
      </c>
      <c r="C422" s="47" t="s">
        <v>10</v>
      </c>
      <c r="G422" s="38" t="str">
        <f t="shared" si="31"/>
        <v/>
      </c>
      <c r="H422" s="36" t="str">
        <f t="shared" si="35"/>
        <v/>
      </c>
      <c r="J422" s="141" t="str">
        <f t="shared" si="32"/>
        <v/>
      </c>
      <c r="K422" s="141" t="str">
        <f t="shared" si="33"/>
        <v/>
      </c>
      <c r="L422" s="141" t="str">
        <f t="shared" si="34"/>
        <v/>
      </c>
    </row>
    <row r="423" spans="1:12" x14ac:dyDescent="0.3">
      <c r="A423" s="36" t="str">
        <f xml:space="preserve"> IF( 'From SvanPC++'!A423= "", "", ('From SvanPC++'!A423))</f>
        <v/>
      </c>
      <c r="C423" s="47" t="s">
        <v>10</v>
      </c>
      <c r="G423" s="38" t="str">
        <f t="shared" si="31"/>
        <v/>
      </c>
      <c r="H423" s="36" t="str">
        <f t="shared" si="35"/>
        <v/>
      </c>
      <c r="J423" s="141" t="str">
        <f t="shared" si="32"/>
        <v/>
      </c>
      <c r="K423" s="141" t="str">
        <f t="shared" si="33"/>
        <v/>
      </c>
      <c r="L423" s="141" t="str">
        <f t="shared" si="34"/>
        <v/>
      </c>
    </row>
    <row r="424" spans="1:12" x14ac:dyDescent="0.3">
      <c r="A424" s="36" t="str">
        <f xml:space="preserve"> IF( 'From SvanPC++'!A424= "", "", ('From SvanPC++'!A424))</f>
        <v/>
      </c>
      <c r="C424" s="47" t="s">
        <v>10</v>
      </c>
      <c r="G424" s="38" t="str">
        <f t="shared" si="31"/>
        <v/>
      </c>
      <c r="H424" s="36" t="str">
        <f t="shared" si="35"/>
        <v/>
      </c>
      <c r="J424" s="141" t="str">
        <f t="shared" si="32"/>
        <v/>
      </c>
      <c r="K424" s="141" t="str">
        <f t="shared" si="33"/>
        <v/>
      </c>
      <c r="L424" s="141" t="str">
        <f t="shared" si="34"/>
        <v/>
      </c>
    </row>
    <row r="425" spans="1:12" x14ac:dyDescent="0.3">
      <c r="A425" s="36" t="str">
        <f xml:space="preserve"> IF( 'From SvanPC++'!A425= "", "", ('From SvanPC++'!A425))</f>
        <v/>
      </c>
      <c r="C425" s="47" t="s">
        <v>10</v>
      </c>
      <c r="G425" s="38" t="str">
        <f t="shared" si="31"/>
        <v/>
      </c>
      <c r="H425" s="36" t="str">
        <f t="shared" si="35"/>
        <v/>
      </c>
      <c r="J425" s="141" t="str">
        <f t="shared" si="32"/>
        <v/>
      </c>
      <c r="K425" s="141" t="str">
        <f t="shared" si="33"/>
        <v/>
      </c>
      <c r="L425" s="141" t="str">
        <f t="shared" si="34"/>
        <v/>
      </c>
    </row>
    <row r="426" spans="1:12" x14ac:dyDescent="0.3">
      <c r="A426" s="36" t="str">
        <f xml:space="preserve"> IF( 'From SvanPC++'!A426= "", "", ('From SvanPC++'!A426))</f>
        <v/>
      </c>
      <c r="C426" s="47" t="s">
        <v>10</v>
      </c>
      <c r="G426" s="38" t="str">
        <f t="shared" si="31"/>
        <v/>
      </c>
      <c r="H426" s="36" t="str">
        <f t="shared" si="35"/>
        <v/>
      </c>
      <c r="J426" s="141" t="str">
        <f t="shared" si="32"/>
        <v/>
      </c>
      <c r="K426" s="141" t="str">
        <f t="shared" si="33"/>
        <v/>
      </c>
      <c r="L426" s="141" t="str">
        <f t="shared" si="34"/>
        <v/>
      </c>
    </row>
    <row r="427" spans="1:12" x14ac:dyDescent="0.3">
      <c r="A427" s="36" t="str">
        <f xml:space="preserve"> IF( 'From SvanPC++'!A427= "", "", ('From SvanPC++'!A427))</f>
        <v/>
      </c>
      <c r="C427" s="47" t="s">
        <v>10</v>
      </c>
      <c r="G427" s="38" t="str">
        <f t="shared" si="31"/>
        <v/>
      </c>
      <c r="H427" s="36" t="str">
        <f t="shared" si="35"/>
        <v/>
      </c>
      <c r="J427" s="141" t="str">
        <f t="shared" si="32"/>
        <v/>
      </c>
      <c r="K427" s="141" t="str">
        <f t="shared" si="33"/>
        <v/>
      </c>
      <c r="L427" s="141" t="str">
        <f t="shared" si="34"/>
        <v/>
      </c>
    </row>
    <row r="428" spans="1:12" x14ac:dyDescent="0.3">
      <c r="A428" s="36" t="str">
        <f xml:space="preserve"> IF( 'From SvanPC++'!A428= "", "", ('From SvanPC++'!A428))</f>
        <v/>
      </c>
      <c r="C428" s="47" t="s">
        <v>10</v>
      </c>
      <c r="G428" s="38" t="str">
        <f t="shared" si="31"/>
        <v/>
      </c>
      <c r="H428" s="36" t="str">
        <f t="shared" si="35"/>
        <v/>
      </c>
      <c r="J428" s="141" t="str">
        <f t="shared" si="32"/>
        <v/>
      </c>
      <c r="K428" s="141" t="str">
        <f t="shared" si="33"/>
        <v/>
      </c>
      <c r="L428" s="141" t="str">
        <f t="shared" si="34"/>
        <v/>
      </c>
    </row>
    <row r="429" spans="1:12" x14ac:dyDescent="0.3">
      <c r="A429" s="36" t="str">
        <f xml:space="preserve"> IF( 'From SvanPC++'!A429= "", "", ('From SvanPC++'!A429))</f>
        <v/>
      </c>
      <c r="C429" s="47" t="s">
        <v>10</v>
      </c>
      <c r="G429" s="38" t="str">
        <f t="shared" si="31"/>
        <v/>
      </c>
      <c r="H429" s="36" t="str">
        <f t="shared" si="35"/>
        <v/>
      </c>
      <c r="J429" s="141" t="str">
        <f t="shared" si="32"/>
        <v/>
      </c>
      <c r="K429" s="141" t="str">
        <f t="shared" si="33"/>
        <v/>
      </c>
      <c r="L429" s="141" t="str">
        <f t="shared" si="34"/>
        <v/>
      </c>
    </row>
    <row r="430" spans="1:12" x14ac:dyDescent="0.3">
      <c r="A430" s="36" t="str">
        <f xml:space="preserve"> IF( 'From SvanPC++'!A430= "", "", ('From SvanPC++'!A430))</f>
        <v/>
      </c>
      <c r="C430" s="47" t="s">
        <v>10</v>
      </c>
      <c r="G430" s="38" t="str">
        <f t="shared" si="31"/>
        <v/>
      </c>
      <c r="H430" s="36" t="str">
        <f t="shared" si="35"/>
        <v/>
      </c>
      <c r="J430" s="141" t="str">
        <f t="shared" si="32"/>
        <v/>
      </c>
      <c r="K430" s="141" t="str">
        <f t="shared" si="33"/>
        <v/>
      </c>
      <c r="L430" s="141" t="str">
        <f t="shared" si="34"/>
        <v/>
      </c>
    </row>
    <row r="431" spans="1:12" x14ac:dyDescent="0.3">
      <c r="A431" s="36" t="str">
        <f xml:space="preserve"> IF( 'From SvanPC++'!A431= "", "", ('From SvanPC++'!A431))</f>
        <v/>
      </c>
      <c r="C431" s="47" t="s">
        <v>10</v>
      </c>
      <c r="G431" s="38" t="str">
        <f t="shared" si="31"/>
        <v/>
      </c>
      <c r="H431" s="36" t="str">
        <f t="shared" si="35"/>
        <v/>
      </c>
      <c r="J431" s="141" t="str">
        <f t="shared" si="32"/>
        <v/>
      </c>
      <c r="K431" s="141" t="str">
        <f t="shared" si="33"/>
        <v/>
      </c>
      <c r="L431" s="141" t="str">
        <f t="shared" si="34"/>
        <v/>
      </c>
    </row>
    <row r="432" spans="1:12" x14ac:dyDescent="0.3">
      <c r="A432" s="36" t="str">
        <f xml:space="preserve"> IF( 'From SvanPC++'!A432= "", "", ('From SvanPC++'!A432))</f>
        <v/>
      </c>
      <c r="C432" s="47" t="s">
        <v>10</v>
      </c>
      <c r="G432" s="38" t="str">
        <f t="shared" si="31"/>
        <v/>
      </c>
      <c r="H432" s="36" t="str">
        <f t="shared" si="35"/>
        <v/>
      </c>
      <c r="J432" s="141" t="str">
        <f t="shared" si="32"/>
        <v/>
      </c>
      <c r="K432" s="141" t="str">
        <f t="shared" si="33"/>
        <v/>
      </c>
      <c r="L432" s="141" t="str">
        <f t="shared" si="34"/>
        <v/>
      </c>
    </row>
    <row r="433" spans="1:12" x14ac:dyDescent="0.3">
      <c r="A433" s="36" t="str">
        <f xml:space="preserve"> IF( 'From SvanPC++'!A433= "", "", ('From SvanPC++'!A433))</f>
        <v/>
      </c>
      <c r="C433" s="47" t="s">
        <v>10</v>
      </c>
      <c r="G433" s="38" t="str">
        <f t="shared" si="31"/>
        <v/>
      </c>
      <c r="H433" s="36" t="str">
        <f t="shared" si="35"/>
        <v/>
      </c>
      <c r="J433" s="141" t="str">
        <f t="shared" si="32"/>
        <v/>
      </c>
      <c r="K433" s="141" t="str">
        <f t="shared" si="33"/>
        <v/>
      </c>
      <c r="L433" s="141" t="str">
        <f t="shared" si="34"/>
        <v/>
      </c>
    </row>
    <row r="434" spans="1:12" x14ac:dyDescent="0.3">
      <c r="A434" s="36" t="str">
        <f xml:space="preserve"> IF( 'From SvanPC++'!A434= "", "", ('From SvanPC++'!A434))</f>
        <v/>
      </c>
      <c r="C434" s="47" t="s">
        <v>10</v>
      </c>
      <c r="G434" s="38" t="str">
        <f t="shared" si="31"/>
        <v/>
      </c>
      <c r="H434" s="36" t="str">
        <f t="shared" si="35"/>
        <v/>
      </c>
      <c r="J434" s="141" t="str">
        <f t="shared" si="32"/>
        <v/>
      </c>
      <c r="K434" s="141" t="str">
        <f t="shared" si="33"/>
        <v/>
      </c>
      <c r="L434" s="141" t="str">
        <f t="shared" si="34"/>
        <v/>
      </c>
    </row>
    <row r="435" spans="1:12" x14ac:dyDescent="0.3">
      <c r="A435" s="36" t="str">
        <f xml:space="preserve"> IF( 'From SvanPC++'!A435= "", "", ('From SvanPC++'!A435))</f>
        <v/>
      </c>
      <c r="C435" s="47" t="s">
        <v>10</v>
      </c>
      <c r="G435" s="38" t="str">
        <f t="shared" si="31"/>
        <v/>
      </c>
      <c r="H435" s="36" t="str">
        <f t="shared" si="35"/>
        <v/>
      </c>
      <c r="J435" s="141" t="str">
        <f t="shared" si="32"/>
        <v/>
      </c>
      <c r="K435" s="141" t="str">
        <f t="shared" si="33"/>
        <v/>
      </c>
      <c r="L435" s="141" t="str">
        <f t="shared" si="34"/>
        <v/>
      </c>
    </row>
    <row r="436" spans="1:12" x14ac:dyDescent="0.3">
      <c r="A436" s="36" t="str">
        <f xml:space="preserve"> IF( 'From SvanPC++'!A436= "", "", ('From SvanPC++'!A436))</f>
        <v/>
      </c>
      <c r="C436" s="47" t="s">
        <v>10</v>
      </c>
      <c r="G436" s="38" t="str">
        <f t="shared" si="31"/>
        <v/>
      </c>
      <c r="H436" s="36" t="str">
        <f t="shared" si="35"/>
        <v/>
      </c>
      <c r="J436" s="141" t="str">
        <f t="shared" si="32"/>
        <v/>
      </c>
      <c r="K436" s="141" t="str">
        <f t="shared" si="33"/>
        <v/>
      </c>
      <c r="L436" s="141" t="str">
        <f t="shared" si="34"/>
        <v/>
      </c>
    </row>
    <row r="437" spans="1:12" x14ac:dyDescent="0.3">
      <c r="A437" s="36" t="str">
        <f xml:space="preserve"> IF( 'From SvanPC++'!A437= "", "", ('From SvanPC++'!A437))</f>
        <v/>
      </c>
      <c r="C437" s="47" t="s">
        <v>10</v>
      </c>
      <c r="G437" s="38" t="str">
        <f t="shared" si="31"/>
        <v/>
      </c>
      <c r="H437" s="36" t="str">
        <f t="shared" si="35"/>
        <v/>
      </c>
      <c r="J437" s="141" t="str">
        <f t="shared" si="32"/>
        <v/>
      </c>
      <c r="K437" s="141" t="str">
        <f t="shared" si="33"/>
        <v/>
      </c>
      <c r="L437" s="141" t="str">
        <f t="shared" si="34"/>
        <v/>
      </c>
    </row>
    <row r="438" spans="1:12" x14ac:dyDescent="0.3">
      <c r="A438" s="36" t="str">
        <f xml:space="preserve"> IF( 'From SvanPC++'!A438= "", "", ('From SvanPC++'!A438))</f>
        <v/>
      </c>
      <c r="C438" s="47" t="s">
        <v>10</v>
      </c>
      <c r="G438" s="38" t="str">
        <f t="shared" si="31"/>
        <v/>
      </c>
      <c r="H438" s="36" t="str">
        <f t="shared" si="35"/>
        <v/>
      </c>
      <c r="J438" s="141" t="str">
        <f t="shared" si="32"/>
        <v/>
      </c>
      <c r="K438" s="141" t="str">
        <f t="shared" si="33"/>
        <v/>
      </c>
      <c r="L438" s="141" t="str">
        <f t="shared" si="34"/>
        <v/>
      </c>
    </row>
    <row r="439" spans="1:12" x14ac:dyDescent="0.3">
      <c r="A439" s="36" t="str">
        <f xml:space="preserve"> IF( 'From SvanPC++'!A439= "", "", ('From SvanPC++'!A439))</f>
        <v/>
      </c>
      <c r="C439" s="47" t="s">
        <v>10</v>
      </c>
      <c r="G439" s="38" t="str">
        <f t="shared" si="31"/>
        <v/>
      </c>
      <c r="H439" s="36" t="str">
        <f t="shared" si="35"/>
        <v/>
      </c>
      <c r="J439" s="141" t="str">
        <f t="shared" si="32"/>
        <v/>
      </c>
      <c r="K439" s="141" t="str">
        <f t="shared" si="33"/>
        <v/>
      </c>
      <c r="L439" s="141" t="str">
        <f t="shared" si="34"/>
        <v/>
      </c>
    </row>
    <row r="440" spans="1:12" x14ac:dyDescent="0.3">
      <c r="A440" s="36" t="str">
        <f xml:space="preserve"> IF( 'From SvanPC++'!A440= "", "", ('From SvanPC++'!A440))</f>
        <v/>
      </c>
      <c r="C440" s="47" t="s">
        <v>10</v>
      </c>
      <c r="G440" s="38" t="str">
        <f t="shared" si="31"/>
        <v/>
      </c>
      <c r="H440" s="36" t="str">
        <f t="shared" si="35"/>
        <v/>
      </c>
      <c r="J440" s="141" t="str">
        <f t="shared" si="32"/>
        <v/>
      </c>
      <c r="K440" s="141" t="str">
        <f t="shared" si="33"/>
        <v/>
      </c>
      <c r="L440" s="141" t="str">
        <f t="shared" si="34"/>
        <v/>
      </c>
    </row>
    <row r="441" spans="1:12" x14ac:dyDescent="0.3">
      <c r="A441" s="36" t="str">
        <f xml:space="preserve"> IF( 'From SvanPC++'!A441= "", "", ('From SvanPC++'!A441))</f>
        <v/>
      </c>
      <c r="C441" s="47" t="s">
        <v>10</v>
      </c>
      <c r="G441" s="38" t="str">
        <f t="shared" si="31"/>
        <v/>
      </c>
      <c r="H441" s="36" t="str">
        <f t="shared" si="35"/>
        <v/>
      </c>
      <c r="J441" s="141" t="str">
        <f t="shared" si="32"/>
        <v/>
      </c>
      <c r="K441" s="141" t="str">
        <f t="shared" si="33"/>
        <v/>
      </c>
      <c r="L441" s="141" t="str">
        <f t="shared" si="34"/>
        <v/>
      </c>
    </row>
    <row r="442" spans="1:12" x14ac:dyDescent="0.3">
      <c r="A442" s="36" t="str">
        <f xml:space="preserve"> IF( 'From SvanPC++'!A442= "", "", ('From SvanPC++'!A442))</f>
        <v/>
      </c>
      <c r="C442" s="47" t="s">
        <v>10</v>
      </c>
      <c r="G442" s="38" t="str">
        <f t="shared" si="31"/>
        <v/>
      </c>
      <c r="H442" s="36" t="str">
        <f t="shared" si="35"/>
        <v/>
      </c>
      <c r="J442" s="141" t="str">
        <f t="shared" si="32"/>
        <v/>
      </c>
      <c r="K442" s="141" t="str">
        <f t="shared" si="33"/>
        <v/>
      </c>
      <c r="L442" s="141" t="str">
        <f t="shared" si="34"/>
        <v/>
      </c>
    </row>
    <row r="443" spans="1:12" x14ac:dyDescent="0.3">
      <c r="A443" s="36" t="str">
        <f xml:space="preserve"> IF( 'From SvanPC++'!A443= "", "", ('From SvanPC++'!A443))</f>
        <v/>
      </c>
      <c r="C443" s="47" t="s">
        <v>10</v>
      </c>
      <c r="G443" s="38" t="str">
        <f t="shared" si="31"/>
        <v/>
      </c>
      <c r="H443" s="36" t="str">
        <f t="shared" si="35"/>
        <v/>
      </c>
      <c r="J443" s="141" t="str">
        <f t="shared" si="32"/>
        <v/>
      </c>
      <c r="K443" s="141" t="str">
        <f t="shared" si="33"/>
        <v/>
      </c>
      <c r="L443" s="141" t="str">
        <f t="shared" si="34"/>
        <v/>
      </c>
    </row>
    <row r="444" spans="1:12" x14ac:dyDescent="0.3">
      <c r="A444" s="36" t="str">
        <f xml:space="preserve"> IF( 'From SvanPC++'!A444= "", "", ('From SvanPC++'!A444))</f>
        <v/>
      </c>
      <c r="C444" s="47" t="s">
        <v>10</v>
      </c>
      <c r="G444" s="38" t="str">
        <f t="shared" si="31"/>
        <v/>
      </c>
      <c r="H444" s="36" t="str">
        <f t="shared" si="35"/>
        <v/>
      </c>
      <c r="J444" s="141" t="str">
        <f t="shared" si="32"/>
        <v/>
      </c>
      <c r="K444" s="141" t="str">
        <f t="shared" si="33"/>
        <v/>
      </c>
      <c r="L444" s="141" t="str">
        <f t="shared" si="34"/>
        <v/>
      </c>
    </row>
    <row r="445" spans="1:12" x14ac:dyDescent="0.3">
      <c r="A445" s="36" t="str">
        <f xml:space="preserve"> IF( 'From SvanPC++'!A445= "", "", ('From SvanPC++'!A445))</f>
        <v/>
      </c>
      <c r="C445" s="47" t="s">
        <v>10</v>
      </c>
      <c r="G445" s="38" t="str">
        <f t="shared" si="31"/>
        <v/>
      </c>
      <c r="H445" s="36" t="str">
        <f t="shared" si="35"/>
        <v/>
      </c>
      <c r="J445" s="141" t="str">
        <f t="shared" si="32"/>
        <v/>
      </c>
      <c r="K445" s="141" t="str">
        <f t="shared" si="33"/>
        <v/>
      </c>
      <c r="L445" s="141" t="str">
        <f t="shared" si="34"/>
        <v/>
      </c>
    </row>
    <row r="446" spans="1:12" x14ac:dyDescent="0.3">
      <c r="A446" s="36" t="str">
        <f xml:space="preserve"> IF( 'From SvanPC++'!A446= "", "", ('From SvanPC++'!A446))</f>
        <v/>
      </c>
      <c r="C446" s="47" t="s">
        <v>10</v>
      </c>
      <c r="G446" s="38" t="str">
        <f t="shared" si="31"/>
        <v/>
      </c>
      <c r="H446" s="36" t="str">
        <f t="shared" si="35"/>
        <v/>
      </c>
      <c r="J446" s="141" t="str">
        <f t="shared" si="32"/>
        <v/>
      </c>
      <c r="K446" s="141" t="str">
        <f t="shared" si="33"/>
        <v/>
      </c>
      <c r="L446" s="141" t="str">
        <f t="shared" si="34"/>
        <v/>
      </c>
    </row>
    <row r="447" spans="1:12" x14ac:dyDescent="0.3">
      <c r="A447" s="36" t="str">
        <f xml:space="preserve"> IF( 'From SvanPC++'!A447= "", "", ('From SvanPC++'!A447))</f>
        <v/>
      </c>
      <c r="C447" s="47" t="s">
        <v>10</v>
      </c>
      <c r="G447" s="38" t="str">
        <f t="shared" si="31"/>
        <v/>
      </c>
      <c r="H447" s="36" t="str">
        <f t="shared" si="35"/>
        <v/>
      </c>
      <c r="J447" s="141" t="str">
        <f t="shared" si="32"/>
        <v/>
      </c>
      <c r="K447" s="141" t="str">
        <f t="shared" si="33"/>
        <v/>
      </c>
      <c r="L447" s="141" t="str">
        <f t="shared" si="34"/>
        <v/>
      </c>
    </row>
    <row r="448" spans="1:12" x14ac:dyDescent="0.3">
      <c r="A448" s="36" t="str">
        <f xml:space="preserve"> IF( 'From SvanPC++'!A448= "", "", ('From SvanPC++'!A448))</f>
        <v/>
      </c>
      <c r="C448" s="47" t="s">
        <v>10</v>
      </c>
      <c r="G448" s="38" t="str">
        <f t="shared" si="31"/>
        <v/>
      </c>
      <c r="H448" s="36" t="str">
        <f t="shared" si="35"/>
        <v/>
      </c>
      <c r="J448" s="141" t="str">
        <f t="shared" si="32"/>
        <v/>
      </c>
      <c r="K448" s="141" t="str">
        <f t="shared" si="33"/>
        <v/>
      </c>
      <c r="L448" s="141" t="str">
        <f t="shared" si="34"/>
        <v/>
      </c>
    </row>
    <row r="449" spans="1:12" x14ac:dyDescent="0.3">
      <c r="A449" s="36" t="str">
        <f xml:space="preserve"> IF( 'From SvanPC++'!A449= "", "", ('From SvanPC++'!A449))</f>
        <v/>
      </c>
      <c r="C449" s="47" t="s">
        <v>10</v>
      </c>
      <c r="G449" s="38" t="str">
        <f t="shared" si="31"/>
        <v/>
      </c>
      <c r="H449" s="36" t="str">
        <f t="shared" si="35"/>
        <v/>
      </c>
      <c r="J449" s="141" t="str">
        <f t="shared" si="32"/>
        <v/>
      </c>
      <c r="K449" s="141" t="str">
        <f t="shared" si="33"/>
        <v/>
      </c>
      <c r="L449" s="141" t="str">
        <f t="shared" si="34"/>
        <v/>
      </c>
    </row>
    <row r="450" spans="1:12" x14ac:dyDescent="0.3">
      <c r="A450" s="36" t="str">
        <f xml:space="preserve"> IF( 'From SvanPC++'!A450= "", "", ('From SvanPC++'!A450))</f>
        <v/>
      </c>
      <c r="C450" s="47" t="s">
        <v>10</v>
      </c>
      <c r="G450" s="38" t="str">
        <f t="shared" si="31"/>
        <v/>
      </c>
      <c r="H450" s="36" t="str">
        <f t="shared" si="35"/>
        <v/>
      </c>
      <c r="J450" s="141" t="str">
        <f t="shared" si="32"/>
        <v/>
      </c>
      <c r="K450" s="141" t="str">
        <f t="shared" si="33"/>
        <v/>
      </c>
      <c r="L450" s="141" t="str">
        <f t="shared" si="34"/>
        <v/>
      </c>
    </row>
    <row r="451" spans="1:12" x14ac:dyDescent="0.3">
      <c r="A451" s="36" t="str">
        <f xml:space="preserve"> IF( 'From SvanPC++'!A451= "", "", ('From SvanPC++'!A451))</f>
        <v/>
      </c>
      <c r="C451" s="47" t="s">
        <v>10</v>
      </c>
      <c r="G451" s="38" t="str">
        <f t="shared" si="31"/>
        <v/>
      </c>
      <c r="H451" s="36" t="str">
        <f t="shared" si="35"/>
        <v/>
      </c>
      <c r="J451" s="141" t="str">
        <f t="shared" si="32"/>
        <v/>
      </c>
      <c r="K451" s="141" t="str">
        <f t="shared" si="33"/>
        <v/>
      </c>
      <c r="L451" s="141" t="str">
        <f t="shared" si="34"/>
        <v/>
      </c>
    </row>
    <row r="452" spans="1:12" x14ac:dyDescent="0.3">
      <c r="A452" s="36" t="str">
        <f xml:space="preserve"> IF( 'From SvanPC++'!A452= "", "", ('From SvanPC++'!A452))</f>
        <v/>
      </c>
      <c r="C452" s="47" t="s">
        <v>10</v>
      </c>
      <c r="G452" s="38" t="str">
        <f t="shared" si="31"/>
        <v/>
      </c>
      <c r="H452" s="36" t="str">
        <f t="shared" si="35"/>
        <v/>
      </c>
      <c r="J452" s="141" t="str">
        <f t="shared" si="32"/>
        <v/>
      </c>
      <c r="K452" s="141" t="str">
        <f t="shared" si="33"/>
        <v/>
      </c>
      <c r="L452" s="141" t="str">
        <f t="shared" si="34"/>
        <v/>
      </c>
    </row>
    <row r="453" spans="1:12" x14ac:dyDescent="0.3">
      <c r="A453" s="36" t="str">
        <f xml:space="preserve"> IF( 'From SvanPC++'!A453= "", "", ('From SvanPC++'!A453))</f>
        <v/>
      </c>
      <c r="C453" s="47" t="s">
        <v>10</v>
      </c>
      <c r="G453" s="38" t="str">
        <f t="shared" si="31"/>
        <v/>
      </c>
      <c r="H453" s="36" t="str">
        <f t="shared" si="35"/>
        <v/>
      </c>
      <c r="J453" s="141" t="str">
        <f t="shared" si="32"/>
        <v/>
      </c>
      <c r="K453" s="141" t="str">
        <f t="shared" si="33"/>
        <v/>
      </c>
      <c r="L453" s="141" t="str">
        <f t="shared" si="34"/>
        <v/>
      </c>
    </row>
    <row r="454" spans="1:12" x14ac:dyDescent="0.3">
      <c r="A454" s="36" t="str">
        <f xml:space="preserve"> IF( 'From SvanPC++'!A454= "", "", ('From SvanPC++'!A454))</f>
        <v/>
      </c>
      <c r="C454" s="47" t="s">
        <v>10</v>
      </c>
      <c r="G454" s="38" t="str">
        <f t="shared" si="31"/>
        <v/>
      </c>
      <c r="H454" s="36" t="str">
        <f t="shared" si="35"/>
        <v/>
      </c>
      <c r="J454" s="141" t="str">
        <f t="shared" si="32"/>
        <v/>
      </c>
      <c r="K454" s="141" t="str">
        <f t="shared" si="33"/>
        <v/>
      </c>
      <c r="L454" s="141" t="str">
        <f t="shared" si="34"/>
        <v/>
      </c>
    </row>
    <row r="455" spans="1:12" x14ac:dyDescent="0.3">
      <c r="A455" s="36" t="str">
        <f xml:space="preserve"> IF( 'From SvanPC++'!A455= "", "", ('From SvanPC++'!A455))</f>
        <v/>
      </c>
      <c r="C455" s="47" t="s">
        <v>10</v>
      </c>
      <c r="G455" s="38" t="str">
        <f t="shared" ref="G455:G518" si="36" xml:space="preserve"> IF( D455= "", "", ( IF( AND( D455 &gt;= TIMEVALUE( "07:00:01" ), D455 &lt; TIMEVALUE( "08:00:01" ) ) = TRUE, (G454+1), (G454+0) )))</f>
        <v/>
      </c>
      <c r="H455" s="36" t="str">
        <f t="shared" si="35"/>
        <v/>
      </c>
      <c r="J455" s="141" t="str">
        <f t="shared" si="32"/>
        <v/>
      </c>
      <c r="K455" s="141" t="str">
        <f t="shared" si="33"/>
        <v/>
      </c>
      <c r="L455" s="141" t="str">
        <f t="shared" si="34"/>
        <v/>
      </c>
    </row>
    <row r="456" spans="1:12" x14ac:dyDescent="0.3">
      <c r="A456" s="36" t="str">
        <f xml:space="preserve"> IF( 'From SvanPC++'!A456= "", "", ('From SvanPC++'!A456))</f>
        <v/>
      </c>
      <c r="C456" s="47" t="s">
        <v>10</v>
      </c>
      <c r="G456" s="38" t="str">
        <f t="shared" si="36"/>
        <v/>
      </c>
      <c r="H456" s="36" t="str">
        <f t="shared" si="35"/>
        <v/>
      </c>
      <c r="J456" s="141" t="str">
        <f t="shared" ref="J456:J519" si="37" xml:space="preserve"> IF( ISERROR( IF( D456= "", "", ( IF( G456= (G455+1), ( AVERAGEIFS( E456:E600, G456:G600, G456, H456:H600, "Day" )), "" )))), "",( IF( D456= "", "", ( IF( G456= (G455+1), ( AVERAGEIFS( E456:E600, G456:G600, G456, H456:H600, "Day" )), "" )))))</f>
        <v/>
      </c>
      <c r="K456" s="141" t="str">
        <f t="shared" ref="K456:K519" si="38" xml:space="preserve"> IF( ISERROR( IF( D456= "", "", ( IF( G456= (G455+1), ( AVERAGEIFS( E456:E600, G456:G600, G456, H456:H600, "Evening" )), "" )))), "",( IF( D456= "", "", ( IF( G456= (G455+1), ( AVERAGEIFS( E456:E600, G456:G600, G456, H456:H600, "Evening" )), "" )))))</f>
        <v/>
      </c>
      <c r="L456" s="141" t="str">
        <f t="shared" ref="L456:L519" si="39" xml:space="preserve"> IF( ISERROR( IF( D456= "", "", ( IF( G456= (G455+1), ( AVERAGEIFS( E456:E600, G456:G600, G456, H456:H600, "Night" )), "" )))), "",( IF( D456= "", "", ( IF( G456= (G455+1), ( AVERAGEIFS( E456:E600, G456:G600, G456, H456:H600, "Night" )), "" )))))</f>
        <v/>
      </c>
    </row>
    <row r="457" spans="1:12" x14ac:dyDescent="0.3">
      <c r="A457" s="36" t="str">
        <f xml:space="preserve"> IF( 'From SvanPC++'!A457= "", "", ('From SvanPC++'!A457))</f>
        <v/>
      </c>
      <c r="C457" s="47" t="s">
        <v>10</v>
      </c>
      <c r="G457" s="38" t="str">
        <f t="shared" si="36"/>
        <v/>
      </c>
      <c r="H457" s="36" t="str">
        <f t="shared" si="35"/>
        <v/>
      </c>
      <c r="J457" s="141" t="str">
        <f t="shared" si="37"/>
        <v/>
      </c>
      <c r="K457" s="141" t="str">
        <f t="shared" si="38"/>
        <v/>
      </c>
      <c r="L457" s="141" t="str">
        <f t="shared" si="39"/>
        <v/>
      </c>
    </row>
    <row r="458" spans="1:12" x14ac:dyDescent="0.3">
      <c r="A458" s="36" t="str">
        <f xml:space="preserve"> IF( 'From SvanPC++'!A458= "", "", ('From SvanPC++'!A458))</f>
        <v/>
      </c>
      <c r="C458" s="47" t="s">
        <v>10</v>
      </c>
      <c r="G458" s="38" t="str">
        <f t="shared" si="36"/>
        <v/>
      </c>
      <c r="H458" s="36" t="str">
        <f t="shared" si="35"/>
        <v/>
      </c>
      <c r="J458" s="141" t="str">
        <f t="shared" si="37"/>
        <v/>
      </c>
      <c r="K458" s="141" t="str">
        <f t="shared" si="38"/>
        <v/>
      </c>
      <c r="L458" s="141" t="str">
        <f t="shared" si="39"/>
        <v/>
      </c>
    </row>
    <row r="459" spans="1:12" x14ac:dyDescent="0.3">
      <c r="A459" s="36" t="str">
        <f xml:space="preserve"> IF( 'From SvanPC++'!A459= "", "", ('From SvanPC++'!A459))</f>
        <v/>
      </c>
      <c r="C459" s="47" t="s">
        <v>10</v>
      </c>
      <c r="G459" s="38" t="str">
        <f t="shared" si="36"/>
        <v/>
      </c>
      <c r="H459" s="36" t="str">
        <f t="shared" si="35"/>
        <v/>
      </c>
      <c r="J459" s="141" t="str">
        <f t="shared" si="37"/>
        <v/>
      </c>
      <c r="K459" s="141" t="str">
        <f t="shared" si="38"/>
        <v/>
      </c>
      <c r="L459" s="141" t="str">
        <f t="shared" si="39"/>
        <v/>
      </c>
    </row>
    <row r="460" spans="1:12" x14ac:dyDescent="0.3">
      <c r="A460" s="36" t="str">
        <f xml:space="preserve"> IF( 'From SvanPC++'!A460= "", "", ('From SvanPC++'!A460))</f>
        <v/>
      </c>
      <c r="C460" s="47" t="s">
        <v>10</v>
      </c>
      <c r="G460" s="38" t="str">
        <f t="shared" si="36"/>
        <v/>
      </c>
      <c r="H460" s="36" t="str">
        <f t="shared" si="35"/>
        <v/>
      </c>
      <c r="J460" s="141" t="str">
        <f t="shared" si="37"/>
        <v/>
      </c>
      <c r="K460" s="141" t="str">
        <f t="shared" si="38"/>
        <v/>
      </c>
      <c r="L460" s="141" t="str">
        <f t="shared" si="39"/>
        <v/>
      </c>
    </row>
    <row r="461" spans="1:12" x14ac:dyDescent="0.3">
      <c r="A461" s="36" t="str">
        <f xml:space="preserve"> IF( 'From SvanPC++'!A461= "", "", ('From SvanPC++'!A461))</f>
        <v/>
      </c>
      <c r="C461" s="47" t="s">
        <v>10</v>
      </c>
      <c r="G461" s="38" t="str">
        <f t="shared" si="36"/>
        <v/>
      </c>
      <c r="H461" s="36" t="str">
        <f t="shared" si="35"/>
        <v/>
      </c>
      <c r="J461" s="141" t="str">
        <f t="shared" si="37"/>
        <v/>
      </c>
      <c r="K461" s="141" t="str">
        <f t="shared" si="38"/>
        <v/>
      </c>
      <c r="L461" s="141" t="str">
        <f t="shared" si="39"/>
        <v/>
      </c>
    </row>
    <row r="462" spans="1:12" x14ac:dyDescent="0.3">
      <c r="A462" s="36" t="str">
        <f xml:space="preserve"> IF( 'From SvanPC++'!A462= "", "", ('From SvanPC++'!A462))</f>
        <v/>
      </c>
      <c r="C462" s="47" t="s">
        <v>10</v>
      </c>
      <c r="G462" s="38" t="str">
        <f t="shared" si="36"/>
        <v/>
      </c>
      <c r="H462" s="36" t="str">
        <f t="shared" si="35"/>
        <v/>
      </c>
      <c r="J462" s="141" t="str">
        <f t="shared" si="37"/>
        <v/>
      </c>
      <c r="K462" s="141" t="str">
        <f t="shared" si="38"/>
        <v/>
      </c>
      <c r="L462" s="141" t="str">
        <f t="shared" si="39"/>
        <v/>
      </c>
    </row>
    <row r="463" spans="1:12" x14ac:dyDescent="0.3">
      <c r="A463" s="36" t="str">
        <f xml:space="preserve"> IF( 'From SvanPC++'!A463= "", "", ('From SvanPC++'!A463))</f>
        <v/>
      </c>
      <c r="C463" s="47" t="s">
        <v>10</v>
      </c>
      <c r="G463" s="38" t="str">
        <f t="shared" si="36"/>
        <v/>
      </c>
      <c r="H463" s="36" t="str">
        <f t="shared" si="35"/>
        <v/>
      </c>
      <c r="J463" s="141" t="str">
        <f t="shared" si="37"/>
        <v/>
      </c>
      <c r="K463" s="141" t="str">
        <f t="shared" si="38"/>
        <v/>
      </c>
      <c r="L463" s="141" t="str">
        <f t="shared" si="39"/>
        <v/>
      </c>
    </row>
    <row r="464" spans="1:12" x14ac:dyDescent="0.3">
      <c r="A464" s="36" t="str">
        <f xml:space="preserve"> IF( 'From SvanPC++'!A464= "", "", ('From SvanPC++'!A464))</f>
        <v/>
      </c>
      <c r="C464" s="47" t="s">
        <v>10</v>
      </c>
      <c r="G464" s="38" t="str">
        <f t="shared" si="36"/>
        <v/>
      </c>
      <c r="H464" s="36" t="str">
        <f t="shared" si="35"/>
        <v/>
      </c>
      <c r="J464" s="141" t="str">
        <f t="shared" si="37"/>
        <v/>
      </c>
      <c r="K464" s="141" t="str">
        <f t="shared" si="38"/>
        <v/>
      </c>
      <c r="L464" s="141" t="str">
        <f t="shared" si="39"/>
        <v/>
      </c>
    </row>
    <row r="465" spans="1:12" x14ac:dyDescent="0.3">
      <c r="A465" s="36" t="str">
        <f xml:space="preserve"> IF( 'From SvanPC++'!A465= "", "", ('From SvanPC++'!A465))</f>
        <v/>
      </c>
      <c r="C465" s="47" t="s">
        <v>10</v>
      </c>
      <c r="G465" s="38" t="str">
        <f t="shared" si="36"/>
        <v/>
      </c>
      <c r="H465" s="36" t="str">
        <f t="shared" si="35"/>
        <v/>
      </c>
      <c r="J465" s="141" t="str">
        <f t="shared" si="37"/>
        <v/>
      </c>
      <c r="K465" s="141" t="str">
        <f t="shared" si="38"/>
        <v/>
      </c>
      <c r="L465" s="141" t="str">
        <f t="shared" si="39"/>
        <v/>
      </c>
    </row>
    <row r="466" spans="1:12" x14ac:dyDescent="0.3">
      <c r="A466" s="36" t="str">
        <f xml:space="preserve"> IF( 'From SvanPC++'!A466= "", "", ('From SvanPC++'!A466))</f>
        <v/>
      </c>
      <c r="C466" s="47" t="s">
        <v>10</v>
      </c>
      <c r="G466" s="38" t="str">
        <f t="shared" si="36"/>
        <v/>
      </c>
      <c r="H466" s="36" t="str">
        <f t="shared" si="35"/>
        <v/>
      </c>
      <c r="J466" s="141" t="str">
        <f t="shared" si="37"/>
        <v/>
      </c>
      <c r="K466" s="141" t="str">
        <f t="shared" si="38"/>
        <v/>
      </c>
      <c r="L466" s="141" t="str">
        <f t="shared" si="39"/>
        <v/>
      </c>
    </row>
    <row r="467" spans="1:12" x14ac:dyDescent="0.3">
      <c r="A467" s="36" t="str">
        <f xml:space="preserve"> IF( 'From SvanPC++'!A467= "", "", ('From SvanPC++'!A467))</f>
        <v/>
      </c>
      <c r="C467" s="47" t="s">
        <v>10</v>
      </c>
      <c r="G467" s="38" t="str">
        <f t="shared" si="36"/>
        <v/>
      </c>
      <c r="H467" s="36" t="str">
        <f t="shared" si="35"/>
        <v/>
      </c>
      <c r="J467" s="141" t="str">
        <f t="shared" si="37"/>
        <v/>
      </c>
      <c r="K467" s="141" t="str">
        <f t="shared" si="38"/>
        <v/>
      </c>
      <c r="L467" s="141" t="str">
        <f t="shared" si="39"/>
        <v/>
      </c>
    </row>
    <row r="468" spans="1:12" x14ac:dyDescent="0.3">
      <c r="A468" s="36" t="str">
        <f xml:space="preserve"> IF( 'From SvanPC++'!A468= "", "", ('From SvanPC++'!A468))</f>
        <v/>
      </c>
      <c r="C468" s="47" t="s">
        <v>10</v>
      </c>
      <c r="G468" s="38" t="str">
        <f t="shared" si="36"/>
        <v/>
      </c>
      <c r="H468" s="36" t="str">
        <f t="shared" si="35"/>
        <v/>
      </c>
      <c r="J468" s="141" t="str">
        <f t="shared" si="37"/>
        <v/>
      </c>
      <c r="K468" s="141" t="str">
        <f t="shared" si="38"/>
        <v/>
      </c>
      <c r="L468" s="141" t="str">
        <f t="shared" si="39"/>
        <v/>
      </c>
    </row>
    <row r="469" spans="1:12" x14ac:dyDescent="0.3">
      <c r="A469" s="36" t="str">
        <f xml:space="preserve"> IF( 'From SvanPC++'!A469= "", "", ('From SvanPC++'!A469))</f>
        <v/>
      </c>
      <c r="C469" s="47" t="s">
        <v>10</v>
      </c>
      <c r="G469" s="38" t="str">
        <f t="shared" si="36"/>
        <v/>
      </c>
      <c r="H469" s="36" t="str">
        <f t="shared" si="35"/>
        <v/>
      </c>
      <c r="J469" s="141" t="str">
        <f t="shared" si="37"/>
        <v/>
      </c>
      <c r="K469" s="141" t="str">
        <f t="shared" si="38"/>
        <v/>
      </c>
      <c r="L469" s="141" t="str">
        <f t="shared" si="39"/>
        <v/>
      </c>
    </row>
    <row r="470" spans="1:12" x14ac:dyDescent="0.3">
      <c r="A470" s="36" t="str">
        <f xml:space="preserve"> IF( 'From SvanPC++'!A470= "", "", ('From SvanPC++'!A470))</f>
        <v/>
      </c>
      <c r="C470" s="47" t="s">
        <v>10</v>
      </c>
      <c r="G470" s="38" t="str">
        <f t="shared" si="36"/>
        <v/>
      </c>
      <c r="H470" s="36" t="str">
        <f t="shared" si="35"/>
        <v/>
      </c>
      <c r="J470" s="141" t="str">
        <f t="shared" si="37"/>
        <v/>
      </c>
      <c r="K470" s="141" t="str">
        <f t="shared" si="38"/>
        <v/>
      </c>
      <c r="L470" s="141" t="str">
        <f t="shared" si="39"/>
        <v/>
      </c>
    </row>
    <row r="471" spans="1:12" x14ac:dyDescent="0.3">
      <c r="A471" s="36" t="str">
        <f xml:space="preserve"> IF( 'From SvanPC++'!A471= "", "", ('From SvanPC++'!A471))</f>
        <v/>
      </c>
      <c r="C471" s="47" t="s">
        <v>10</v>
      </c>
      <c r="G471" s="38" t="str">
        <f t="shared" si="36"/>
        <v/>
      </c>
      <c r="H471" s="36" t="str">
        <f t="shared" ref="H471:H534" si="40" xml:space="preserve"> IF( D471= "", "", ( IF( AND( D471 &gt;= TIMEVALUE( "07:00:01" ), D471 &lt;= TIMEVALUE( "13:00:00" ), WEEKDAY( C471) =(7+N("Lines 2-17 = saturday day period")) ) = TRUE, "Day",
IF( AND( D471 &gt;= TIMEVALUE( "07:00:01" ), D471 &lt;= TIMEVALUE( "18:00:00" ), WEEKDAY( C471,1+N("Lines 19-38 = weekday day period")) &gt;=2, ( WEEKDAY( C471,1) &lt;=6) ) = TRUE, "Day",
IF( AND( D471 &gt;= TIMEVALUE( "13:00:01" ), D471 &lt;= TIMEVALUE( "22:00:00" ), WEEKDAY( C471) =(7+N("Lines 40-56 = saturday evening period")) ) = TRUE, "Evening",
IF( AND( D471 &gt;= TIMEVALUE( "18:00:01" ), D471 &lt;= TIMEVALUE( "22:00:00" ), WEEKDAY( C471,1+N("Lines 57-77 = weekday evening period")) &gt;=2, ( WEEKDAY( C471,1) &lt;=6) ) = TRUE, "Evening",
IF( AND( D471 &gt;= TIMEVALUE( "07:00:01" ), D471 &lt;= TIMEVALUE( "22:00:00" ), WEEKDAY( C471) =(1+N("Lines 78-94 = sunday evening period")) ) = TRUE, "Evening",
IF( AND( D471 &gt;= TIMEVALUE( "22:00:01" ), D471 &lt;= TIMEVALUE( "23:59:59" ), WEEKDAY( C471) =(7+N("Lines 95-111 = saturday night1 period")) ) = TRUE, "Night",
IF( AND( D471 &gt;= TIMEVALUE( "00:00:00" ), D471 &lt;= TIMEVALUE( "07:00:00" ), WEEKDAY( C471) =(7+N("Lines 112-128 = saturday night2 period")) ) = TRUE, "Night",
IF( AND( D471 &gt;= TIMEVALUE( "22:00:01" ), D471 &lt;= TIMEVALUE( "23:59:59" ), WEEKDAY( C471,1+N("Lines 129-149 = weekday night1 period")) &gt;=2, ( WEEKDAY( C471,1) &lt;=6) ) = TRUE, "Night",
IF( AND( D471 &gt;= TIMEVALUE( "00:00:00" ), D471 &lt;= TIMEVALUE( "07:00:00" ), WEEKDAY( C471,1+N("Lines 150-170 = weekday night2 period")) &gt;=2, ( WEEKDAY( C471,1) &lt;=6) ) = TRUE, "Night",
IF( AND( D471 &gt;= TIMEVALUE( "20:00:01" ), D471 &lt;= TIMEVALUE( "23:59:59" ), WEEKDAY( C471) =(1+N("Lines 171-187 = sunday night1 period")) ) = TRUE, "Night",
IF( AND( D471 &gt;= TIMEVALUE( "00:00:00" ), D471 &lt;= TIMEVALUE( "07:00:00" ), WEEKDAY( C471) =(1+N("Lines 188-204 = sunday night2 period")) ) = TRUE, "Night", )))))))))))))</f>
        <v/>
      </c>
      <c r="J471" s="141" t="str">
        <f t="shared" si="37"/>
        <v/>
      </c>
      <c r="K471" s="141" t="str">
        <f t="shared" si="38"/>
        <v/>
      </c>
      <c r="L471" s="141" t="str">
        <f t="shared" si="39"/>
        <v/>
      </c>
    </row>
    <row r="472" spans="1:12" x14ac:dyDescent="0.3">
      <c r="A472" s="36" t="str">
        <f xml:space="preserve"> IF( 'From SvanPC++'!A472= "", "", ('From SvanPC++'!A472))</f>
        <v/>
      </c>
      <c r="C472" s="47" t="s">
        <v>10</v>
      </c>
      <c r="G472" s="38" t="str">
        <f t="shared" si="36"/>
        <v/>
      </c>
      <c r="H472" s="36" t="str">
        <f t="shared" si="40"/>
        <v/>
      </c>
      <c r="J472" s="141" t="str">
        <f t="shared" si="37"/>
        <v/>
      </c>
      <c r="K472" s="141" t="str">
        <f t="shared" si="38"/>
        <v/>
      </c>
      <c r="L472" s="141" t="str">
        <f t="shared" si="39"/>
        <v/>
      </c>
    </row>
    <row r="473" spans="1:12" x14ac:dyDescent="0.3">
      <c r="A473" s="36" t="str">
        <f xml:space="preserve"> IF( 'From SvanPC++'!A473= "", "", ('From SvanPC++'!A473))</f>
        <v/>
      </c>
      <c r="C473" s="47" t="s">
        <v>10</v>
      </c>
      <c r="G473" s="38" t="str">
        <f t="shared" si="36"/>
        <v/>
      </c>
      <c r="H473" s="36" t="str">
        <f t="shared" si="40"/>
        <v/>
      </c>
      <c r="J473" s="141" t="str">
        <f t="shared" si="37"/>
        <v/>
      </c>
      <c r="K473" s="141" t="str">
        <f t="shared" si="38"/>
        <v/>
      </c>
      <c r="L473" s="141" t="str">
        <f t="shared" si="39"/>
        <v/>
      </c>
    </row>
    <row r="474" spans="1:12" x14ac:dyDescent="0.3">
      <c r="A474" s="36" t="str">
        <f xml:space="preserve"> IF( 'From SvanPC++'!A474= "", "", ('From SvanPC++'!A474))</f>
        <v/>
      </c>
      <c r="C474" s="47" t="s">
        <v>10</v>
      </c>
      <c r="G474" s="38" t="str">
        <f t="shared" si="36"/>
        <v/>
      </c>
      <c r="H474" s="36" t="str">
        <f t="shared" si="40"/>
        <v/>
      </c>
      <c r="J474" s="141" t="str">
        <f t="shared" si="37"/>
        <v/>
      </c>
      <c r="K474" s="141" t="str">
        <f t="shared" si="38"/>
        <v/>
      </c>
      <c r="L474" s="141" t="str">
        <f t="shared" si="39"/>
        <v/>
      </c>
    </row>
    <row r="475" spans="1:12" x14ac:dyDescent="0.3">
      <c r="A475" s="36" t="str">
        <f xml:space="preserve"> IF( 'From SvanPC++'!A475= "", "", ('From SvanPC++'!A475))</f>
        <v/>
      </c>
      <c r="C475" s="47" t="s">
        <v>10</v>
      </c>
      <c r="G475" s="38" t="str">
        <f t="shared" si="36"/>
        <v/>
      </c>
      <c r="H475" s="36" t="str">
        <f t="shared" si="40"/>
        <v/>
      </c>
      <c r="J475" s="141" t="str">
        <f t="shared" si="37"/>
        <v/>
      </c>
      <c r="K475" s="141" t="str">
        <f t="shared" si="38"/>
        <v/>
      </c>
      <c r="L475" s="141" t="str">
        <f t="shared" si="39"/>
        <v/>
      </c>
    </row>
    <row r="476" spans="1:12" x14ac:dyDescent="0.3">
      <c r="A476" s="36" t="str">
        <f xml:space="preserve"> IF( 'From SvanPC++'!A476= "", "", ('From SvanPC++'!A476))</f>
        <v/>
      </c>
      <c r="C476" s="47" t="s">
        <v>10</v>
      </c>
      <c r="G476" s="38" t="str">
        <f t="shared" si="36"/>
        <v/>
      </c>
      <c r="H476" s="36" t="str">
        <f t="shared" si="40"/>
        <v/>
      </c>
      <c r="J476" s="141" t="str">
        <f t="shared" si="37"/>
        <v/>
      </c>
      <c r="K476" s="141" t="str">
        <f t="shared" si="38"/>
        <v/>
      </c>
      <c r="L476" s="141" t="str">
        <f t="shared" si="39"/>
        <v/>
      </c>
    </row>
    <row r="477" spans="1:12" x14ac:dyDescent="0.3">
      <c r="A477" s="36" t="str">
        <f xml:space="preserve"> IF( 'From SvanPC++'!A477= "", "", ('From SvanPC++'!A477))</f>
        <v/>
      </c>
      <c r="C477" s="47" t="s">
        <v>10</v>
      </c>
      <c r="G477" s="38" t="str">
        <f t="shared" si="36"/>
        <v/>
      </c>
      <c r="H477" s="36" t="str">
        <f t="shared" si="40"/>
        <v/>
      </c>
      <c r="J477" s="141" t="str">
        <f t="shared" si="37"/>
        <v/>
      </c>
      <c r="K477" s="141" t="str">
        <f t="shared" si="38"/>
        <v/>
      </c>
      <c r="L477" s="141" t="str">
        <f t="shared" si="39"/>
        <v/>
      </c>
    </row>
    <row r="478" spans="1:12" x14ac:dyDescent="0.3">
      <c r="A478" s="36" t="str">
        <f xml:space="preserve"> IF( 'From SvanPC++'!A478= "", "", ('From SvanPC++'!A478))</f>
        <v/>
      </c>
      <c r="C478" s="47" t="s">
        <v>10</v>
      </c>
      <c r="G478" s="38" t="str">
        <f t="shared" si="36"/>
        <v/>
      </c>
      <c r="H478" s="36" t="str">
        <f t="shared" si="40"/>
        <v/>
      </c>
      <c r="J478" s="141" t="str">
        <f t="shared" si="37"/>
        <v/>
      </c>
      <c r="K478" s="141" t="str">
        <f t="shared" si="38"/>
        <v/>
      </c>
      <c r="L478" s="141" t="str">
        <f t="shared" si="39"/>
        <v/>
      </c>
    </row>
    <row r="479" spans="1:12" x14ac:dyDescent="0.3">
      <c r="A479" s="36" t="str">
        <f xml:space="preserve"> IF( 'From SvanPC++'!A479= "", "", ('From SvanPC++'!A479))</f>
        <v/>
      </c>
      <c r="C479" s="47" t="s">
        <v>10</v>
      </c>
      <c r="G479" s="38" t="str">
        <f t="shared" si="36"/>
        <v/>
      </c>
      <c r="H479" s="36" t="str">
        <f t="shared" si="40"/>
        <v/>
      </c>
      <c r="J479" s="141" t="str">
        <f t="shared" si="37"/>
        <v/>
      </c>
      <c r="K479" s="141" t="str">
        <f t="shared" si="38"/>
        <v/>
      </c>
      <c r="L479" s="141" t="str">
        <f t="shared" si="39"/>
        <v/>
      </c>
    </row>
    <row r="480" spans="1:12" x14ac:dyDescent="0.3">
      <c r="A480" s="36" t="str">
        <f xml:space="preserve"> IF( 'From SvanPC++'!A480= "", "", ('From SvanPC++'!A480))</f>
        <v/>
      </c>
      <c r="C480" s="47" t="s">
        <v>10</v>
      </c>
      <c r="G480" s="38" t="str">
        <f t="shared" si="36"/>
        <v/>
      </c>
      <c r="H480" s="36" t="str">
        <f t="shared" si="40"/>
        <v/>
      </c>
      <c r="J480" s="141" t="str">
        <f t="shared" si="37"/>
        <v/>
      </c>
      <c r="K480" s="141" t="str">
        <f t="shared" si="38"/>
        <v/>
      </c>
      <c r="L480" s="141" t="str">
        <f t="shared" si="39"/>
        <v/>
      </c>
    </row>
    <row r="481" spans="1:12" x14ac:dyDescent="0.3">
      <c r="A481" s="36" t="str">
        <f xml:space="preserve"> IF( 'From SvanPC++'!A481= "", "", ('From SvanPC++'!A481))</f>
        <v/>
      </c>
      <c r="C481" s="47" t="s">
        <v>10</v>
      </c>
      <c r="G481" s="38" t="str">
        <f t="shared" si="36"/>
        <v/>
      </c>
      <c r="H481" s="36" t="str">
        <f t="shared" si="40"/>
        <v/>
      </c>
      <c r="J481" s="141" t="str">
        <f t="shared" si="37"/>
        <v/>
      </c>
      <c r="K481" s="141" t="str">
        <f t="shared" si="38"/>
        <v/>
      </c>
      <c r="L481" s="141" t="str">
        <f t="shared" si="39"/>
        <v/>
      </c>
    </row>
    <row r="482" spans="1:12" x14ac:dyDescent="0.3">
      <c r="A482" s="36" t="str">
        <f xml:space="preserve"> IF( 'From SvanPC++'!A482= "", "", ('From SvanPC++'!A482))</f>
        <v/>
      </c>
      <c r="C482" s="47" t="s">
        <v>10</v>
      </c>
      <c r="G482" s="38" t="str">
        <f t="shared" si="36"/>
        <v/>
      </c>
      <c r="H482" s="36" t="str">
        <f t="shared" si="40"/>
        <v/>
      </c>
      <c r="J482" s="141" t="str">
        <f t="shared" si="37"/>
        <v/>
      </c>
      <c r="K482" s="141" t="str">
        <f t="shared" si="38"/>
        <v/>
      </c>
      <c r="L482" s="141" t="str">
        <f t="shared" si="39"/>
        <v/>
      </c>
    </row>
    <row r="483" spans="1:12" x14ac:dyDescent="0.3">
      <c r="A483" s="36" t="str">
        <f xml:space="preserve"> IF( 'From SvanPC++'!A483= "", "", ('From SvanPC++'!A483))</f>
        <v/>
      </c>
      <c r="C483" s="47" t="s">
        <v>10</v>
      </c>
      <c r="G483" s="38" t="str">
        <f t="shared" si="36"/>
        <v/>
      </c>
      <c r="H483" s="36" t="str">
        <f t="shared" si="40"/>
        <v/>
      </c>
      <c r="J483" s="141" t="str">
        <f t="shared" si="37"/>
        <v/>
      </c>
      <c r="K483" s="141" t="str">
        <f t="shared" si="38"/>
        <v/>
      </c>
      <c r="L483" s="141" t="str">
        <f t="shared" si="39"/>
        <v/>
      </c>
    </row>
    <row r="484" spans="1:12" x14ac:dyDescent="0.3">
      <c r="A484" s="36" t="str">
        <f xml:space="preserve"> IF( 'From SvanPC++'!A484= "", "", ('From SvanPC++'!A484))</f>
        <v/>
      </c>
      <c r="C484" s="47" t="s">
        <v>10</v>
      </c>
      <c r="G484" s="38" t="str">
        <f t="shared" si="36"/>
        <v/>
      </c>
      <c r="H484" s="36" t="str">
        <f t="shared" si="40"/>
        <v/>
      </c>
      <c r="J484" s="141" t="str">
        <f t="shared" si="37"/>
        <v/>
      </c>
      <c r="K484" s="141" t="str">
        <f t="shared" si="38"/>
        <v/>
      </c>
      <c r="L484" s="141" t="str">
        <f t="shared" si="39"/>
        <v/>
      </c>
    </row>
    <row r="485" spans="1:12" x14ac:dyDescent="0.3">
      <c r="A485" s="36" t="str">
        <f xml:space="preserve"> IF( 'From SvanPC++'!A485= "", "", ('From SvanPC++'!A485))</f>
        <v/>
      </c>
      <c r="C485" s="47" t="s">
        <v>10</v>
      </c>
      <c r="G485" s="38" t="str">
        <f t="shared" si="36"/>
        <v/>
      </c>
      <c r="H485" s="36" t="str">
        <f t="shared" si="40"/>
        <v/>
      </c>
      <c r="J485" s="141" t="str">
        <f t="shared" si="37"/>
        <v/>
      </c>
      <c r="K485" s="141" t="str">
        <f t="shared" si="38"/>
        <v/>
      </c>
      <c r="L485" s="141" t="str">
        <f t="shared" si="39"/>
        <v/>
      </c>
    </row>
    <row r="486" spans="1:12" x14ac:dyDescent="0.3">
      <c r="A486" s="36" t="str">
        <f xml:space="preserve"> IF( 'From SvanPC++'!A486= "", "", ('From SvanPC++'!A486))</f>
        <v/>
      </c>
      <c r="C486" s="47" t="s">
        <v>10</v>
      </c>
      <c r="G486" s="38" t="str">
        <f t="shared" si="36"/>
        <v/>
      </c>
      <c r="H486" s="36" t="str">
        <f t="shared" si="40"/>
        <v/>
      </c>
      <c r="J486" s="141" t="str">
        <f t="shared" si="37"/>
        <v/>
      </c>
      <c r="K486" s="141" t="str">
        <f t="shared" si="38"/>
        <v/>
      </c>
      <c r="L486" s="141" t="str">
        <f t="shared" si="39"/>
        <v/>
      </c>
    </row>
    <row r="487" spans="1:12" x14ac:dyDescent="0.3">
      <c r="A487" s="36" t="str">
        <f xml:space="preserve"> IF( 'From SvanPC++'!A487= "", "", ('From SvanPC++'!A487))</f>
        <v/>
      </c>
      <c r="C487" s="47" t="s">
        <v>10</v>
      </c>
      <c r="G487" s="38" t="str">
        <f t="shared" si="36"/>
        <v/>
      </c>
      <c r="H487" s="36" t="str">
        <f t="shared" si="40"/>
        <v/>
      </c>
      <c r="J487" s="141" t="str">
        <f t="shared" si="37"/>
        <v/>
      </c>
      <c r="K487" s="141" t="str">
        <f t="shared" si="38"/>
        <v/>
      </c>
      <c r="L487" s="141" t="str">
        <f t="shared" si="39"/>
        <v/>
      </c>
    </row>
    <row r="488" spans="1:12" x14ac:dyDescent="0.3">
      <c r="A488" s="36" t="str">
        <f xml:space="preserve"> IF( 'From SvanPC++'!A488= "", "", ('From SvanPC++'!A488))</f>
        <v/>
      </c>
      <c r="C488" s="47" t="s">
        <v>10</v>
      </c>
      <c r="G488" s="38" t="str">
        <f t="shared" si="36"/>
        <v/>
      </c>
      <c r="H488" s="36" t="str">
        <f t="shared" si="40"/>
        <v/>
      </c>
      <c r="J488" s="141" t="str">
        <f t="shared" si="37"/>
        <v/>
      </c>
      <c r="K488" s="141" t="str">
        <f t="shared" si="38"/>
        <v/>
      </c>
      <c r="L488" s="141" t="str">
        <f t="shared" si="39"/>
        <v/>
      </c>
    </row>
    <row r="489" spans="1:12" x14ac:dyDescent="0.3">
      <c r="A489" s="36" t="str">
        <f xml:space="preserve"> IF( 'From SvanPC++'!A489= "", "", ('From SvanPC++'!A489))</f>
        <v/>
      </c>
      <c r="C489" s="47" t="s">
        <v>10</v>
      </c>
      <c r="G489" s="38" t="str">
        <f t="shared" si="36"/>
        <v/>
      </c>
      <c r="H489" s="36" t="str">
        <f t="shared" si="40"/>
        <v/>
      </c>
      <c r="J489" s="141" t="str">
        <f t="shared" si="37"/>
        <v/>
      </c>
      <c r="K489" s="141" t="str">
        <f t="shared" si="38"/>
        <v/>
      </c>
      <c r="L489" s="141" t="str">
        <f t="shared" si="39"/>
        <v/>
      </c>
    </row>
    <row r="490" spans="1:12" x14ac:dyDescent="0.3">
      <c r="A490" s="36" t="str">
        <f xml:space="preserve"> IF( 'From SvanPC++'!A490= "", "", ('From SvanPC++'!A490))</f>
        <v/>
      </c>
      <c r="C490" s="47" t="s">
        <v>10</v>
      </c>
      <c r="G490" s="38" t="str">
        <f t="shared" si="36"/>
        <v/>
      </c>
      <c r="H490" s="36" t="str">
        <f t="shared" si="40"/>
        <v/>
      </c>
      <c r="J490" s="141" t="str">
        <f t="shared" si="37"/>
        <v/>
      </c>
      <c r="K490" s="141" t="str">
        <f t="shared" si="38"/>
        <v/>
      </c>
      <c r="L490" s="141" t="str">
        <f t="shared" si="39"/>
        <v/>
      </c>
    </row>
    <row r="491" spans="1:12" x14ac:dyDescent="0.3">
      <c r="A491" s="36" t="str">
        <f xml:space="preserve"> IF( 'From SvanPC++'!A491= "", "", ('From SvanPC++'!A491))</f>
        <v/>
      </c>
      <c r="C491" s="47" t="s">
        <v>10</v>
      </c>
      <c r="G491" s="38" t="str">
        <f t="shared" si="36"/>
        <v/>
      </c>
      <c r="H491" s="36" t="str">
        <f t="shared" si="40"/>
        <v/>
      </c>
      <c r="J491" s="141" t="str">
        <f t="shared" si="37"/>
        <v/>
      </c>
      <c r="K491" s="141" t="str">
        <f t="shared" si="38"/>
        <v/>
      </c>
      <c r="L491" s="141" t="str">
        <f t="shared" si="39"/>
        <v/>
      </c>
    </row>
    <row r="492" spans="1:12" x14ac:dyDescent="0.3">
      <c r="A492" s="36" t="str">
        <f xml:space="preserve"> IF( 'From SvanPC++'!A492= "", "", ('From SvanPC++'!A492))</f>
        <v/>
      </c>
      <c r="C492" s="47" t="s">
        <v>10</v>
      </c>
      <c r="G492" s="38" t="str">
        <f t="shared" si="36"/>
        <v/>
      </c>
      <c r="H492" s="36" t="str">
        <f t="shared" si="40"/>
        <v/>
      </c>
      <c r="J492" s="141" t="str">
        <f t="shared" si="37"/>
        <v/>
      </c>
      <c r="K492" s="141" t="str">
        <f t="shared" si="38"/>
        <v/>
      </c>
      <c r="L492" s="141" t="str">
        <f t="shared" si="39"/>
        <v/>
      </c>
    </row>
    <row r="493" spans="1:12" x14ac:dyDescent="0.3">
      <c r="A493" s="36" t="str">
        <f xml:space="preserve"> IF( 'From SvanPC++'!A493= "", "", ('From SvanPC++'!A493))</f>
        <v/>
      </c>
      <c r="C493" s="47" t="s">
        <v>10</v>
      </c>
      <c r="G493" s="38" t="str">
        <f t="shared" si="36"/>
        <v/>
      </c>
      <c r="H493" s="36" t="str">
        <f t="shared" si="40"/>
        <v/>
      </c>
      <c r="J493" s="141" t="str">
        <f t="shared" si="37"/>
        <v/>
      </c>
      <c r="K493" s="141" t="str">
        <f t="shared" si="38"/>
        <v/>
      </c>
      <c r="L493" s="141" t="str">
        <f t="shared" si="39"/>
        <v/>
      </c>
    </row>
    <row r="494" spans="1:12" x14ac:dyDescent="0.3">
      <c r="A494" s="36" t="str">
        <f xml:space="preserve"> IF( 'From SvanPC++'!A494= "", "", ('From SvanPC++'!A494))</f>
        <v/>
      </c>
      <c r="C494" s="47" t="s">
        <v>10</v>
      </c>
      <c r="G494" s="38" t="str">
        <f t="shared" si="36"/>
        <v/>
      </c>
      <c r="H494" s="36" t="str">
        <f t="shared" si="40"/>
        <v/>
      </c>
      <c r="J494" s="141" t="str">
        <f t="shared" si="37"/>
        <v/>
      </c>
      <c r="K494" s="141" t="str">
        <f t="shared" si="38"/>
        <v/>
      </c>
      <c r="L494" s="141" t="str">
        <f t="shared" si="39"/>
        <v/>
      </c>
    </row>
    <row r="495" spans="1:12" x14ac:dyDescent="0.3">
      <c r="A495" s="36" t="str">
        <f xml:space="preserve"> IF( 'From SvanPC++'!A495= "", "", ('From SvanPC++'!A495))</f>
        <v/>
      </c>
      <c r="C495" s="47" t="s">
        <v>10</v>
      </c>
      <c r="G495" s="38" t="str">
        <f t="shared" si="36"/>
        <v/>
      </c>
      <c r="H495" s="36" t="str">
        <f t="shared" si="40"/>
        <v/>
      </c>
      <c r="J495" s="141" t="str">
        <f t="shared" si="37"/>
        <v/>
      </c>
      <c r="K495" s="141" t="str">
        <f t="shared" si="38"/>
        <v/>
      </c>
      <c r="L495" s="141" t="str">
        <f t="shared" si="39"/>
        <v/>
      </c>
    </row>
    <row r="496" spans="1:12" x14ac:dyDescent="0.3">
      <c r="A496" s="36" t="str">
        <f xml:space="preserve"> IF( 'From SvanPC++'!A496= "", "", ('From SvanPC++'!A496))</f>
        <v/>
      </c>
      <c r="C496" s="47" t="s">
        <v>10</v>
      </c>
      <c r="G496" s="38" t="str">
        <f t="shared" si="36"/>
        <v/>
      </c>
      <c r="H496" s="36" t="str">
        <f t="shared" si="40"/>
        <v/>
      </c>
      <c r="J496" s="141" t="str">
        <f t="shared" si="37"/>
        <v/>
      </c>
      <c r="K496" s="141" t="str">
        <f t="shared" si="38"/>
        <v/>
      </c>
      <c r="L496" s="141" t="str">
        <f t="shared" si="39"/>
        <v/>
      </c>
    </row>
    <row r="497" spans="1:12" x14ac:dyDescent="0.3">
      <c r="A497" s="36" t="str">
        <f xml:space="preserve"> IF( 'From SvanPC++'!A497= "", "", ('From SvanPC++'!A497))</f>
        <v/>
      </c>
      <c r="C497" s="47" t="s">
        <v>10</v>
      </c>
      <c r="G497" s="38" t="str">
        <f t="shared" si="36"/>
        <v/>
      </c>
      <c r="H497" s="36" t="str">
        <f t="shared" si="40"/>
        <v/>
      </c>
      <c r="J497" s="141" t="str">
        <f t="shared" si="37"/>
        <v/>
      </c>
      <c r="K497" s="141" t="str">
        <f t="shared" si="38"/>
        <v/>
      </c>
      <c r="L497" s="141" t="str">
        <f t="shared" si="39"/>
        <v/>
      </c>
    </row>
    <row r="498" spans="1:12" x14ac:dyDescent="0.3">
      <c r="A498" s="36" t="str">
        <f xml:space="preserve"> IF( 'From SvanPC++'!A498= "", "", ('From SvanPC++'!A498))</f>
        <v/>
      </c>
      <c r="C498" s="47" t="s">
        <v>10</v>
      </c>
      <c r="G498" s="38" t="str">
        <f t="shared" si="36"/>
        <v/>
      </c>
      <c r="H498" s="36" t="str">
        <f t="shared" si="40"/>
        <v/>
      </c>
      <c r="J498" s="141" t="str">
        <f t="shared" si="37"/>
        <v/>
      </c>
      <c r="K498" s="141" t="str">
        <f t="shared" si="38"/>
        <v/>
      </c>
      <c r="L498" s="141" t="str">
        <f t="shared" si="39"/>
        <v/>
      </c>
    </row>
    <row r="499" spans="1:12" x14ac:dyDescent="0.3">
      <c r="A499" s="36" t="str">
        <f xml:space="preserve"> IF( 'From SvanPC++'!A499= "", "", ('From SvanPC++'!A499))</f>
        <v/>
      </c>
      <c r="C499" s="47" t="s">
        <v>10</v>
      </c>
      <c r="G499" s="38" t="str">
        <f t="shared" si="36"/>
        <v/>
      </c>
      <c r="H499" s="36" t="str">
        <f t="shared" si="40"/>
        <v/>
      </c>
      <c r="J499" s="141" t="str">
        <f t="shared" si="37"/>
        <v/>
      </c>
      <c r="K499" s="141" t="str">
        <f t="shared" si="38"/>
        <v/>
      </c>
      <c r="L499" s="141" t="str">
        <f t="shared" si="39"/>
        <v/>
      </c>
    </row>
    <row r="500" spans="1:12" x14ac:dyDescent="0.3">
      <c r="A500" s="36" t="str">
        <f xml:space="preserve"> IF( 'From SvanPC++'!A500= "", "", ('From SvanPC++'!A500))</f>
        <v/>
      </c>
      <c r="C500" s="47" t="s">
        <v>10</v>
      </c>
      <c r="G500" s="38" t="str">
        <f t="shared" si="36"/>
        <v/>
      </c>
      <c r="H500" s="36" t="str">
        <f t="shared" si="40"/>
        <v/>
      </c>
      <c r="J500" s="141" t="str">
        <f t="shared" si="37"/>
        <v/>
      </c>
      <c r="K500" s="141" t="str">
        <f t="shared" si="38"/>
        <v/>
      </c>
      <c r="L500" s="141" t="str">
        <f t="shared" si="39"/>
        <v/>
      </c>
    </row>
    <row r="501" spans="1:12" x14ac:dyDescent="0.3">
      <c r="A501" s="36" t="str">
        <f xml:space="preserve"> IF( 'From SvanPC++'!A501= "", "", ('From SvanPC++'!A501))</f>
        <v/>
      </c>
      <c r="C501" s="47" t="s">
        <v>10</v>
      </c>
      <c r="G501" s="38" t="str">
        <f t="shared" si="36"/>
        <v/>
      </c>
      <c r="H501" s="36" t="str">
        <f t="shared" si="40"/>
        <v/>
      </c>
      <c r="J501" s="141" t="str">
        <f t="shared" si="37"/>
        <v/>
      </c>
      <c r="K501" s="141" t="str">
        <f t="shared" si="38"/>
        <v/>
      </c>
      <c r="L501" s="141" t="str">
        <f t="shared" si="39"/>
        <v/>
      </c>
    </row>
    <row r="502" spans="1:12" x14ac:dyDescent="0.3">
      <c r="A502" s="36" t="str">
        <f xml:space="preserve"> IF( 'From SvanPC++'!A502= "", "", ('From SvanPC++'!A502))</f>
        <v/>
      </c>
      <c r="C502" s="47" t="s">
        <v>10</v>
      </c>
      <c r="G502" s="38" t="str">
        <f t="shared" si="36"/>
        <v/>
      </c>
      <c r="H502" s="36" t="str">
        <f t="shared" si="40"/>
        <v/>
      </c>
      <c r="J502" s="141" t="str">
        <f t="shared" si="37"/>
        <v/>
      </c>
      <c r="K502" s="141" t="str">
        <f t="shared" si="38"/>
        <v/>
      </c>
      <c r="L502" s="141" t="str">
        <f t="shared" si="39"/>
        <v/>
      </c>
    </row>
    <row r="503" spans="1:12" x14ac:dyDescent="0.3">
      <c r="A503" s="36" t="str">
        <f xml:space="preserve"> IF( 'From SvanPC++'!A503= "", "", ('From SvanPC++'!A503))</f>
        <v/>
      </c>
      <c r="C503" s="47" t="s">
        <v>10</v>
      </c>
      <c r="G503" s="38" t="str">
        <f t="shared" si="36"/>
        <v/>
      </c>
      <c r="H503" s="36" t="str">
        <f t="shared" si="40"/>
        <v/>
      </c>
      <c r="J503" s="141" t="str">
        <f t="shared" si="37"/>
        <v/>
      </c>
      <c r="K503" s="141" t="str">
        <f t="shared" si="38"/>
        <v/>
      </c>
      <c r="L503" s="141" t="str">
        <f t="shared" si="39"/>
        <v/>
      </c>
    </row>
    <row r="504" spans="1:12" x14ac:dyDescent="0.3">
      <c r="A504" s="36" t="str">
        <f xml:space="preserve"> IF( 'From SvanPC++'!A504= "", "", ('From SvanPC++'!A504))</f>
        <v/>
      </c>
      <c r="C504" s="47" t="s">
        <v>10</v>
      </c>
      <c r="G504" s="38" t="str">
        <f t="shared" si="36"/>
        <v/>
      </c>
      <c r="H504" s="36" t="str">
        <f t="shared" si="40"/>
        <v/>
      </c>
      <c r="J504" s="141" t="str">
        <f t="shared" si="37"/>
        <v/>
      </c>
      <c r="K504" s="141" t="str">
        <f t="shared" si="38"/>
        <v/>
      </c>
      <c r="L504" s="141" t="str">
        <f t="shared" si="39"/>
        <v/>
      </c>
    </row>
    <row r="505" spans="1:12" x14ac:dyDescent="0.3">
      <c r="A505" s="36" t="str">
        <f xml:space="preserve"> IF( 'From SvanPC++'!A505= "", "", ('From SvanPC++'!A505))</f>
        <v/>
      </c>
      <c r="C505" s="47" t="s">
        <v>10</v>
      </c>
      <c r="G505" s="38" t="str">
        <f t="shared" si="36"/>
        <v/>
      </c>
      <c r="H505" s="36" t="str">
        <f t="shared" si="40"/>
        <v/>
      </c>
      <c r="J505" s="141" t="str">
        <f t="shared" si="37"/>
        <v/>
      </c>
      <c r="K505" s="141" t="str">
        <f t="shared" si="38"/>
        <v/>
      </c>
      <c r="L505" s="141" t="str">
        <f t="shared" si="39"/>
        <v/>
      </c>
    </row>
    <row r="506" spans="1:12" x14ac:dyDescent="0.3">
      <c r="A506" s="36" t="str">
        <f xml:space="preserve"> IF( 'From SvanPC++'!A506= "", "", ('From SvanPC++'!A506))</f>
        <v/>
      </c>
      <c r="C506" s="47" t="s">
        <v>10</v>
      </c>
      <c r="G506" s="38" t="str">
        <f t="shared" si="36"/>
        <v/>
      </c>
      <c r="H506" s="36" t="str">
        <f t="shared" si="40"/>
        <v/>
      </c>
      <c r="J506" s="141" t="str">
        <f t="shared" si="37"/>
        <v/>
      </c>
      <c r="K506" s="141" t="str">
        <f t="shared" si="38"/>
        <v/>
      </c>
      <c r="L506" s="141" t="str">
        <f t="shared" si="39"/>
        <v/>
      </c>
    </row>
    <row r="507" spans="1:12" x14ac:dyDescent="0.3">
      <c r="A507" s="36" t="str">
        <f xml:space="preserve"> IF( 'From SvanPC++'!A507= "", "", ('From SvanPC++'!A507))</f>
        <v/>
      </c>
      <c r="C507" s="47" t="s">
        <v>10</v>
      </c>
      <c r="G507" s="38" t="str">
        <f t="shared" si="36"/>
        <v/>
      </c>
      <c r="H507" s="36" t="str">
        <f t="shared" si="40"/>
        <v/>
      </c>
      <c r="J507" s="141" t="str">
        <f t="shared" si="37"/>
        <v/>
      </c>
      <c r="K507" s="141" t="str">
        <f t="shared" si="38"/>
        <v/>
      </c>
      <c r="L507" s="141" t="str">
        <f t="shared" si="39"/>
        <v/>
      </c>
    </row>
    <row r="508" spans="1:12" x14ac:dyDescent="0.3">
      <c r="A508" s="36" t="str">
        <f xml:space="preserve"> IF( 'From SvanPC++'!A508= "", "", ('From SvanPC++'!A508))</f>
        <v/>
      </c>
      <c r="C508" s="47" t="s">
        <v>10</v>
      </c>
      <c r="G508" s="38" t="str">
        <f t="shared" si="36"/>
        <v/>
      </c>
      <c r="H508" s="36" t="str">
        <f t="shared" si="40"/>
        <v/>
      </c>
      <c r="J508" s="141" t="str">
        <f t="shared" si="37"/>
        <v/>
      </c>
      <c r="K508" s="141" t="str">
        <f t="shared" si="38"/>
        <v/>
      </c>
      <c r="L508" s="141" t="str">
        <f t="shared" si="39"/>
        <v/>
      </c>
    </row>
    <row r="509" spans="1:12" x14ac:dyDescent="0.3">
      <c r="A509" s="36" t="str">
        <f xml:space="preserve"> IF( 'From SvanPC++'!A509= "", "", ('From SvanPC++'!A509))</f>
        <v/>
      </c>
      <c r="C509" s="47" t="s">
        <v>10</v>
      </c>
      <c r="G509" s="38" t="str">
        <f t="shared" si="36"/>
        <v/>
      </c>
      <c r="H509" s="36" t="str">
        <f t="shared" si="40"/>
        <v/>
      </c>
      <c r="J509" s="141" t="str">
        <f t="shared" si="37"/>
        <v/>
      </c>
      <c r="K509" s="141" t="str">
        <f t="shared" si="38"/>
        <v/>
      </c>
      <c r="L509" s="141" t="str">
        <f t="shared" si="39"/>
        <v/>
      </c>
    </row>
    <row r="510" spans="1:12" x14ac:dyDescent="0.3">
      <c r="A510" s="36" t="str">
        <f xml:space="preserve"> IF( 'From SvanPC++'!A510= "", "", ('From SvanPC++'!A510))</f>
        <v/>
      </c>
      <c r="C510" s="47" t="s">
        <v>10</v>
      </c>
      <c r="G510" s="38" t="str">
        <f t="shared" si="36"/>
        <v/>
      </c>
      <c r="H510" s="36" t="str">
        <f t="shared" si="40"/>
        <v/>
      </c>
      <c r="J510" s="141" t="str">
        <f t="shared" si="37"/>
        <v/>
      </c>
      <c r="K510" s="141" t="str">
        <f t="shared" si="38"/>
        <v/>
      </c>
      <c r="L510" s="141" t="str">
        <f t="shared" si="39"/>
        <v/>
      </c>
    </row>
    <row r="511" spans="1:12" x14ac:dyDescent="0.3">
      <c r="A511" s="36" t="str">
        <f xml:space="preserve"> IF( 'From SvanPC++'!A511= "", "", ('From SvanPC++'!A511))</f>
        <v/>
      </c>
      <c r="C511" s="47" t="s">
        <v>10</v>
      </c>
      <c r="G511" s="38" t="str">
        <f t="shared" si="36"/>
        <v/>
      </c>
      <c r="H511" s="36" t="str">
        <f t="shared" si="40"/>
        <v/>
      </c>
      <c r="J511" s="141" t="str">
        <f t="shared" si="37"/>
        <v/>
      </c>
      <c r="K511" s="141" t="str">
        <f t="shared" si="38"/>
        <v/>
      </c>
      <c r="L511" s="141" t="str">
        <f t="shared" si="39"/>
        <v/>
      </c>
    </row>
    <row r="512" spans="1:12" x14ac:dyDescent="0.3">
      <c r="A512" s="36" t="str">
        <f xml:space="preserve"> IF( 'From SvanPC++'!A512= "", "", ('From SvanPC++'!A512))</f>
        <v/>
      </c>
      <c r="C512" s="47" t="s">
        <v>10</v>
      </c>
      <c r="G512" s="38" t="str">
        <f t="shared" si="36"/>
        <v/>
      </c>
      <c r="H512" s="36" t="str">
        <f t="shared" si="40"/>
        <v/>
      </c>
      <c r="J512" s="141" t="str">
        <f t="shared" si="37"/>
        <v/>
      </c>
      <c r="K512" s="141" t="str">
        <f t="shared" si="38"/>
        <v/>
      </c>
      <c r="L512" s="141" t="str">
        <f t="shared" si="39"/>
        <v/>
      </c>
    </row>
    <row r="513" spans="1:12" x14ac:dyDescent="0.3">
      <c r="A513" s="36" t="str">
        <f xml:space="preserve"> IF( 'From SvanPC++'!A513= "", "", ('From SvanPC++'!A513))</f>
        <v/>
      </c>
      <c r="C513" s="47" t="s">
        <v>10</v>
      </c>
      <c r="G513" s="38" t="str">
        <f t="shared" si="36"/>
        <v/>
      </c>
      <c r="H513" s="36" t="str">
        <f t="shared" si="40"/>
        <v/>
      </c>
      <c r="J513" s="141" t="str">
        <f t="shared" si="37"/>
        <v/>
      </c>
      <c r="K513" s="141" t="str">
        <f t="shared" si="38"/>
        <v/>
      </c>
      <c r="L513" s="141" t="str">
        <f t="shared" si="39"/>
        <v/>
      </c>
    </row>
    <row r="514" spans="1:12" x14ac:dyDescent="0.3">
      <c r="A514" s="36" t="str">
        <f xml:space="preserve"> IF( 'From SvanPC++'!A514= "", "", ('From SvanPC++'!A514))</f>
        <v/>
      </c>
      <c r="C514" s="47" t="s">
        <v>10</v>
      </c>
      <c r="G514" s="38" t="str">
        <f t="shared" si="36"/>
        <v/>
      </c>
      <c r="H514" s="36" t="str">
        <f t="shared" si="40"/>
        <v/>
      </c>
      <c r="J514" s="141" t="str">
        <f t="shared" si="37"/>
        <v/>
      </c>
      <c r="K514" s="141" t="str">
        <f t="shared" si="38"/>
        <v/>
      </c>
      <c r="L514" s="141" t="str">
        <f t="shared" si="39"/>
        <v/>
      </c>
    </row>
    <row r="515" spans="1:12" x14ac:dyDescent="0.3">
      <c r="A515" s="36" t="str">
        <f xml:space="preserve"> IF( 'From SvanPC++'!A515= "", "", ('From SvanPC++'!A515))</f>
        <v/>
      </c>
      <c r="C515" s="47" t="s">
        <v>10</v>
      </c>
      <c r="G515" s="38" t="str">
        <f t="shared" si="36"/>
        <v/>
      </c>
      <c r="H515" s="36" t="str">
        <f t="shared" si="40"/>
        <v/>
      </c>
      <c r="J515" s="141" t="str">
        <f t="shared" si="37"/>
        <v/>
      </c>
      <c r="K515" s="141" t="str">
        <f t="shared" si="38"/>
        <v/>
      </c>
      <c r="L515" s="141" t="str">
        <f t="shared" si="39"/>
        <v/>
      </c>
    </row>
    <row r="516" spans="1:12" x14ac:dyDescent="0.3">
      <c r="A516" s="36" t="str">
        <f xml:space="preserve"> IF( 'From SvanPC++'!A516= "", "", ('From SvanPC++'!A516))</f>
        <v/>
      </c>
      <c r="C516" s="47" t="s">
        <v>10</v>
      </c>
      <c r="G516" s="38" t="str">
        <f t="shared" si="36"/>
        <v/>
      </c>
      <c r="H516" s="36" t="str">
        <f t="shared" si="40"/>
        <v/>
      </c>
      <c r="J516" s="141" t="str">
        <f t="shared" si="37"/>
        <v/>
      </c>
      <c r="K516" s="141" t="str">
        <f t="shared" si="38"/>
        <v/>
      </c>
      <c r="L516" s="141" t="str">
        <f t="shared" si="39"/>
        <v/>
      </c>
    </row>
    <row r="517" spans="1:12" x14ac:dyDescent="0.3">
      <c r="A517" s="36" t="str">
        <f xml:space="preserve"> IF( 'From SvanPC++'!A517= "", "", ('From SvanPC++'!A517))</f>
        <v/>
      </c>
      <c r="C517" s="47" t="s">
        <v>10</v>
      </c>
      <c r="G517" s="38" t="str">
        <f t="shared" si="36"/>
        <v/>
      </c>
      <c r="H517" s="36" t="str">
        <f t="shared" si="40"/>
        <v/>
      </c>
      <c r="J517" s="141" t="str">
        <f t="shared" si="37"/>
        <v/>
      </c>
      <c r="K517" s="141" t="str">
        <f t="shared" si="38"/>
        <v/>
      </c>
      <c r="L517" s="141" t="str">
        <f t="shared" si="39"/>
        <v/>
      </c>
    </row>
    <row r="518" spans="1:12" x14ac:dyDescent="0.3">
      <c r="A518" s="36" t="str">
        <f xml:space="preserve"> IF( 'From SvanPC++'!A518= "", "", ('From SvanPC++'!A518))</f>
        <v/>
      </c>
      <c r="C518" s="47" t="s">
        <v>10</v>
      </c>
      <c r="G518" s="38" t="str">
        <f t="shared" si="36"/>
        <v/>
      </c>
      <c r="H518" s="36" t="str">
        <f t="shared" si="40"/>
        <v/>
      </c>
      <c r="J518" s="141" t="str">
        <f t="shared" si="37"/>
        <v/>
      </c>
      <c r="K518" s="141" t="str">
        <f t="shared" si="38"/>
        <v/>
      </c>
      <c r="L518" s="141" t="str">
        <f t="shared" si="39"/>
        <v/>
      </c>
    </row>
    <row r="519" spans="1:12" x14ac:dyDescent="0.3">
      <c r="A519" s="36" t="str">
        <f xml:space="preserve"> IF( 'From SvanPC++'!A519= "", "", ('From SvanPC++'!A519))</f>
        <v/>
      </c>
      <c r="C519" s="47" t="s">
        <v>10</v>
      </c>
      <c r="G519" s="38" t="str">
        <f t="shared" ref="G519:G582" si="41" xml:space="preserve"> IF( D519= "", "", ( IF( AND( D519 &gt;= TIMEVALUE( "07:00:01" ), D519 &lt; TIMEVALUE( "08:00:01" ) ) = TRUE, (G518+1), (G518+0) )))</f>
        <v/>
      </c>
      <c r="H519" s="36" t="str">
        <f t="shared" si="40"/>
        <v/>
      </c>
      <c r="J519" s="141" t="str">
        <f t="shared" si="37"/>
        <v/>
      </c>
      <c r="K519" s="141" t="str">
        <f t="shared" si="38"/>
        <v/>
      </c>
      <c r="L519" s="141" t="str">
        <f t="shared" si="39"/>
        <v/>
      </c>
    </row>
    <row r="520" spans="1:12" x14ac:dyDescent="0.3">
      <c r="A520" s="36" t="str">
        <f xml:space="preserve"> IF( 'From SvanPC++'!A520= "", "", ('From SvanPC++'!A520))</f>
        <v/>
      </c>
      <c r="C520" s="47" t="s">
        <v>10</v>
      </c>
      <c r="G520" s="38" t="str">
        <f t="shared" si="41"/>
        <v/>
      </c>
      <c r="H520" s="36" t="str">
        <f t="shared" si="40"/>
        <v/>
      </c>
      <c r="J520" s="141" t="str">
        <f t="shared" ref="J520:J583" si="42" xml:space="preserve"> IF( ISERROR( IF( D520= "", "", ( IF( G520= (G519+1), ( AVERAGEIFS( E520:E664, G520:G664, G520, H520:H664, "Day" )), "" )))), "",( IF( D520= "", "", ( IF( G520= (G519+1), ( AVERAGEIFS( E520:E664, G520:G664, G520, H520:H664, "Day" )), "" )))))</f>
        <v/>
      </c>
      <c r="K520" s="141" t="str">
        <f t="shared" ref="K520:K583" si="43" xml:space="preserve"> IF( ISERROR( IF( D520= "", "", ( IF( G520= (G519+1), ( AVERAGEIFS( E520:E664, G520:G664, G520, H520:H664, "Evening" )), "" )))), "",( IF( D520= "", "", ( IF( G520= (G519+1), ( AVERAGEIFS( E520:E664, G520:G664, G520, H520:H664, "Evening" )), "" )))))</f>
        <v/>
      </c>
      <c r="L520" s="141" t="str">
        <f t="shared" ref="L520:L583" si="44" xml:space="preserve"> IF( ISERROR( IF( D520= "", "", ( IF( G520= (G519+1), ( AVERAGEIFS( E520:E664, G520:G664, G520, H520:H664, "Night" )), "" )))), "",( IF( D520= "", "", ( IF( G520= (G519+1), ( AVERAGEIFS( E520:E664, G520:G664, G520, H520:H664, "Night" )), "" )))))</f>
        <v/>
      </c>
    </row>
    <row r="521" spans="1:12" x14ac:dyDescent="0.3">
      <c r="A521" s="36" t="str">
        <f xml:space="preserve"> IF( 'From SvanPC++'!A521= "", "", ('From SvanPC++'!A521))</f>
        <v/>
      </c>
      <c r="C521" s="47" t="s">
        <v>10</v>
      </c>
      <c r="G521" s="38" t="str">
        <f t="shared" si="41"/>
        <v/>
      </c>
      <c r="H521" s="36" t="str">
        <f t="shared" si="40"/>
        <v/>
      </c>
      <c r="J521" s="141" t="str">
        <f t="shared" si="42"/>
        <v/>
      </c>
      <c r="K521" s="141" t="str">
        <f t="shared" si="43"/>
        <v/>
      </c>
      <c r="L521" s="141" t="str">
        <f t="shared" si="44"/>
        <v/>
      </c>
    </row>
    <row r="522" spans="1:12" x14ac:dyDescent="0.3">
      <c r="A522" s="36" t="str">
        <f xml:space="preserve"> IF( 'From SvanPC++'!A522= "", "", ('From SvanPC++'!A522))</f>
        <v/>
      </c>
      <c r="C522" s="47" t="s">
        <v>10</v>
      </c>
      <c r="G522" s="38" t="str">
        <f t="shared" si="41"/>
        <v/>
      </c>
      <c r="H522" s="36" t="str">
        <f t="shared" si="40"/>
        <v/>
      </c>
      <c r="J522" s="141" t="str">
        <f t="shared" si="42"/>
        <v/>
      </c>
      <c r="K522" s="141" t="str">
        <f t="shared" si="43"/>
        <v/>
      </c>
      <c r="L522" s="141" t="str">
        <f t="shared" si="44"/>
        <v/>
      </c>
    </row>
    <row r="523" spans="1:12" x14ac:dyDescent="0.3">
      <c r="A523" s="36" t="str">
        <f xml:space="preserve"> IF( 'From SvanPC++'!A523= "", "", ('From SvanPC++'!A523))</f>
        <v/>
      </c>
      <c r="C523" s="47" t="s">
        <v>10</v>
      </c>
      <c r="G523" s="38" t="str">
        <f t="shared" si="41"/>
        <v/>
      </c>
      <c r="H523" s="36" t="str">
        <f t="shared" si="40"/>
        <v/>
      </c>
      <c r="J523" s="141" t="str">
        <f t="shared" si="42"/>
        <v/>
      </c>
      <c r="K523" s="141" t="str">
        <f t="shared" si="43"/>
        <v/>
      </c>
      <c r="L523" s="141" t="str">
        <f t="shared" si="44"/>
        <v/>
      </c>
    </row>
    <row r="524" spans="1:12" x14ac:dyDescent="0.3">
      <c r="A524" s="36" t="str">
        <f xml:space="preserve"> IF( 'From SvanPC++'!A524= "", "", ('From SvanPC++'!A524))</f>
        <v/>
      </c>
      <c r="C524" s="47" t="s">
        <v>10</v>
      </c>
      <c r="G524" s="38" t="str">
        <f t="shared" si="41"/>
        <v/>
      </c>
      <c r="H524" s="36" t="str">
        <f t="shared" si="40"/>
        <v/>
      </c>
      <c r="J524" s="141" t="str">
        <f t="shared" si="42"/>
        <v/>
      </c>
      <c r="K524" s="141" t="str">
        <f t="shared" si="43"/>
        <v/>
      </c>
      <c r="L524" s="141" t="str">
        <f t="shared" si="44"/>
        <v/>
      </c>
    </row>
    <row r="525" spans="1:12" x14ac:dyDescent="0.3">
      <c r="A525" s="36" t="str">
        <f xml:space="preserve"> IF( 'From SvanPC++'!A525= "", "", ('From SvanPC++'!A525))</f>
        <v/>
      </c>
      <c r="C525" s="47" t="s">
        <v>10</v>
      </c>
      <c r="G525" s="38" t="str">
        <f t="shared" si="41"/>
        <v/>
      </c>
      <c r="H525" s="36" t="str">
        <f t="shared" si="40"/>
        <v/>
      </c>
      <c r="J525" s="141" t="str">
        <f t="shared" si="42"/>
        <v/>
      </c>
      <c r="K525" s="141" t="str">
        <f t="shared" si="43"/>
        <v/>
      </c>
      <c r="L525" s="141" t="str">
        <f t="shared" si="44"/>
        <v/>
      </c>
    </row>
    <row r="526" spans="1:12" x14ac:dyDescent="0.3">
      <c r="A526" s="36" t="str">
        <f xml:space="preserve"> IF( 'From SvanPC++'!A526= "", "", ('From SvanPC++'!A526))</f>
        <v/>
      </c>
      <c r="C526" s="47" t="s">
        <v>10</v>
      </c>
      <c r="G526" s="38" t="str">
        <f t="shared" si="41"/>
        <v/>
      </c>
      <c r="H526" s="36" t="str">
        <f t="shared" si="40"/>
        <v/>
      </c>
      <c r="J526" s="141" t="str">
        <f t="shared" si="42"/>
        <v/>
      </c>
      <c r="K526" s="141" t="str">
        <f t="shared" si="43"/>
        <v/>
      </c>
      <c r="L526" s="141" t="str">
        <f t="shared" si="44"/>
        <v/>
      </c>
    </row>
    <row r="527" spans="1:12" x14ac:dyDescent="0.3">
      <c r="A527" s="36" t="str">
        <f xml:space="preserve"> IF( 'From SvanPC++'!A527= "", "", ('From SvanPC++'!A527))</f>
        <v/>
      </c>
      <c r="C527" s="47" t="s">
        <v>10</v>
      </c>
      <c r="G527" s="38" t="str">
        <f t="shared" si="41"/>
        <v/>
      </c>
      <c r="H527" s="36" t="str">
        <f t="shared" si="40"/>
        <v/>
      </c>
      <c r="J527" s="141" t="str">
        <f t="shared" si="42"/>
        <v/>
      </c>
      <c r="K527" s="141" t="str">
        <f t="shared" si="43"/>
        <v/>
      </c>
      <c r="L527" s="141" t="str">
        <f t="shared" si="44"/>
        <v/>
      </c>
    </row>
    <row r="528" spans="1:12" x14ac:dyDescent="0.3">
      <c r="A528" s="36" t="str">
        <f xml:space="preserve"> IF( 'From SvanPC++'!A528= "", "", ('From SvanPC++'!A528))</f>
        <v/>
      </c>
      <c r="C528" s="47" t="s">
        <v>10</v>
      </c>
      <c r="G528" s="38" t="str">
        <f t="shared" si="41"/>
        <v/>
      </c>
      <c r="H528" s="36" t="str">
        <f t="shared" si="40"/>
        <v/>
      </c>
      <c r="J528" s="141" t="str">
        <f t="shared" si="42"/>
        <v/>
      </c>
      <c r="K528" s="141" t="str">
        <f t="shared" si="43"/>
        <v/>
      </c>
      <c r="L528" s="141" t="str">
        <f t="shared" si="44"/>
        <v/>
      </c>
    </row>
    <row r="529" spans="1:12" x14ac:dyDescent="0.3">
      <c r="A529" s="36" t="str">
        <f xml:space="preserve"> IF( 'From SvanPC++'!A529= "", "", ('From SvanPC++'!A529))</f>
        <v/>
      </c>
      <c r="C529" s="47" t="s">
        <v>10</v>
      </c>
      <c r="G529" s="38" t="str">
        <f t="shared" si="41"/>
        <v/>
      </c>
      <c r="H529" s="36" t="str">
        <f t="shared" si="40"/>
        <v/>
      </c>
      <c r="J529" s="141" t="str">
        <f t="shared" si="42"/>
        <v/>
      </c>
      <c r="K529" s="141" t="str">
        <f t="shared" si="43"/>
        <v/>
      </c>
      <c r="L529" s="141" t="str">
        <f t="shared" si="44"/>
        <v/>
      </c>
    </row>
    <row r="530" spans="1:12" x14ac:dyDescent="0.3">
      <c r="A530" s="36" t="str">
        <f xml:space="preserve"> IF( 'From SvanPC++'!A530= "", "", ('From SvanPC++'!A530))</f>
        <v/>
      </c>
      <c r="C530" s="47" t="s">
        <v>10</v>
      </c>
      <c r="G530" s="38" t="str">
        <f t="shared" si="41"/>
        <v/>
      </c>
      <c r="H530" s="36" t="str">
        <f t="shared" si="40"/>
        <v/>
      </c>
      <c r="J530" s="141" t="str">
        <f t="shared" si="42"/>
        <v/>
      </c>
      <c r="K530" s="141" t="str">
        <f t="shared" si="43"/>
        <v/>
      </c>
      <c r="L530" s="141" t="str">
        <f t="shared" si="44"/>
        <v/>
      </c>
    </row>
    <row r="531" spans="1:12" x14ac:dyDescent="0.3">
      <c r="A531" s="36" t="str">
        <f xml:space="preserve"> IF( 'From SvanPC++'!A531= "", "", ('From SvanPC++'!A531))</f>
        <v/>
      </c>
      <c r="C531" s="47" t="s">
        <v>10</v>
      </c>
      <c r="G531" s="38" t="str">
        <f t="shared" si="41"/>
        <v/>
      </c>
      <c r="H531" s="36" t="str">
        <f t="shared" si="40"/>
        <v/>
      </c>
      <c r="J531" s="141" t="str">
        <f t="shared" si="42"/>
        <v/>
      </c>
      <c r="K531" s="141" t="str">
        <f t="shared" si="43"/>
        <v/>
      </c>
      <c r="L531" s="141" t="str">
        <f t="shared" si="44"/>
        <v/>
      </c>
    </row>
    <row r="532" spans="1:12" x14ac:dyDescent="0.3">
      <c r="A532" s="36" t="str">
        <f xml:space="preserve"> IF( 'From SvanPC++'!A532= "", "", ('From SvanPC++'!A532))</f>
        <v/>
      </c>
      <c r="C532" s="47" t="s">
        <v>10</v>
      </c>
      <c r="G532" s="38" t="str">
        <f t="shared" si="41"/>
        <v/>
      </c>
      <c r="H532" s="36" t="str">
        <f t="shared" si="40"/>
        <v/>
      </c>
      <c r="J532" s="141" t="str">
        <f t="shared" si="42"/>
        <v/>
      </c>
      <c r="K532" s="141" t="str">
        <f t="shared" si="43"/>
        <v/>
      </c>
      <c r="L532" s="141" t="str">
        <f t="shared" si="44"/>
        <v/>
      </c>
    </row>
    <row r="533" spans="1:12" x14ac:dyDescent="0.3">
      <c r="A533" s="36" t="str">
        <f xml:space="preserve"> IF( 'From SvanPC++'!A533= "", "", ('From SvanPC++'!A533))</f>
        <v/>
      </c>
      <c r="C533" s="47" t="s">
        <v>10</v>
      </c>
      <c r="G533" s="38" t="str">
        <f t="shared" si="41"/>
        <v/>
      </c>
      <c r="H533" s="36" t="str">
        <f t="shared" si="40"/>
        <v/>
      </c>
      <c r="J533" s="141" t="str">
        <f t="shared" si="42"/>
        <v/>
      </c>
      <c r="K533" s="141" t="str">
        <f t="shared" si="43"/>
        <v/>
      </c>
      <c r="L533" s="141" t="str">
        <f t="shared" si="44"/>
        <v/>
      </c>
    </row>
    <row r="534" spans="1:12" x14ac:dyDescent="0.3">
      <c r="A534" s="36" t="str">
        <f xml:space="preserve"> IF( 'From SvanPC++'!A534= "", "", ('From SvanPC++'!A534))</f>
        <v/>
      </c>
      <c r="C534" s="47" t="s">
        <v>10</v>
      </c>
      <c r="G534" s="38" t="str">
        <f t="shared" si="41"/>
        <v/>
      </c>
      <c r="H534" s="36" t="str">
        <f t="shared" si="40"/>
        <v/>
      </c>
      <c r="J534" s="141" t="str">
        <f t="shared" si="42"/>
        <v/>
      </c>
      <c r="K534" s="141" t="str">
        <f t="shared" si="43"/>
        <v/>
      </c>
      <c r="L534" s="141" t="str">
        <f t="shared" si="44"/>
        <v/>
      </c>
    </row>
    <row r="535" spans="1:12" x14ac:dyDescent="0.3">
      <c r="A535" s="36" t="str">
        <f xml:space="preserve"> IF( 'From SvanPC++'!A535= "", "", ('From SvanPC++'!A535))</f>
        <v/>
      </c>
      <c r="C535" s="47" t="s">
        <v>10</v>
      </c>
      <c r="G535" s="38" t="str">
        <f t="shared" si="41"/>
        <v/>
      </c>
      <c r="H535" s="36" t="str">
        <f t="shared" ref="H535:H598" si="45" xml:space="preserve"> IF( D535= "", "", ( IF( AND( D535 &gt;= TIMEVALUE( "07:00:01" ), D535 &lt;= TIMEVALUE( "13:00:00" ), WEEKDAY( C535) =(7+N("Lines 2-17 = saturday day period")) ) = TRUE, "Day",
IF( AND( D535 &gt;= TIMEVALUE( "07:00:01" ), D535 &lt;= TIMEVALUE( "18:00:00" ), WEEKDAY( C535,1+N("Lines 19-38 = weekday day period")) &gt;=2, ( WEEKDAY( C535,1) &lt;=6) ) = TRUE, "Day",
IF( AND( D535 &gt;= TIMEVALUE( "13:00:01" ), D535 &lt;= TIMEVALUE( "22:00:00" ), WEEKDAY( C535) =(7+N("Lines 40-56 = saturday evening period")) ) = TRUE, "Evening",
IF( AND( D535 &gt;= TIMEVALUE( "18:00:01" ), D535 &lt;= TIMEVALUE( "22:00:00" ), WEEKDAY( C535,1+N("Lines 57-77 = weekday evening period")) &gt;=2, ( WEEKDAY( C535,1) &lt;=6) ) = TRUE, "Evening",
IF( AND( D535 &gt;= TIMEVALUE( "07:00:01" ), D535 &lt;= TIMEVALUE( "22:00:00" ), WEEKDAY( C535) =(1+N("Lines 78-94 = sunday evening period")) ) = TRUE, "Evening",
IF( AND( D535 &gt;= TIMEVALUE( "22:00:01" ), D535 &lt;= TIMEVALUE( "23:59:59" ), WEEKDAY( C535) =(7+N("Lines 95-111 = saturday night1 period")) ) = TRUE, "Night",
IF( AND( D535 &gt;= TIMEVALUE( "00:00:00" ), D535 &lt;= TIMEVALUE( "07:00:00" ), WEEKDAY( C535) =(7+N("Lines 112-128 = saturday night2 period")) ) = TRUE, "Night",
IF( AND( D535 &gt;= TIMEVALUE( "22:00:01" ), D535 &lt;= TIMEVALUE( "23:59:59" ), WEEKDAY( C535,1+N("Lines 129-149 = weekday night1 period")) &gt;=2, ( WEEKDAY( C535,1) &lt;=6) ) = TRUE, "Night",
IF( AND( D535 &gt;= TIMEVALUE( "00:00:00" ), D535 &lt;= TIMEVALUE( "07:00:00" ), WEEKDAY( C535,1+N("Lines 150-170 = weekday night2 period")) &gt;=2, ( WEEKDAY( C535,1) &lt;=6) ) = TRUE, "Night",
IF( AND( D535 &gt;= TIMEVALUE( "20:00:01" ), D535 &lt;= TIMEVALUE( "23:59:59" ), WEEKDAY( C535) =(1+N("Lines 171-187 = sunday night1 period")) ) = TRUE, "Night",
IF( AND( D535 &gt;= TIMEVALUE( "00:00:00" ), D535 &lt;= TIMEVALUE( "07:00:00" ), WEEKDAY( C535) =(1+N("Lines 188-204 = sunday night2 period")) ) = TRUE, "Night", )))))))))))))</f>
        <v/>
      </c>
      <c r="J535" s="141" t="str">
        <f t="shared" si="42"/>
        <v/>
      </c>
      <c r="K535" s="141" t="str">
        <f t="shared" si="43"/>
        <v/>
      </c>
      <c r="L535" s="141" t="str">
        <f t="shared" si="44"/>
        <v/>
      </c>
    </row>
    <row r="536" spans="1:12" x14ac:dyDescent="0.3">
      <c r="A536" s="36" t="str">
        <f xml:space="preserve"> IF( 'From SvanPC++'!A536= "", "", ('From SvanPC++'!A536))</f>
        <v/>
      </c>
      <c r="C536" s="47" t="s">
        <v>10</v>
      </c>
      <c r="G536" s="38" t="str">
        <f t="shared" si="41"/>
        <v/>
      </c>
      <c r="H536" s="36" t="str">
        <f t="shared" si="45"/>
        <v/>
      </c>
      <c r="J536" s="141" t="str">
        <f t="shared" si="42"/>
        <v/>
      </c>
      <c r="K536" s="141" t="str">
        <f t="shared" si="43"/>
        <v/>
      </c>
      <c r="L536" s="141" t="str">
        <f t="shared" si="44"/>
        <v/>
      </c>
    </row>
    <row r="537" spans="1:12" x14ac:dyDescent="0.3">
      <c r="A537" s="36" t="str">
        <f xml:space="preserve"> IF( 'From SvanPC++'!A537= "", "", ('From SvanPC++'!A537))</f>
        <v/>
      </c>
      <c r="C537" s="47" t="s">
        <v>10</v>
      </c>
      <c r="G537" s="38" t="str">
        <f t="shared" si="41"/>
        <v/>
      </c>
      <c r="H537" s="36" t="str">
        <f t="shared" si="45"/>
        <v/>
      </c>
      <c r="J537" s="141" t="str">
        <f t="shared" si="42"/>
        <v/>
      </c>
      <c r="K537" s="141" t="str">
        <f t="shared" si="43"/>
        <v/>
      </c>
      <c r="L537" s="141" t="str">
        <f t="shared" si="44"/>
        <v/>
      </c>
    </row>
    <row r="538" spans="1:12" x14ac:dyDescent="0.3">
      <c r="A538" s="36" t="str">
        <f xml:space="preserve"> IF( 'From SvanPC++'!A538= "", "", ('From SvanPC++'!A538))</f>
        <v/>
      </c>
      <c r="C538" s="47" t="s">
        <v>10</v>
      </c>
      <c r="G538" s="38" t="str">
        <f t="shared" si="41"/>
        <v/>
      </c>
      <c r="H538" s="36" t="str">
        <f t="shared" si="45"/>
        <v/>
      </c>
      <c r="J538" s="141" t="str">
        <f t="shared" si="42"/>
        <v/>
      </c>
      <c r="K538" s="141" t="str">
        <f t="shared" si="43"/>
        <v/>
      </c>
      <c r="L538" s="141" t="str">
        <f t="shared" si="44"/>
        <v/>
      </c>
    </row>
    <row r="539" spans="1:12" x14ac:dyDescent="0.3">
      <c r="A539" s="36" t="str">
        <f xml:space="preserve"> IF( 'From SvanPC++'!A539= "", "", ('From SvanPC++'!A539))</f>
        <v/>
      </c>
      <c r="C539" s="47" t="s">
        <v>10</v>
      </c>
      <c r="G539" s="38" t="str">
        <f t="shared" si="41"/>
        <v/>
      </c>
      <c r="H539" s="36" t="str">
        <f t="shared" si="45"/>
        <v/>
      </c>
      <c r="J539" s="141" t="str">
        <f t="shared" si="42"/>
        <v/>
      </c>
      <c r="K539" s="141" t="str">
        <f t="shared" si="43"/>
        <v/>
      </c>
      <c r="L539" s="141" t="str">
        <f t="shared" si="44"/>
        <v/>
      </c>
    </row>
    <row r="540" spans="1:12" x14ac:dyDescent="0.3">
      <c r="A540" s="36" t="str">
        <f xml:space="preserve"> IF( 'From SvanPC++'!A540= "", "", ('From SvanPC++'!A540))</f>
        <v/>
      </c>
      <c r="C540" s="47" t="s">
        <v>10</v>
      </c>
      <c r="G540" s="38" t="str">
        <f t="shared" si="41"/>
        <v/>
      </c>
      <c r="H540" s="36" t="str">
        <f t="shared" si="45"/>
        <v/>
      </c>
      <c r="J540" s="141" t="str">
        <f t="shared" si="42"/>
        <v/>
      </c>
      <c r="K540" s="141" t="str">
        <f t="shared" si="43"/>
        <v/>
      </c>
      <c r="L540" s="141" t="str">
        <f t="shared" si="44"/>
        <v/>
      </c>
    </row>
    <row r="541" spans="1:12" x14ac:dyDescent="0.3">
      <c r="A541" s="36" t="str">
        <f xml:space="preserve"> IF( 'From SvanPC++'!A541= "", "", ('From SvanPC++'!A541))</f>
        <v/>
      </c>
      <c r="C541" s="47" t="s">
        <v>10</v>
      </c>
      <c r="G541" s="38" t="str">
        <f t="shared" si="41"/>
        <v/>
      </c>
      <c r="H541" s="36" t="str">
        <f t="shared" si="45"/>
        <v/>
      </c>
      <c r="J541" s="141" t="str">
        <f t="shared" si="42"/>
        <v/>
      </c>
      <c r="K541" s="141" t="str">
        <f t="shared" si="43"/>
        <v/>
      </c>
      <c r="L541" s="141" t="str">
        <f t="shared" si="44"/>
        <v/>
      </c>
    </row>
    <row r="542" spans="1:12" x14ac:dyDescent="0.3">
      <c r="A542" s="36" t="str">
        <f xml:space="preserve"> IF( 'From SvanPC++'!A542= "", "", ('From SvanPC++'!A542))</f>
        <v/>
      </c>
      <c r="C542" s="47" t="s">
        <v>10</v>
      </c>
      <c r="G542" s="38" t="str">
        <f t="shared" si="41"/>
        <v/>
      </c>
      <c r="H542" s="36" t="str">
        <f t="shared" si="45"/>
        <v/>
      </c>
      <c r="J542" s="141" t="str">
        <f t="shared" si="42"/>
        <v/>
      </c>
      <c r="K542" s="141" t="str">
        <f t="shared" si="43"/>
        <v/>
      </c>
      <c r="L542" s="141" t="str">
        <f t="shared" si="44"/>
        <v/>
      </c>
    </row>
    <row r="543" spans="1:12" x14ac:dyDescent="0.3">
      <c r="A543" s="36" t="str">
        <f xml:space="preserve"> IF( 'From SvanPC++'!A543= "", "", ('From SvanPC++'!A543))</f>
        <v/>
      </c>
      <c r="C543" s="47" t="s">
        <v>10</v>
      </c>
      <c r="G543" s="38" t="str">
        <f t="shared" si="41"/>
        <v/>
      </c>
      <c r="H543" s="36" t="str">
        <f t="shared" si="45"/>
        <v/>
      </c>
      <c r="J543" s="141" t="str">
        <f t="shared" si="42"/>
        <v/>
      </c>
      <c r="K543" s="141" t="str">
        <f t="shared" si="43"/>
        <v/>
      </c>
      <c r="L543" s="141" t="str">
        <f t="shared" si="44"/>
        <v/>
      </c>
    </row>
    <row r="544" spans="1:12" x14ac:dyDescent="0.3">
      <c r="A544" s="36" t="str">
        <f xml:space="preserve"> IF( 'From SvanPC++'!A544= "", "", ('From SvanPC++'!A544))</f>
        <v/>
      </c>
      <c r="C544" s="47" t="s">
        <v>10</v>
      </c>
      <c r="G544" s="38" t="str">
        <f t="shared" si="41"/>
        <v/>
      </c>
      <c r="H544" s="36" t="str">
        <f t="shared" si="45"/>
        <v/>
      </c>
      <c r="J544" s="141" t="str">
        <f t="shared" si="42"/>
        <v/>
      </c>
      <c r="K544" s="141" t="str">
        <f t="shared" si="43"/>
        <v/>
      </c>
      <c r="L544" s="141" t="str">
        <f t="shared" si="44"/>
        <v/>
      </c>
    </row>
    <row r="545" spans="1:12" x14ac:dyDescent="0.3">
      <c r="A545" s="36" t="str">
        <f xml:space="preserve"> IF( 'From SvanPC++'!A545= "", "", ('From SvanPC++'!A545))</f>
        <v/>
      </c>
      <c r="C545" s="47" t="s">
        <v>10</v>
      </c>
      <c r="G545" s="38" t="str">
        <f t="shared" si="41"/>
        <v/>
      </c>
      <c r="H545" s="36" t="str">
        <f t="shared" si="45"/>
        <v/>
      </c>
      <c r="J545" s="141" t="str">
        <f t="shared" si="42"/>
        <v/>
      </c>
      <c r="K545" s="141" t="str">
        <f t="shared" si="43"/>
        <v/>
      </c>
      <c r="L545" s="141" t="str">
        <f t="shared" si="44"/>
        <v/>
      </c>
    </row>
    <row r="546" spans="1:12" x14ac:dyDescent="0.3">
      <c r="A546" s="36" t="str">
        <f xml:space="preserve"> IF( 'From SvanPC++'!A546= "", "", ('From SvanPC++'!A546))</f>
        <v/>
      </c>
      <c r="C546" s="47" t="s">
        <v>10</v>
      </c>
      <c r="G546" s="38" t="str">
        <f t="shared" si="41"/>
        <v/>
      </c>
      <c r="H546" s="36" t="str">
        <f t="shared" si="45"/>
        <v/>
      </c>
      <c r="J546" s="141" t="str">
        <f t="shared" si="42"/>
        <v/>
      </c>
      <c r="K546" s="141" t="str">
        <f t="shared" si="43"/>
        <v/>
      </c>
      <c r="L546" s="141" t="str">
        <f t="shared" si="44"/>
        <v/>
      </c>
    </row>
    <row r="547" spans="1:12" x14ac:dyDescent="0.3">
      <c r="A547" s="36" t="str">
        <f xml:space="preserve"> IF( 'From SvanPC++'!A547= "", "", ('From SvanPC++'!A547))</f>
        <v/>
      </c>
      <c r="C547" s="47" t="s">
        <v>10</v>
      </c>
      <c r="G547" s="38" t="str">
        <f t="shared" si="41"/>
        <v/>
      </c>
      <c r="H547" s="36" t="str">
        <f t="shared" si="45"/>
        <v/>
      </c>
      <c r="J547" s="141" t="str">
        <f t="shared" si="42"/>
        <v/>
      </c>
      <c r="K547" s="141" t="str">
        <f t="shared" si="43"/>
        <v/>
      </c>
      <c r="L547" s="141" t="str">
        <f t="shared" si="44"/>
        <v/>
      </c>
    </row>
    <row r="548" spans="1:12" x14ac:dyDescent="0.3">
      <c r="A548" s="36" t="str">
        <f xml:space="preserve"> IF( 'From SvanPC++'!A548= "", "", ('From SvanPC++'!A548))</f>
        <v/>
      </c>
      <c r="C548" s="47" t="s">
        <v>10</v>
      </c>
      <c r="G548" s="38" t="str">
        <f t="shared" si="41"/>
        <v/>
      </c>
      <c r="H548" s="36" t="str">
        <f t="shared" si="45"/>
        <v/>
      </c>
      <c r="J548" s="141" t="str">
        <f t="shared" si="42"/>
        <v/>
      </c>
      <c r="K548" s="141" t="str">
        <f t="shared" si="43"/>
        <v/>
      </c>
      <c r="L548" s="141" t="str">
        <f t="shared" si="44"/>
        <v/>
      </c>
    </row>
    <row r="549" spans="1:12" x14ac:dyDescent="0.3">
      <c r="A549" s="36" t="str">
        <f xml:space="preserve"> IF( 'From SvanPC++'!A549= "", "", ('From SvanPC++'!A549))</f>
        <v/>
      </c>
      <c r="C549" s="47" t="s">
        <v>10</v>
      </c>
      <c r="G549" s="38" t="str">
        <f t="shared" si="41"/>
        <v/>
      </c>
      <c r="H549" s="36" t="str">
        <f t="shared" si="45"/>
        <v/>
      </c>
      <c r="J549" s="141" t="str">
        <f t="shared" si="42"/>
        <v/>
      </c>
      <c r="K549" s="141" t="str">
        <f t="shared" si="43"/>
        <v/>
      </c>
      <c r="L549" s="141" t="str">
        <f t="shared" si="44"/>
        <v/>
      </c>
    </row>
    <row r="550" spans="1:12" x14ac:dyDescent="0.3">
      <c r="A550" s="36" t="str">
        <f xml:space="preserve"> IF( 'From SvanPC++'!A550= "", "", ('From SvanPC++'!A550))</f>
        <v/>
      </c>
      <c r="C550" s="47" t="s">
        <v>10</v>
      </c>
      <c r="G550" s="38" t="str">
        <f t="shared" si="41"/>
        <v/>
      </c>
      <c r="H550" s="36" t="str">
        <f t="shared" si="45"/>
        <v/>
      </c>
      <c r="J550" s="141" t="str">
        <f t="shared" si="42"/>
        <v/>
      </c>
      <c r="K550" s="141" t="str">
        <f t="shared" si="43"/>
        <v/>
      </c>
      <c r="L550" s="141" t="str">
        <f t="shared" si="44"/>
        <v/>
      </c>
    </row>
    <row r="551" spans="1:12" x14ac:dyDescent="0.3">
      <c r="A551" s="36" t="str">
        <f xml:space="preserve"> IF( 'From SvanPC++'!A551= "", "", ('From SvanPC++'!A551))</f>
        <v/>
      </c>
      <c r="C551" s="47" t="s">
        <v>10</v>
      </c>
      <c r="G551" s="38" t="str">
        <f t="shared" si="41"/>
        <v/>
      </c>
      <c r="H551" s="36" t="str">
        <f t="shared" si="45"/>
        <v/>
      </c>
      <c r="J551" s="141" t="str">
        <f t="shared" si="42"/>
        <v/>
      </c>
      <c r="K551" s="141" t="str">
        <f t="shared" si="43"/>
        <v/>
      </c>
      <c r="L551" s="141" t="str">
        <f t="shared" si="44"/>
        <v/>
      </c>
    </row>
    <row r="552" spans="1:12" x14ac:dyDescent="0.3">
      <c r="A552" s="36" t="str">
        <f xml:space="preserve"> IF( 'From SvanPC++'!A552= "", "", ('From SvanPC++'!A552))</f>
        <v/>
      </c>
      <c r="C552" s="47" t="s">
        <v>10</v>
      </c>
      <c r="G552" s="38" t="str">
        <f t="shared" si="41"/>
        <v/>
      </c>
      <c r="H552" s="36" t="str">
        <f t="shared" si="45"/>
        <v/>
      </c>
      <c r="J552" s="141" t="str">
        <f t="shared" si="42"/>
        <v/>
      </c>
      <c r="K552" s="141" t="str">
        <f t="shared" si="43"/>
        <v/>
      </c>
      <c r="L552" s="141" t="str">
        <f t="shared" si="44"/>
        <v/>
      </c>
    </row>
    <row r="553" spans="1:12" x14ac:dyDescent="0.3">
      <c r="A553" s="36" t="str">
        <f xml:space="preserve"> IF( 'From SvanPC++'!A553= "", "", ('From SvanPC++'!A553))</f>
        <v/>
      </c>
      <c r="C553" s="47" t="s">
        <v>10</v>
      </c>
      <c r="G553" s="38" t="str">
        <f t="shared" si="41"/>
        <v/>
      </c>
      <c r="H553" s="36" t="str">
        <f t="shared" si="45"/>
        <v/>
      </c>
      <c r="J553" s="141" t="str">
        <f t="shared" si="42"/>
        <v/>
      </c>
      <c r="K553" s="141" t="str">
        <f t="shared" si="43"/>
        <v/>
      </c>
      <c r="L553" s="141" t="str">
        <f t="shared" si="44"/>
        <v/>
      </c>
    </row>
    <row r="554" spans="1:12" x14ac:dyDescent="0.3">
      <c r="A554" s="36" t="str">
        <f xml:space="preserve"> IF( 'From SvanPC++'!A554= "", "", ('From SvanPC++'!A554))</f>
        <v/>
      </c>
      <c r="C554" s="47" t="s">
        <v>10</v>
      </c>
      <c r="G554" s="38" t="str">
        <f t="shared" si="41"/>
        <v/>
      </c>
      <c r="H554" s="36" t="str">
        <f t="shared" si="45"/>
        <v/>
      </c>
      <c r="J554" s="141" t="str">
        <f t="shared" si="42"/>
        <v/>
      </c>
      <c r="K554" s="141" t="str">
        <f t="shared" si="43"/>
        <v/>
      </c>
      <c r="L554" s="141" t="str">
        <f t="shared" si="44"/>
        <v/>
      </c>
    </row>
    <row r="555" spans="1:12" x14ac:dyDescent="0.3">
      <c r="A555" s="36" t="str">
        <f xml:space="preserve"> IF( 'From SvanPC++'!A555= "", "", ('From SvanPC++'!A555))</f>
        <v/>
      </c>
      <c r="C555" s="47" t="s">
        <v>10</v>
      </c>
      <c r="G555" s="38" t="str">
        <f t="shared" si="41"/>
        <v/>
      </c>
      <c r="H555" s="36" t="str">
        <f t="shared" si="45"/>
        <v/>
      </c>
      <c r="J555" s="141" t="str">
        <f t="shared" si="42"/>
        <v/>
      </c>
      <c r="K555" s="141" t="str">
        <f t="shared" si="43"/>
        <v/>
      </c>
      <c r="L555" s="141" t="str">
        <f t="shared" si="44"/>
        <v/>
      </c>
    </row>
    <row r="556" spans="1:12" x14ac:dyDescent="0.3">
      <c r="A556" s="36" t="str">
        <f xml:space="preserve"> IF( 'From SvanPC++'!A556= "", "", ('From SvanPC++'!A556))</f>
        <v/>
      </c>
      <c r="C556" s="47" t="s">
        <v>10</v>
      </c>
      <c r="G556" s="38" t="str">
        <f t="shared" si="41"/>
        <v/>
      </c>
      <c r="H556" s="36" t="str">
        <f t="shared" si="45"/>
        <v/>
      </c>
      <c r="J556" s="141" t="str">
        <f t="shared" si="42"/>
        <v/>
      </c>
      <c r="K556" s="141" t="str">
        <f t="shared" si="43"/>
        <v/>
      </c>
      <c r="L556" s="141" t="str">
        <f t="shared" si="44"/>
        <v/>
      </c>
    </row>
    <row r="557" spans="1:12" x14ac:dyDescent="0.3">
      <c r="A557" s="36" t="str">
        <f xml:space="preserve"> IF( 'From SvanPC++'!A557= "", "", ('From SvanPC++'!A557))</f>
        <v/>
      </c>
      <c r="C557" s="47" t="s">
        <v>10</v>
      </c>
      <c r="G557" s="38" t="str">
        <f t="shared" si="41"/>
        <v/>
      </c>
      <c r="H557" s="36" t="str">
        <f t="shared" si="45"/>
        <v/>
      </c>
      <c r="J557" s="141" t="str">
        <f t="shared" si="42"/>
        <v/>
      </c>
      <c r="K557" s="141" t="str">
        <f t="shared" si="43"/>
        <v/>
      </c>
      <c r="L557" s="141" t="str">
        <f t="shared" si="44"/>
        <v/>
      </c>
    </row>
    <row r="558" spans="1:12" x14ac:dyDescent="0.3">
      <c r="A558" s="36" t="str">
        <f xml:space="preserve"> IF( 'From SvanPC++'!A558= "", "", ('From SvanPC++'!A558))</f>
        <v/>
      </c>
      <c r="C558" s="47" t="s">
        <v>10</v>
      </c>
      <c r="G558" s="38" t="str">
        <f t="shared" si="41"/>
        <v/>
      </c>
      <c r="H558" s="36" t="str">
        <f t="shared" si="45"/>
        <v/>
      </c>
      <c r="J558" s="141" t="str">
        <f t="shared" si="42"/>
        <v/>
      </c>
      <c r="K558" s="141" t="str">
        <f t="shared" si="43"/>
        <v/>
      </c>
      <c r="L558" s="141" t="str">
        <f t="shared" si="44"/>
        <v/>
      </c>
    </row>
    <row r="559" spans="1:12" x14ac:dyDescent="0.3">
      <c r="A559" s="36" t="str">
        <f xml:space="preserve"> IF( 'From SvanPC++'!A559= "", "", ('From SvanPC++'!A559))</f>
        <v/>
      </c>
      <c r="C559" s="47" t="s">
        <v>10</v>
      </c>
      <c r="G559" s="38" t="str">
        <f t="shared" si="41"/>
        <v/>
      </c>
      <c r="H559" s="36" t="str">
        <f t="shared" si="45"/>
        <v/>
      </c>
      <c r="J559" s="141" t="str">
        <f t="shared" si="42"/>
        <v/>
      </c>
      <c r="K559" s="141" t="str">
        <f t="shared" si="43"/>
        <v/>
      </c>
      <c r="L559" s="141" t="str">
        <f t="shared" si="44"/>
        <v/>
      </c>
    </row>
    <row r="560" spans="1:12" x14ac:dyDescent="0.3">
      <c r="A560" s="36" t="str">
        <f xml:space="preserve"> IF( 'From SvanPC++'!A560= "", "", ('From SvanPC++'!A560))</f>
        <v/>
      </c>
      <c r="C560" s="47" t="s">
        <v>10</v>
      </c>
      <c r="G560" s="38" t="str">
        <f t="shared" si="41"/>
        <v/>
      </c>
      <c r="H560" s="36" t="str">
        <f t="shared" si="45"/>
        <v/>
      </c>
      <c r="J560" s="141" t="str">
        <f t="shared" si="42"/>
        <v/>
      </c>
      <c r="K560" s="141" t="str">
        <f t="shared" si="43"/>
        <v/>
      </c>
      <c r="L560" s="141" t="str">
        <f t="shared" si="44"/>
        <v/>
      </c>
    </row>
    <row r="561" spans="1:12" x14ac:dyDescent="0.3">
      <c r="A561" s="36" t="str">
        <f xml:space="preserve"> IF( 'From SvanPC++'!A561= "", "", ('From SvanPC++'!A561))</f>
        <v/>
      </c>
      <c r="C561" s="47" t="s">
        <v>10</v>
      </c>
      <c r="G561" s="38" t="str">
        <f t="shared" si="41"/>
        <v/>
      </c>
      <c r="H561" s="36" t="str">
        <f t="shared" si="45"/>
        <v/>
      </c>
      <c r="J561" s="141" t="str">
        <f t="shared" si="42"/>
        <v/>
      </c>
      <c r="K561" s="141" t="str">
        <f t="shared" si="43"/>
        <v/>
      </c>
      <c r="L561" s="141" t="str">
        <f t="shared" si="44"/>
        <v/>
      </c>
    </row>
    <row r="562" spans="1:12" x14ac:dyDescent="0.3">
      <c r="A562" s="36" t="str">
        <f xml:space="preserve"> IF( 'From SvanPC++'!A562= "", "", ('From SvanPC++'!A562))</f>
        <v/>
      </c>
      <c r="C562" s="47" t="s">
        <v>10</v>
      </c>
      <c r="G562" s="38" t="str">
        <f t="shared" si="41"/>
        <v/>
      </c>
      <c r="H562" s="36" t="str">
        <f t="shared" si="45"/>
        <v/>
      </c>
      <c r="J562" s="141" t="str">
        <f t="shared" si="42"/>
        <v/>
      </c>
      <c r="K562" s="141" t="str">
        <f t="shared" si="43"/>
        <v/>
      </c>
      <c r="L562" s="141" t="str">
        <f t="shared" si="44"/>
        <v/>
      </c>
    </row>
    <row r="563" spans="1:12" x14ac:dyDescent="0.3">
      <c r="A563" s="36" t="str">
        <f xml:space="preserve"> IF( 'From SvanPC++'!A563= "", "", ('From SvanPC++'!A563))</f>
        <v/>
      </c>
      <c r="C563" s="47" t="s">
        <v>10</v>
      </c>
      <c r="G563" s="38" t="str">
        <f t="shared" si="41"/>
        <v/>
      </c>
      <c r="H563" s="36" t="str">
        <f t="shared" si="45"/>
        <v/>
      </c>
      <c r="J563" s="141" t="str">
        <f t="shared" si="42"/>
        <v/>
      </c>
      <c r="K563" s="141" t="str">
        <f t="shared" si="43"/>
        <v/>
      </c>
      <c r="L563" s="141" t="str">
        <f t="shared" si="44"/>
        <v/>
      </c>
    </row>
    <row r="564" spans="1:12" x14ac:dyDescent="0.3">
      <c r="A564" s="36" t="str">
        <f xml:space="preserve"> IF( 'From SvanPC++'!A564= "", "", ('From SvanPC++'!A564))</f>
        <v/>
      </c>
      <c r="C564" s="47" t="s">
        <v>10</v>
      </c>
      <c r="G564" s="38" t="str">
        <f t="shared" si="41"/>
        <v/>
      </c>
      <c r="H564" s="36" t="str">
        <f t="shared" si="45"/>
        <v/>
      </c>
      <c r="J564" s="141" t="str">
        <f t="shared" si="42"/>
        <v/>
      </c>
      <c r="K564" s="141" t="str">
        <f t="shared" si="43"/>
        <v/>
      </c>
      <c r="L564" s="141" t="str">
        <f t="shared" si="44"/>
        <v/>
      </c>
    </row>
    <row r="565" spans="1:12" x14ac:dyDescent="0.3">
      <c r="A565" s="36" t="str">
        <f xml:space="preserve"> IF( 'From SvanPC++'!A565= "", "", ('From SvanPC++'!A565))</f>
        <v/>
      </c>
      <c r="C565" s="47" t="s">
        <v>10</v>
      </c>
      <c r="G565" s="38" t="str">
        <f t="shared" si="41"/>
        <v/>
      </c>
      <c r="H565" s="36" t="str">
        <f t="shared" si="45"/>
        <v/>
      </c>
      <c r="J565" s="141" t="str">
        <f t="shared" si="42"/>
        <v/>
      </c>
      <c r="K565" s="141" t="str">
        <f t="shared" si="43"/>
        <v/>
      </c>
      <c r="L565" s="141" t="str">
        <f t="shared" si="44"/>
        <v/>
      </c>
    </row>
    <row r="566" spans="1:12" x14ac:dyDescent="0.3">
      <c r="A566" s="36" t="str">
        <f xml:space="preserve"> IF( 'From SvanPC++'!A566= "", "", ('From SvanPC++'!A566))</f>
        <v/>
      </c>
      <c r="C566" s="47" t="s">
        <v>10</v>
      </c>
      <c r="G566" s="38" t="str">
        <f t="shared" si="41"/>
        <v/>
      </c>
      <c r="H566" s="36" t="str">
        <f t="shared" si="45"/>
        <v/>
      </c>
      <c r="J566" s="141" t="str">
        <f t="shared" si="42"/>
        <v/>
      </c>
      <c r="K566" s="141" t="str">
        <f t="shared" si="43"/>
        <v/>
      </c>
      <c r="L566" s="141" t="str">
        <f t="shared" si="44"/>
        <v/>
      </c>
    </row>
    <row r="567" spans="1:12" x14ac:dyDescent="0.3">
      <c r="A567" s="36" t="str">
        <f xml:space="preserve"> IF( 'From SvanPC++'!A567= "", "", ('From SvanPC++'!A567))</f>
        <v/>
      </c>
      <c r="C567" s="47" t="s">
        <v>10</v>
      </c>
      <c r="G567" s="38" t="str">
        <f t="shared" si="41"/>
        <v/>
      </c>
      <c r="H567" s="36" t="str">
        <f t="shared" si="45"/>
        <v/>
      </c>
      <c r="J567" s="141" t="str">
        <f t="shared" si="42"/>
        <v/>
      </c>
      <c r="K567" s="141" t="str">
        <f t="shared" si="43"/>
        <v/>
      </c>
      <c r="L567" s="141" t="str">
        <f t="shared" si="44"/>
        <v/>
      </c>
    </row>
    <row r="568" spans="1:12" x14ac:dyDescent="0.3">
      <c r="A568" s="36" t="str">
        <f xml:space="preserve"> IF( 'From SvanPC++'!A568= "", "", ('From SvanPC++'!A568))</f>
        <v/>
      </c>
      <c r="C568" s="47" t="s">
        <v>10</v>
      </c>
      <c r="G568" s="38" t="str">
        <f t="shared" si="41"/>
        <v/>
      </c>
      <c r="H568" s="36" t="str">
        <f t="shared" si="45"/>
        <v/>
      </c>
      <c r="J568" s="141" t="str">
        <f t="shared" si="42"/>
        <v/>
      </c>
      <c r="K568" s="141" t="str">
        <f t="shared" si="43"/>
        <v/>
      </c>
      <c r="L568" s="141" t="str">
        <f t="shared" si="44"/>
        <v/>
      </c>
    </row>
    <row r="569" spans="1:12" x14ac:dyDescent="0.3">
      <c r="A569" s="36" t="str">
        <f xml:space="preserve"> IF( 'From SvanPC++'!A569= "", "", ('From SvanPC++'!A569))</f>
        <v/>
      </c>
      <c r="C569" s="47" t="s">
        <v>10</v>
      </c>
      <c r="G569" s="38" t="str">
        <f t="shared" si="41"/>
        <v/>
      </c>
      <c r="H569" s="36" t="str">
        <f t="shared" si="45"/>
        <v/>
      </c>
      <c r="J569" s="141" t="str">
        <f t="shared" si="42"/>
        <v/>
      </c>
      <c r="K569" s="141" t="str">
        <f t="shared" si="43"/>
        <v/>
      </c>
      <c r="L569" s="141" t="str">
        <f t="shared" si="44"/>
        <v/>
      </c>
    </row>
    <row r="570" spans="1:12" x14ac:dyDescent="0.3">
      <c r="A570" s="36" t="str">
        <f xml:space="preserve"> IF( 'From SvanPC++'!A570= "", "", ('From SvanPC++'!A570))</f>
        <v/>
      </c>
      <c r="C570" s="47" t="s">
        <v>10</v>
      </c>
      <c r="G570" s="38" t="str">
        <f t="shared" si="41"/>
        <v/>
      </c>
      <c r="H570" s="36" t="str">
        <f t="shared" si="45"/>
        <v/>
      </c>
      <c r="J570" s="141" t="str">
        <f t="shared" si="42"/>
        <v/>
      </c>
      <c r="K570" s="141" t="str">
        <f t="shared" si="43"/>
        <v/>
      </c>
      <c r="L570" s="141" t="str">
        <f t="shared" si="44"/>
        <v/>
      </c>
    </row>
    <row r="571" spans="1:12" x14ac:dyDescent="0.3">
      <c r="A571" s="36" t="str">
        <f xml:space="preserve"> IF( 'From SvanPC++'!A571= "", "", ('From SvanPC++'!A571))</f>
        <v/>
      </c>
      <c r="C571" s="47" t="s">
        <v>10</v>
      </c>
      <c r="G571" s="38" t="str">
        <f t="shared" si="41"/>
        <v/>
      </c>
      <c r="H571" s="36" t="str">
        <f t="shared" si="45"/>
        <v/>
      </c>
      <c r="J571" s="141" t="str">
        <f t="shared" si="42"/>
        <v/>
      </c>
      <c r="K571" s="141" t="str">
        <f t="shared" si="43"/>
        <v/>
      </c>
      <c r="L571" s="141" t="str">
        <f t="shared" si="44"/>
        <v/>
      </c>
    </row>
    <row r="572" spans="1:12" x14ac:dyDescent="0.3">
      <c r="A572" s="36" t="str">
        <f xml:space="preserve"> IF( 'From SvanPC++'!A572= "", "", ('From SvanPC++'!A572))</f>
        <v/>
      </c>
      <c r="C572" s="47" t="s">
        <v>10</v>
      </c>
      <c r="G572" s="38" t="str">
        <f t="shared" si="41"/>
        <v/>
      </c>
      <c r="H572" s="36" t="str">
        <f t="shared" si="45"/>
        <v/>
      </c>
      <c r="J572" s="141" t="str">
        <f t="shared" si="42"/>
        <v/>
      </c>
      <c r="K572" s="141" t="str">
        <f t="shared" si="43"/>
        <v/>
      </c>
      <c r="L572" s="141" t="str">
        <f t="shared" si="44"/>
        <v/>
      </c>
    </row>
    <row r="573" spans="1:12" x14ac:dyDescent="0.3">
      <c r="A573" s="36" t="str">
        <f xml:space="preserve"> IF( 'From SvanPC++'!A573= "", "", ('From SvanPC++'!A573))</f>
        <v/>
      </c>
      <c r="C573" s="47" t="s">
        <v>10</v>
      </c>
      <c r="G573" s="38" t="str">
        <f t="shared" si="41"/>
        <v/>
      </c>
      <c r="H573" s="36" t="str">
        <f t="shared" si="45"/>
        <v/>
      </c>
      <c r="J573" s="141" t="str">
        <f t="shared" si="42"/>
        <v/>
      </c>
      <c r="K573" s="141" t="str">
        <f t="shared" si="43"/>
        <v/>
      </c>
      <c r="L573" s="141" t="str">
        <f t="shared" si="44"/>
        <v/>
      </c>
    </row>
    <row r="574" spans="1:12" x14ac:dyDescent="0.3">
      <c r="A574" s="36" t="str">
        <f xml:space="preserve"> IF( 'From SvanPC++'!A574= "", "", ('From SvanPC++'!A574))</f>
        <v/>
      </c>
      <c r="C574" s="47" t="s">
        <v>10</v>
      </c>
      <c r="G574" s="38" t="str">
        <f t="shared" si="41"/>
        <v/>
      </c>
      <c r="H574" s="36" t="str">
        <f t="shared" si="45"/>
        <v/>
      </c>
      <c r="J574" s="141" t="str">
        <f t="shared" si="42"/>
        <v/>
      </c>
      <c r="K574" s="141" t="str">
        <f t="shared" si="43"/>
        <v/>
      </c>
      <c r="L574" s="141" t="str">
        <f t="shared" si="44"/>
        <v/>
      </c>
    </row>
    <row r="575" spans="1:12" x14ac:dyDescent="0.3">
      <c r="A575" s="36" t="str">
        <f xml:space="preserve"> IF( 'From SvanPC++'!A575= "", "", ('From SvanPC++'!A575))</f>
        <v/>
      </c>
      <c r="C575" s="47" t="s">
        <v>10</v>
      </c>
      <c r="G575" s="38" t="str">
        <f t="shared" si="41"/>
        <v/>
      </c>
      <c r="H575" s="36" t="str">
        <f t="shared" si="45"/>
        <v/>
      </c>
      <c r="J575" s="141" t="str">
        <f t="shared" si="42"/>
        <v/>
      </c>
      <c r="K575" s="141" t="str">
        <f t="shared" si="43"/>
        <v/>
      </c>
      <c r="L575" s="141" t="str">
        <f t="shared" si="44"/>
        <v/>
      </c>
    </row>
    <row r="576" spans="1:12" x14ac:dyDescent="0.3">
      <c r="A576" s="36" t="str">
        <f xml:space="preserve"> IF( 'From SvanPC++'!A576= "", "", ('From SvanPC++'!A576))</f>
        <v/>
      </c>
      <c r="C576" s="47" t="s">
        <v>10</v>
      </c>
      <c r="G576" s="38" t="str">
        <f t="shared" si="41"/>
        <v/>
      </c>
      <c r="H576" s="36" t="str">
        <f t="shared" si="45"/>
        <v/>
      </c>
      <c r="J576" s="141" t="str">
        <f t="shared" si="42"/>
        <v/>
      </c>
      <c r="K576" s="141" t="str">
        <f t="shared" si="43"/>
        <v/>
      </c>
      <c r="L576" s="141" t="str">
        <f t="shared" si="44"/>
        <v/>
      </c>
    </row>
    <row r="577" spans="1:12" x14ac:dyDescent="0.3">
      <c r="A577" s="36" t="str">
        <f xml:space="preserve"> IF( 'From SvanPC++'!A577= "", "", ('From SvanPC++'!A577))</f>
        <v/>
      </c>
      <c r="C577" s="47" t="s">
        <v>10</v>
      </c>
      <c r="G577" s="38" t="str">
        <f t="shared" si="41"/>
        <v/>
      </c>
      <c r="H577" s="36" t="str">
        <f t="shared" si="45"/>
        <v/>
      </c>
      <c r="J577" s="141" t="str">
        <f t="shared" si="42"/>
        <v/>
      </c>
      <c r="K577" s="141" t="str">
        <f t="shared" si="43"/>
        <v/>
      </c>
      <c r="L577" s="141" t="str">
        <f t="shared" si="44"/>
        <v/>
      </c>
    </row>
    <row r="578" spans="1:12" x14ac:dyDescent="0.3">
      <c r="A578" s="36" t="str">
        <f xml:space="preserve"> IF( 'From SvanPC++'!A578= "", "", ('From SvanPC++'!A578))</f>
        <v/>
      </c>
      <c r="C578" s="47" t="s">
        <v>10</v>
      </c>
      <c r="G578" s="38" t="str">
        <f t="shared" si="41"/>
        <v/>
      </c>
      <c r="H578" s="36" t="str">
        <f t="shared" si="45"/>
        <v/>
      </c>
      <c r="J578" s="141" t="str">
        <f t="shared" si="42"/>
        <v/>
      </c>
      <c r="K578" s="141" t="str">
        <f t="shared" si="43"/>
        <v/>
      </c>
      <c r="L578" s="141" t="str">
        <f t="shared" si="44"/>
        <v/>
      </c>
    </row>
    <row r="579" spans="1:12" x14ac:dyDescent="0.3">
      <c r="A579" s="36" t="str">
        <f xml:space="preserve"> IF( 'From SvanPC++'!A579= "", "", ('From SvanPC++'!A579))</f>
        <v/>
      </c>
      <c r="C579" s="47" t="s">
        <v>10</v>
      </c>
      <c r="G579" s="38" t="str">
        <f t="shared" si="41"/>
        <v/>
      </c>
      <c r="H579" s="36" t="str">
        <f t="shared" si="45"/>
        <v/>
      </c>
      <c r="J579" s="141" t="str">
        <f t="shared" si="42"/>
        <v/>
      </c>
      <c r="K579" s="141" t="str">
        <f t="shared" si="43"/>
        <v/>
      </c>
      <c r="L579" s="141" t="str">
        <f t="shared" si="44"/>
        <v/>
      </c>
    </row>
    <row r="580" spans="1:12" x14ac:dyDescent="0.3">
      <c r="A580" s="36" t="str">
        <f xml:space="preserve"> IF( 'From SvanPC++'!A580= "", "", ('From SvanPC++'!A580))</f>
        <v/>
      </c>
      <c r="C580" s="47" t="s">
        <v>10</v>
      </c>
      <c r="G580" s="38" t="str">
        <f t="shared" si="41"/>
        <v/>
      </c>
      <c r="H580" s="36" t="str">
        <f t="shared" si="45"/>
        <v/>
      </c>
      <c r="J580" s="141" t="str">
        <f t="shared" si="42"/>
        <v/>
      </c>
      <c r="K580" s="141" t="str">
        <f t="shared" si="43"/>
        <v/>
      </c>
      <c r="L580" s="141" t="str">
        <f t="shared" si="44"/>
        <v/>
      </c>
    </row>
    <row r="581" spans="1:12" x14ac:dyDescent="0.3">
      <c r="A581" s="36" t="str">
        <f xml:space="preserve"> IF( 'From SvanPC++'!A581= "", "", ('From SvanPC++'!A581))</f>
        <v/>
      </c>
      <c r="C581" s="47" t="s">
        <v>10</v>
      </c>
      <c r="G581" s="38" t="str">
        <f t="shared" si="41"/>
        <v/>
      </c>
      <c r="H581" s="36" t="str">
        <f t="shared" si="45"/>
        <v/>
      </c>
      <c r="J581" s="141" t="str">
        <f t="shared" si="42"/>
        <v/>
      </c>
      <c r="K581" s="141" t="str">
        <f t="shared" si="43"/>
        <v/>
      </c>
      <c r="L581" s="141" t="str">
        <f t="shared" si="44"/>
        <v/>
      </c>
    </row>
    <row r="582" spans="1:12" x14ac:dyDescent="0.3">
      <c r="A582" s="36" t="str">
        <f xml:space="preserve"> IF( 'From SvanPC++'!A582= "", "", ('From SvanPC++'!A582))</f>
        <v/>
      </c>
      <c r="C582" s="47" t="s">
        <v>10</v>
      </c>
      <c r="G582" s="38" t="str">
        <f t="shared" si="41"/>
        <v/>
      </c>
      <c r="H582" s="36" t="str">
        <f t="shared" si="45"/>
        <v/>
      </c>
      <c r="J582" s="141" t="str">
        <f t="shared" si="42"/>
        <v/>
      </c>
      <c r="K582" s="141" t="str">
        <f t="shared" si="43"/>
        <v/>
      </c>
      <c r="L582" s="141" t="str">
        <f t="shared" si="44"/>
        <v/>
      </c>
    </row>
    <row r="583" spans="1:12" x14ac:dyDescent="0.3">
      <c r="A583" s="36" t="str">
        <f xml:space="preserve"> IF( 'From SvanPC++'!A583= "", "", ('From SvanPC++'!A583))</f>
        <v/>
      </c>
      <c r="C583" s="47" t="s">
        <v>10</v>
      </c>
      <c r="G583" s="38" t="str">
        <f t="shared" ref="G583:G646" si="46" xml:space="preserve"> IF( D583= "", "", ( IF( AND( D583 &gt;= TIMEVALUE( "07:00:01" ), D583 &lt; TIMEVALUE( "08:00:01" ) ) = TRUE, (G582+1), (G582+0) )))</f>
        <v/>
      </c>
      <c r="H583" s="36" t="str">
        <f t="shared" si="45"/>
        <v/>
      </c>
      <c r="J583" s="141" t="str">
        <f t="shared" si="42"/>
        <v/>
      </c>
      <c r="K583" s="141" t="str">
        <f t="shared" si="43"/>
        <v/>
      </c>
      <c r="L583" s="141" t="str">
        <f t="shared" si="44"/>
        <v/>
      </c>
    </row>
    <row r="584" spans="1:12" x14ac:dyDescent="0.3">
      <c r="A584" s="36" t="str">
        <f xml:space="preserve"> IF( 'From SvanPC++'!A584= "", "", ('From SvanPC++'!A584))</f>
        <v/>
      </c>
      <c r="C584" s="47" t="s">
        <v>10</v>
      </c>
      <c r="G584" s="38" t="str">
        <f t="shared" si="46"/>
        <v/>
      </c>
      <c r="H584" s="36" t="str">
        <f t="shared" si="45"/>
        <v/>
      </c>
      <c r="J584" s="141" t="str">
        <f t="shared" ref="J584:J647" si="47" xml:space="preserve"> IF( ISERROR( IF( D584= "", "", ( IF( G584= (G583+1), ( AVERAGEIFS( E584:E728, G584:G728, G584, H584:H728, "Day" )), "" )))), "",( IF( D584= "", "", ( IF( G584= (G583+1), ( AVERAGEIFS( E584:E728, G584:G728, G584, H584:H728, "Day" )), "" )))))</f>
        <v/>
      </c>
      <c r="K584" s="141" t="str">
        <f t="shared" ref="K584:K647" si="48" xml:space="preserve"> IF( ISERROR( IF( D584= "", "", ( IF( G584= (G583+1), ( AVERAGEIFS( E584:E728, G584:G728, G584, H584:H728, "Evening" )), "" )))), "",( IF( D584= "", "", ( IF( G584= (G583+1), ( AVERAGEIFS( E584:E728, G584:G728, G584, H584:H728, "Evening" )), "" )))))</f>
        <v/>
      </c>
      <c r="L584" s="141" t="str">
        <f t="shared" ref="L584:L647" si="49" xml:space="preserve"> IF( ISERROR( IF( D584= "", "", ( IF( G584= (G583+1), ( AVERAGEIFS( E584:E728, G584:G728, G584, H584:H728, "Night" )), "" )))), "",( IF( D584= "", "", ( IF( G584= (G583+1), ( AVERAGEIFS( E584:E728, G584:G728, G584, H584:H728, "Night" )), "" )))))</f>
        <v/>
      </c>
    </row>
    <row r="585" spans="1:12" x14ac:dyDescent="0.3">
      <c r="A585" s="36" t="str">
        <f xml:space="preserve"> IF( 'From SvanPC++'!A585= "", "", ('From SvanPC++'!A585))</f>
        <v/>
      </c>
      <c r="C585" s="47" t="s">
        <v>10</v>
      </c>
      <c r="G585" s="38" t="str">
        <f t="shared" si="46"/>
        <v/>
      </c>
      <c r="H585" s="36" t="str">
        <f t="shared" si="45"/>
        <v/>
      </c>
      <c r="J585" s="141" t="str">
        <f t="shared" si="47"/>
        <v/>
      </c>
      <c r="K585" s="141" t="str">
        <f t="shared" si="48"/>
        <v/>
      </c>
      <c r="L585" s="141" t="str">
        <f t="shared" si="49"/>
        <v/>
      </c>
    </row>
    <row r="586" spans="1:12" x14ac:dyDescent="0.3">
      <c r="A586" s="36" t="str">
        <f xml:space="preserve"> IF( 'From SvanPC++'!A586= "", "", ('From SvanPC++'!A586))</f>
        <v/>
      </c>
      <c r="C586" s="47" t="s">
        <v>10</v>
      </c>
      <c r="G586" s="38" t="str">
        <f t="shared" si="46"/>
        <v/>
      </c>
      <c r="H586" s="36" t="str">
        <f t="shared" si="45"/>
        <v/>
      </c>
      <c r="J586" s="141" t="str">
        <f t="shared" si="47"/>
        <v/>
      </c>
      <c r="K586" s="141" t="str">
        <f t="shared" si="48"/>
        <v/>
      </c>
      <c r="L586" s="141" t="str">
        <f t="shared" si="49"/>
        <v/>
      </c>
    </row>
    <row r="587" spans="1:12" x14ac:dyDescent="0.3">
      <c r="A587" s="36" t="str">
        <f xml:space="preserve"> IF( 'From SvanPC++'!A587= "", "", ('From SvanPC++'!A587))</f>
        <v/>
      </c>
      <c r="C587" s="47" t="s">
        <v>10</v>
      </c>
      <c r="G587" s="38" t="str">
        <f t="shared" si="46"/>
        <v/>
      </c>
      <c r="H587" s="36" t="str">
        <f t="shared" si="45"/>
        <v/>
      </c>
      <c r="J587" s="141" t="str">
        <f t="shared" si="47"/>
        <v/>
      </c>
      <c r="K587" s="141" t="str">
        <f t="shared" si="48"/>
        <v/>
      </c>
      <c r="L587" s="141" t="str">
        <f t="shared" si="49"/>
        <v/>
      </c>
    </row>
    <row r="588" spans="1:12" x14ac:dyDescent="0.3">
      <c r="A588" s="36" t="str">
        <f xml:space="preserve"> IF( 'From SvanPC++'!A588= "", "", ('From SvanPC++'!A588))</f>
        <v/>
      </c>
      <c r="C588" s="47" t="s">
        <v>10</v>
      </c>
      <c r="G588" s="38" t="str">
        <f t="shared" si="46"/>
        <v/>
      </c>
      <c r="H588" s="36" t="str">
        <f t="shared" si="45"/>
        <v/>
      </c>
      <c r="J588" s="141" t="str">
        <f t="shared" si="47"/>
        <v/>
      </c>
      <c r="K588" s="141" t="str">
        <f t="shared" si="48"/>
        <v/>
      </c>
      <c r="L588" s="141" t="str">
        <f t="shared" si="49"/>
        <v/>
      </c>
    </row>
    <row r="589" spans="1:12" x14ac:dyDescent="0.3">
      <c r="A589" s="36" t="str">
        <f xml:space="preserve"> IF( 'From SvanPC++'!A589= "", "", ('From SvanPC++'!A589))</f>
        <v/>
      </c>
      <c r="C589" s="47" t="s">
        <v>10</v>
      </c>
      <c r="G589" s="38" t="str">
        <f t="shared" si="46"/>
        <v/>
      </c>
      <c r="H589" s="36" t="str">
        <f t="shared" si="45"/>
        <v/>
      </c>
      <c r="J589" s="141" t="str">
        <f t="shared" si="47"/>
        <v/>
      </c>
      <c r="K589" s="141" t="str">
        <f t="shared" si="48"/>
        <v/>
      </c>
      <c r="L589" s="141" t="str">
        <f t="shared" si="49"/>
        <v/>
      </c>
    </row>
    <row r="590" spans="1:12" x14ac:dyDescent="0.3">
      <c r="A590" s="36" t="str">
        <f xml:space="preserve"> IF( 'From SvanPC++'!A590= "", "", ('From SvanPC++'!A590))</f>
        <v/>
      </c>
      <c r="C590" s="47" t="s">
        <v>10</v>
      </c>
      <c r="G590" s="38" t="str">
        <f t="shared" si="46"/>
        <v/>
      </c>
      <c r="H590" s="36" t="str">
        <f t="shared" si="45"/>
        <v/>
      </c>
      <c r="J590" s="141" t="str">
        <f t="shared" si="47"/>
        <v/>
      </c>
      <c r="K590" s="141" t="str">
        <f t="shared" si="48"/>
        <v/>
      </c>
      <c r="L590" s="141" t="str">
        <f t="shared" si="49"/>
        <v/>
      </c>
    </row>
    <row r="591" spans="1:12" x14ac:dyDescent="0.3">
      <c r="A591" s="36" t="str">
        <f xml:space="preserve"> IF( 'From SvanPC++'!A591= "", "", ('From SvanPC++'!A591))</f>
        <v/>
      </c>
      <c r="C591" s="47" t="s">
        <v>10</v>
      </c>
      <c r="G591" s="38" t="str">
        <f t="shared" si="46"/>
        <v/>
      </c>
      <c r="H591" s="36" t="str">
        <f t="shared" si="45"/>
        <v/>
      </c>
      <c r="J591" s="141" t="str">
        <f t="shared" si="47"/>
        <v/>
      </c>
      <c r="K591" s="141" t="str">
        <f t="shared" si="48"/>
        <v/>
      </c>
      <c r="L591" s="141" t="str">
        <f t="shared" si="49"/>
        <v/>
      </c>
    </row>
    <row r="592" spans="1:12" x14ac:dyDescent="0.3">
      <c r="A592" s="36" t="str">
        <f xml:space="preserve"> IF( 'From SvanPC++'!A592= "", "", ('From SvanPC++'!A592))</f>
        <v/>
      </c>
      <c r="C592" s="47" t="s">
        <v>10</v>
      </c>
      <c r="G592" s="38" t="str">
        <f t="shared" si="46"/>
        <v/>
      </c>
      <c r="H592" s="36" t="str">
        <f t="shared" si="45"/>
        <v/>
      </c>
      <c r="J592" s="141" t="str">
        <f t="shared" si="47"/>
        <v/>
      </c>
      <c r="K592" s="141" t="str">
        <f t="shared" si="48"/>
        <v/>
      </c>
      <c r="L592" s="141" t="str">
        <f t="shared" si="49"/>
        <v/>
      </c>
    </row>
    <row r="593" spans="1:12" x14ac:dyDescent="0.3">
      <c r="A593" s="36" t="str">
        <f xml:space="preserve"> IF( 'From SvanPC++'!A593= "", "", ('From SvanPC++'!A593))</f>
        <v/>
      </c>
      <c r="C593" s="47" t="s">
        <v>10</v>
      </c>
      <c r="G593" s="38" t="str">
        <f t="shared" si="46"/>
        <v/>
      </c>
      <c r="H593" s="36" t="str">
        <f t="shared" si="45"/>
        <v/>
      </c>
      <c r="J593" s="141" t="str">
        <f t="shared" si="47"/>
        <v/>
      </c>
      <c r="K593" s="141" t="str">
        <f t="shared" si="48"/>
        <v/>
      </c>
      <c r="L593" s="141" t="str">
        <f t="shared" si="49"/>
        <v/>
      </c>
    </row>
    <row r="594" spans="1:12" x14ac:dyDescent="0.3">
      <c r="A594" s="36" t="str">
        <f xml:space="preserve"> IF( 'From SvanPC++'!A594= "", "", ('From SvanPC++'!A594))</f>
        <v/>
      </c>
      <c r="C594" s="47" t="s">
        <v>10</v>
      </c>
      <c r="G594" s="38" t="str">
        <f t="shared" si="46"/>
        <v/>
      </c>
      <c r="H594" s="36" t="str">
        <f t="shared" si="45"/>
        <v/>
      </c>
      <c r="J594" s="141" t="str">
        <f t="shared" si="47"/>
        <v/>
      </c>
      <c r="K594" s="141" t="str">
        <f t="shared" si="48"/>
        <v/>
      </c>
      <c r="L594" s="141" t="str">
        <f t="shared" si="49"/>
        <v/>
      </c>
    </row>
    <row r="595" spans="1:12" x14ac:dyDescent="0.3">
      <c r="A595" s="36" t="str">
        <f xml:space="preserve"> IF( 'From SvanPC++'!A595= "", "", ('From SvanPC++'!A595))</f>
        <v/>
      </c>
      <c r="C595" s="47" t="s">
        <v>10</v>
      </c>
      <c r="G595" s="38" t="str">
        <f t="shared" si="46"/>
        <v/>
      </c>
      <c r="H595" s="36" t="str">
        <f t="shared" si="45"/>
        <v/>
      </c>
      <c r="J595" s="141" t="str">
        <f t="shared" si="47"/>
        <v/>
      </c>
      <c r="K595" s="141" t="str">
        <f t="shared" si="48"/>
        <v/>
      </c>
      <c r="L595" s="141" t="str">
        <f t="shared" si="49"/>
        <v/>
      </c>
    </row>
    <row r="596" spans="1:12" x14ac:dyDescent="0.3">
      <c r="A596" s="36" t="str">
        <f xml:space="preserve"> IF( 'From SvanPC++'!A596= "", "", ('From SvanPC++'!A596))</f>
        <v/>
      </c>
      <c r="C596" s="47" t="s">
        <v>10</v>
      </c>
      <c r="G596" s="38" t="str">
        <f t="shared" si="46"/>
        <v/>
      </c>
      <c r="H596" s="36" t="str">
        <f t="shared" si="45"/>
        <v/>
      </c>
      <c r="J596" s="141" t="str">
        <f t="shared" si="47"/>
        <v/>
      </c>
      <c r="K596" s="141" t="str">
        <f t="shared" si="48"/>
        <v/>
      </c>
      <c r="L596" s="141" t="str">
        <f t="shared" si="49"/>
        <v/>
      </c>
    </row>
    <row r="597" spans="1:12" x14ac:dyDescent="0.3">
      <c r="A597" s="36" t="str">
        <f xml:space="preserve"> IF( 'From SvanPC++'!A597= "", "", ('From SvanPC++'!A597))</f>
        <v/>
      </c>
      <c r="C597" s="47" t="s">
        <v>10</v>
      </c>
      <c r="G597" s="38" t="str">
        <f t="shared" si="46"/>
        <v/>
      </c>
      <c r="H597" s="36" t="str">
        <f t="shared" si="45"/>
        <v/>
      </c>
      <c r="J597" s="141" t="str">
        <f t="shared" si="47"/>
        <v/>
      </c>
      <c r="K597" s="141" t="str">
        <f t="shared" si="48"/>
        <v/>
      </c>
      <c r="L597" s="141" t="str">
        <f t="shared" si="49"/>
        <v/>
      </c>
    </row>
    <row r="598" spans="1:12" x14ac:dyDescent="0.3">
      <c r="A598" s="36" t="str">
        <f xml:space="preserve"> IF( 'From SvanPC++'!A598= "", "", ('From SvanPC++'!A598))</f>
        <v/>
      </c>
      <c r="C598" s="47" t="s">
        <v>10</v>
      </c>
      <c r="G598" s="38" t="str">
        <f t="shared" si="46"/>
        <v/>
      </c>
      <c r="H598" s="36" t="str">
        <f t="shared" si="45"/>
        <v/>
      </c>
      <c r="J598" s="141" t="str">
        <f t="shared" si="47"/>
        <v/>
      </c>
      <c r="K598" s="141" t="str">
        <f t="shared" si="48"/>
        <v/>
      </c>
      <c r="L598" s="141" t="str">
        <f t="shared" si="49"/>
        <v/>
      </c>
    </row>
    <row r="599" spans="1:12" x14ac:dyDescent="0.3">
      <c r="A599" s="36" t="str">
        <f xml:space="preserve"> IF( 'From SvanPC++'!A599= "", "", ('From SvanPC++'!A599))</f>
        <v/>
      </c>
      <c r="C599" s="47" t="s">
        <v>10</v>
      </c>
      <c r="G599" s="38" t="str">
        <f t="shared" si="46"/>
        <v/>
      </c>
      <c r="H599" s="36" t="str">
        <f t="shared" ref="H599:H662" si="50" xml:space="preserve"> IF( D599= "", "", ( IF( AND( D599 &gt;= TIMEVALUE( "07:00:01" ), D599 &lt;= TIMEVALUE( "13:00:00" ), WEEKDAY( C599) =(7+N("Lines 2-17 = saturday day period")) ) = TRUE, "Day",
IF( AND( D599 &gt;= TIMEVALUE( "07:00:01" ), D599 &lt;= TIMEVALUE( "18:00:00" ), WEEKDAY( C599,1+N("Lines 19-38 = weekday day period")) &gt;=2, ( WEEKDAY( C599,1) &lt;=6) ) = TRUE, "Day",
IF( AND( D599 &gt;= TIMEVALUE( "13:00:01" ), D599 &lt;= TIMEVALUE( "22:00:00" ), WEEKDAY( C599) =(7+N("Lines 40-56 = saturday evening period")) ) = TRUE, "Evening",
IF( AND( D599 &gt;= TIMEVALUE( "18:00:01" ), D599 &lt;= TIMEVALUE( "22:00:00" ), WEEKDAY( C599,1+N("Lines 57-77 = weekday evening period")) &gt;=2, ( WEEKDAY( C599,1) &lt;=6) ) = TRUE, "Evening",
IF( AND( D599 &gt;= TIMEVALUE( "07:00:01" ), D599 &lt;= TIMEVALUE( "22:00:00" ), WEEKDAY( C599) =(1+N("Lines 78-94 = sunday evening period")) ) = TRUE, "Evening",
IF( AND( D599 &gt;= TIMEVALUE( "22:00:01" ), D599 &lt;= TIMEVALUE( "23:59:59" ), WEEKDAY( C599) =(7+N("Lines 95-111 = saturday night1 period")) ) = TRUE, "Night",
IF( AND( D599 &gt;= TIMEVALUE( "00:00:00" ), D599 &lt;= TIMEVALUE( "07:00:00" ), WEEKDAY( C599) =(7+N("Lines 112-128 = saturday night2 period")) ) = TRUE, "Night",
IF( AND( D599 &gt;= TIMEVALUE( "22:00:01" ), D599 &lt;= TIMEVALUE( "23:59:59" ), WEEKDAY( C599,1+N("Lines 129-149 = weekday night1 period")) &gt;=2, ( WEEKDAY( C599,1) &lt;=6) ) = TRUE, "Night",
IF( AND( D599 &gt;= TIMEVALUE( "00:00:00" ), D599 &lt;= TIMEVALUE( "07:00:00" ), WEEKDAY( C599,1+N("Lines 150-170 = weekday night2 period")) &gt;=2, ( WEEKDAY( C599,1) &lt;=6) ) = TRUE, "Night",
IF( AND( D599 &gt;= TIMEVALUE( "20:00:01" ), D599 &lt;= TIMEVALUE( "23:59:59" ), WEEKDAY( C599) =(1+N("Lines 171-187 = sunday night1 period")) ) = TRUE, "Night",
IF( AND( D599 &gt;= TIMEVALUE( "00:00:00" ), D599 &lt;= TIMEVALUE( "07:00:00" ), WEEKDAY( C599) =(1+N("Lines 188-204 = sunday night2 period")) ) = TRUE, "Night", )))))))))))))</f>
        <v/>
      </c>
      <c r="J599" s="141" t="str">
        <f t="shared" si="47"/>
        <v/>
      </c>
      <c r="K599" s="141" t="str">
        <f t="shared" si="48"/>
        <v/>
      </c>
      <c r="L599" s="141" t="str">
        <f t="shared" si="49"/>
        <v/>
      </c>
    </row>
    <row r="600" spans="1:12" x14ac:dyDescent="0.3">
      <c r="A600" s="36" t="str">
        <f xml:space="preserve"> IF( 'From SvanPC++'!A600= "", "", ('From SvanPC++'!A600))</f>
        <v/>
      </c>
      <c r="C600" s="47" t="s">
        <v>10</v>
      </c>
      <c r="G600" s="38" t="str">
        <f t="shared" si="46"/>
        <v/>
      </c>
      <c r="H600" s="36" t="str">
        <f t="shared" si="50"/>
        <v/>
      </c>
      <c r="J600" s="141" t="str">
        <f t="shared" si="47"/>
        <v/>
      </c>
      <c r="K600" s="141" t="str">
        <f t="shared" si="48"/>
        <v/>
      </c>
      <c r="L600" s="141" t="str">
        <f t="shared" si="49"/>
        <v/>
      </c>
    </row>
    <row r="601" spans="1:12" x14ac:dyDescent="0.3">
      <c r="A601" s="36" t="str">
        <f xml:space="preserve"> IF( 'From SvanPC++'!A601= "", "", ('From SvanPC++'!A601))</f>
        <v/>
      </c>
      <c r="C601" s="47" t="s">
        <v>10</v>
      </c>
      <c r="G601" s="38" t="str">
        <f t="shared" si="46"/>
        <v/>
      </c>
      <c r="H601" s="36" t="str">
        <f t="shared" si="50"/>
        <v/>
      </c>
      <c r="J601" s="141" t="str">
        <f t="shared" si="47"/>
        <v/>
      </c>
      <c r="K601" s="141" t="str">
        <f t="shared" si="48"/>
        <v/>
      </c>
      <c r="L601" s="141" t="str">
        <f t="shared" si="49"/>
        <v/>
      </c>
    </row>
    <row r="602" spans="1:12" x14ac:dyDescent="0.3">
      <c r="A602" s="36" t="str">
        <f xml:space="preserve"> IF( 'From SvanPC++'!A602= "", "", ('From SvanPC++'!A602))</f>
        <v/>
      </c>
      <c r="C602" s="47" t="s">
        <v>10</v>
      </c>
      <c r="G602" s="38" t="str">
        <f t="shared" si="46"/>
        <v/>
      </c>
      <c r="H602" s="36" t="str">
        <f t="shared" si="50"/>
        <v/>
      </c>
      <c r="J602" s="141" t="str">
        <f t="shared" si="47"/>
        <v/>
      </c>
      <c r="K602" s="141" t="str">
        <f t="shared" si="48"/>
        <v/>
      </c>
      <c r="L602" s="141" t="str">
        <f t="shared" si="49"/>
        <v/>
      </c>
    </row>
    <row r="603" spans="1:12" x14ac:dyDescent="0.3">
      <c r="A603" s="36" t="str">
        <f xml:space="preserve"> IF( 'From SvanPC++'!A603= "", "", ('From SvanPC++'!A603))</f>
        <v/>
      </c>
      <c r="C603" s="47" t="s">
        <v>10</v>
      </c>
      <c r="G603" s="38" t="str">
        <f t="shared" si="46"/>
        <v/>
      </c>
      <c r="H603" s="36" t="str">
        <f t="shared" si="50"/>
        <v/>
      </c>
      <c r="J603" s="141" t="str">
        <f t="shared" si="47"/>
        <v/>
      </c>
      <c r="K603" s="141" t="str">
        <f t="shared" si="48"/>
        <v/>
      </c>
      <c r="L603" s="141" t="str">
        <f t="shared" si="49"/>
        <v/>
      </c>
    </row>
    <row r="604" spans="1:12" x14ac:dyDescent="0.3">
      <c r="A604" s="36" t="str">
        <f xml:space="preserve"> IF( 'From SvanPC++'!A604= "", "", ('From SvanPC++'!A604))</f>
        <v/>
      </c>
      <c r="C604" s="47" t="s">
        <v>10</v>
      </c>
      <c r="G604" s="38" t="str">
        <f t="shared" si="46"/>
        <v/>
      </c>
      <c r="H604" s="36" t="str">
        <f t="shared" si="50"/>
        <v/>
      </c>
      <c r="J604" s="141" t="str">
        <f t="shared" si="47"/>
        <v/>
      </c>
      <c r="K604" s="141" t="str">
        <f t="shared" si="48"/>
        <v/>
      </c>
      <c r="L604" s="141" t="str">
        <f t="shared" si="49"/>
        <v/>
      </c>
    </row>
    <row r="605" spans="1:12" x14ac:dyDescent="0.3">
      <c r="A605" s="36" t="str">
        <f xml:space="preserve"> IF( 'From SvanPC++'!A605= "", "", ('From SvanPC++'!A605))</f>
        <v/>
      </c>
      <c r="C605" s="47" t="s">
        <v>10</v>
      </c>
      <c r="G605" s="38" t="str">
        <f t="shared" si="46"/>
        <v/>
      </c>
      <c r="H605" s="36" t="str">
        <f t="shared" si="50"/>
        <v/>
      </c>
      <c r="J605" s="141" t="str">
        <f t="shared" si="47"/>
        <v/>
      </c>
      <c r="K605" s="141" t="str">
        <f t="shared" si="48"/>
        <v/>
      </c>
      <c r="L605" s="141" t="str">
        <f t="shared" si="49"/>
        <v/>
      </c>
    </row>
    <row r="606" spans="1:12" x14ac:dyDescent="0.3">
      <c r="A606" s="36" t="str">
        <f xml:space="preserve"> IF( 'From SvanPC++'!A606= "", "", ('From SvanPC++'!A606))</f>
        <v/>
      </c>
      <c r="C606" s="47" t="s">
        <v>10</v>
      </c>
      <c r="G606" s="38" t="str">
        <f t="shared" si="46"/>
        <v/>
      </c>
      <c r="H606" s="36" t="str">
        <f t="shared" si="50"/>
        <v/>
      </c>
      <c r="J606" s="141" t="str">
        <f t="shared" si="47"/>
        <v/>
      </c>
      <c r="K606" s="141" t="str">
        <f t="shared" si="48"/>
        <v/>
      </c>
      <c r="L606" s="141" t="str">
        <f t="shared" si="49"/>
        <v/>
      </c>
    </row>
    <row r="607" spans="1:12" x14ac:dyDescent="0.3">
      <c r="A607" s="36" t="str">
        <f xml:space="preserve"> IF( 'From SvanPC++'!A607= "", "", ('From SvanPC++'!A607))</f>
        <v/>
      </c>
      <c r="C607" s="47" t="s">
        <v>10</v>
      </c>
      <c r="G607" s="38" t="str">
        <f t="shared" si="46"/>
        <v/>
      </c>
      <c r="H607" s="36" t="str">
        <f t="shared" si="50"/>
        <v/>
      </c>
      <c r="J607" s="141" t="str">
        <f t="shared" si="47"/>
        <v/>
      </c>
      <c r="K607" s="141" t="str">
        <f t="shared" si="48"/>
        <v/>
      </c>
      <c r="L607" s="141" t="str">
        <f t="shared" si="49"/>
        <v/>
      </c>
    </row>
    <row r="608" spans="1:12" x14ac:dyDescent="0.3">
      <c r="A608" s="36" t="str">
        <f xml:space="preserve"> IF( 'From SvanPC++'!A608= "", "", ('From SvanPC++'!A608))</f>
        <v/>
      </c>
      <c r="C608" s="47" t="s">
        <v>10</v>
      </c>
      <c r="G608" s="38" t="str">
        <f t="shared" si="46"/>
        <v/>
      </c>
      <c r="H608" s="36" t="str">
        <f t="shared" si="50"/>
        <v/>
      </c>
      <c r="J608" s="141" t="str">
        <f t="shared" si="47"/>
        <v/>
      </c>
      <c r="K608" s="141" t="str">
        <f t="shared" si="48"/>
        <v/>
      </c>
      <c r="L608" s="141" t="str">
        <f t="shared" si="49"/>
        <v/>
      </c>
    </row>
    <row r="609" spans="1:12" x14ac:dyDescent="0.3">
      <c r="A609" s="36" t="str">
        <f xml:space="preserve"> IF( 'From SvanPC++'!A609= "", "", ('From SvanPC++'!A609))</f>
        <v/>
      </c>
      <c r="C609" s="47" t="s">
        <v>10</v>
      </c>
      <c r="G609" s="38" t="str">
        <f t="shared" si="46"/>
        <v/>
      </c>
      <c r="H609" s="36" t="str">
        <f t="shared" si="50"/>
        <v/>
      </c>
      <c r="J609" s="141" t="str">
        <f t="shared" si="47"/>
        <v/>
      </c>
      <c r="K609" s="141" t="str">
        <f t="shared" si="48"/>
        <v/>
      </c>
      <c r="L609" s="141" t="str">
        <f t="shared" si="49"/>
        <v/>
      </c>
    </row>
    <row r="610" spans="1:12" x14ac:dyDescent="0.3">
      <c r="A610" s="36" t="str">
        <f xml:space="preserve"> IF( 'From SvanPC++'!A610= "", "", ('From SvanPC++'!A610))</f>
        <v/>
      </c>
      <c r="C610" s="47" t="s">
        <v>10</v>
      </c>
      <c r="G610" s="38" t="str">
        <f t="shared" si="46"/>
        <v/>
      </c>
      <c r="H610" s="36" t="str">
        <f t="shared" si="50"/>
        <v/>
      </c>
      <c r="J610" s="141" t="str">
        <f t="shared" si="47"/>
        <v/>
      </c>
      <c r="K610" s="141" t="str">
        <f t="shared" si="48"/>
        <v/>
      </c>
      <c r="L610" s="141" t="str">
        <f t="shared" si="49"/>
        <v/>
      </c>
    </row>
    <row r="611" spans="1:12" x14ac:dyDescent="0.3">
      <c r="A611" s="36" t="str">
        <f xml:space="preserve"> IF( 'From SvanPC++'!A611= "", "", ('From SvanPC++'!A611))</f>
        <v/>
      </c>
      <c r="C611" s="47" t="s">
        <v>10</v>
      </c>
      <c r="G611" s="38" t="str">
        <f t="shared" si="46"/>
        <v/>
      </c>
      <c r="H611" s="36" t="str">
        <f t="shared" si="50"/>
        <v/>
      </c>
      <c r="J611" s="141" t="str">
        <f t="shared" si="47"/>
        <v/>
      </c>
      <c r="K611" s="141" t="str">
        <f t="shared" si="48"/>
        <v/>
      </c>
      <c r="L611" s="141" t="str">
        <f t="shared" si="49"/>
        <v/>
      </c>
    </row>
    <row r="612" spans="1:12" x14ac:dyDescent="0.3">
      <c r="A612" s="36" t="str">
        <f xml:space="preserve"> IF( 'From SvanPC++'!A612= "", "", ('From SvanPC++'!A612))</f>
        <v/>
      </c>
      <c r="C612" s="47" t="s">
        <v>10</v>
      </c>
      <c r="G612" s="38" t="str">
        <f t="shared" si="46"/>
        <v/>
      </c>
      <c r="H612" s="36" t="str">
        <f t="shared" si="50"/>
        <v/>
      </c>
      <c r="J612" s="141" t="str">
        <f t="shared" si="47"/>
        <v/>
      </c>
      <c r="K612" s="141" t="str">
        <f t="shared" si="48"/>
        <v/>
      </c>
      <c r="L612" s="141" t="str">
        <f t="shared" si="49"/>
        <v/>
      </c>
    </row>
    <row r="613" spans="1:12" x14ac:dyDescent="0.3">
      <c r="A613" s="36" t="str">
        <f xml:space="preserve"> IF( 'From SvanPC++'!A613= "", "", ('From SvanPC++'!A613))</f>
        <v/>
      </c>
      <c r="C613" s="47" t="s">
        <v>10</v>
      </c>
      <c r="G613" s="38" t="str">
        <f t="shared" si="46"/>
        <v/>
      </c>
      <c r="H613" s="36" t="str">
        <f t="shared" si="50"/>
        <v/>
      </c>
      <c r="J613" s="141" t="str">
        <f t="shared" si="47"/>
        <v/>
      </c>
      <c r="K613" s="141" t="str">
        <f t="shared" si="48"/>
        <v/>
      </c>
      <c r="L613" s="141" t="str">
        <f t="shared" si="49"/>
        <v/>
      </c>
    </row>
    <row r="614" spans="1:12" x14ac:dyDescent="0.3">
      <c r="A614" s="36" t="str">
        <f xml:space="preserve"> IF( 'From SvanPC++'!A614= "", "", ('From SvanPC++'!A614))</f>
        <v/>
      </c>
      <c r="C614" s="47" t="s">
        <v>10</v>
      </c>
      <c r="G614" s="38" t="str">
        <f t="shared" si="46"/>
        <v/>
      </c>
      <c r="H614" s="36" t="str">
        <f t="shared" si="50"/>
        <v/>
      </c>
      <c r="J614" s="141" t="str">
        <f t="shared" si="47"/>
        <v/>
      </c>
      <c r="K614" s="141" t="str">
        <f t="shared" si="48"/>
        <v/>
      </c>
      <c r="L614" s="141" t="str">
        <f t="shared" si="49"/>
        <v/>
      </c>
    </row>
    <row r="615" spans="1:12" x14ac:dyDescent="0.3">
      <c r="A615" s="36" t="str">
        <f xml:space="preserve"> IF( 'From SvanPC++'!A615= "", "", ('From SvanPC++'!A615))</f>
        <v/>
      </c>
      <c r="C615" s="47" t="s">
        <v>10</v>
      </c>
      <c r="G615" s="38" t="str">
        <f t="shared" si="46"/>
        <v/>
      </c>
      <c r="H615" s="36" t="str">
        <f t="shared" si="50"/>
        <v/>
      </c>
      <c r="J615" s="141" t="str">
        <f t="shared" si="47"/>
        <v/>
      </c>
      <c r="K615" s="141" t="str">
        <f t="shared" si="48"/>
        <v/>
      </c>
      <c r="L615" s="141" t="str">
        <f t="shared" si="49"/>
        <v/>
      </c>
    </row>
    <row r="616" spans="1:12" x14ac:dyDescent="0.3">
      <c r="A616" s="36" t="str">
        <f xml:space="preserve"> IF( 'From SvanPC++'!A616= "", "", ('From SvanPC++'!A616))</f>
        <v/>
      </c>
      <c r="C616" s="47" t="s">
        <v>10</v>
      </c>
      <c r="G616" s="38" t="str">
        <f t="shared" si="46"/>
        <v/>
      </c>
      <c r="H616" s="36" t="str">
        <f t="shared" si="50"/>
        <v/>
      </c>
      <c r="J616" s="141" t="str">
        <f t="shared" si="47"/>
        <v/>
      </c>
      <c r="K616" s="141" t="str">
        <f t="shared" si="48"/>
        <v/>
      </c>
      <c r="L616" s="141" t="str">
        <f t="shared" si="49"/>
        <v/>
      </c>
    </row>
    <row r="617" spans="1:12" x14ac:dyDescent="0.3">
      <c r="A617" s="36" t="str">
        <f xml:space="preserve"> IF( 'From SvanPC++'!A617= "", "", ('From SvanPC++'!A617))</f>
        <v/>
      </c>
      <c r="C617" s="47" t="s">
        <v>10</v>
      </c>
      <c r="G617" s="38" t="str">
        <f t="shared" si="46"/>
        <v/>
      </c>
      <c r="H617" s="36" t="str">
        <f t="shared" si="50"/>
        <v/>
      </c>
      <c r="J617" s="141" t="str">
        <f t="shared" si="47"/>
        <v/>
      </c>
      <c r="K617" s="141" t="str">
        <f t="shared" si="48"/>
        <v/>
      </c>
      <c r="L617" s="141" t="str">
        <f t="shared" si="49"/>
        <v/>
      </c>
    </row>
    <row r="618" spans="1:12" x14ac:dyDescent="0.3">
      <c r="A618" s="36" t="str">
        <f xml:space="preserve"> IF( 'From SvanPC++'!A618= "", "", ('From SvanPC++'!A618))</f>
        <v/>
      </c>
      <c r="C618" s="47" t="s">
        <v>10</v>
      </c>
      <c r="G618" s="38" t="str">
        <f t="shared" si="46"/>
        <v/>
      </c>
      <c r="H618" s="36" t="str">
        <f t="shared" si="50"/>
        <v/>
      </c>
      <c r="J618" s="141" t="str">
        <f t="shared" si="47"/>
        <v/>
      </c>
      <c r="K618" s="141" t="str">
        <f t="shared" si="48"/>
        <v/>
      </c>
      <c r="L618" s="141" t="str">
        <f t="shared" si="49"/>
        <v/>
      </c>
    </row>
    <row r="619" spans="1:12" x14ac:dyDescent="0.3">
      <c r="A619" s="36" t="str">
        <f xml:space="preserve"> IF( 'From SvanPC++'!A619= "", "", ('From SvanPC++'!A619))</f>
        <v/>
      </c>
      <c r="C619" s="47" t="s">
        <v>10</v>
      </c>
      <c r="G619" s="38" t="str">
        <f t="shared" si="46"/>
        <v/>
      </c>
      <c r="H619" s="36" t="str">
        <f t="shared" si="50"/>
        <v/>
      </c>
      <c r="J619" s="141" t="str">
        <f t="shared" si="47"/>
        <v/>
      </c>
      <c r="K619" s="141" t="str">
        <f t="shared" si="48"/>
        <v/>
      </c>
      <c r="L619" s="141" t="str">
        <f t="shared" si="49"/>
        <v/>
      </c>
    </row>
    <row r="620" spans="1:12" x14ac:dyDescent="0.3">
      <c r="A620" s="36" t="str">
        <f xml:space="preserve"> IF( 'From SvanPC++'!A620= "", "", ('From SvanPC++'!A620))</f>
        <v/>
      </c>
      <c r="C620" s="47" t="s">
        <v>10</v>
      </c>
      <c r="G620" s="38" t="str">
        <f t="shared" si="46"/>
        <v/>
      </c>
      <c r="H620" s="36" t="str">
        <f t="shared" si="50"/>
        <v/>
      </c>
      <c r="J620" s="141" t="str">
        <f t="shared" si="47"/>
        <v/>
      </c>
      <c r="K620" s="141" t="str">
        <f t="shared" si="48"/>
        <v/>
      </c>
      <c r="L620" s="141" t="str">
        <f t="shared" si="49"/>
        <v/>
      </c>
    </row>
    <row r="621" spans="1:12" x14ac:dyDescent="0.3">
      <c r="A621" s="36" t="str">
        <f xml:space="preserve"> IF( 'From SvanPC++'!A621= "", "", ('From SvanPC++'!A621))</f>
        <v/>
      </c>
      <c r="C621" s="47" t="s">
        <v>10</v>
      </c>
      <c r="G621" s="38" t="str">
        <f t="shared" si="46"/>
        <v/>
      </c>
      <c r="H621" s="36" t="str">
        <f t="shared" si="50"/>
        <v/>
      </c>
      <c r="J621" s="141" t="str">
        <f t="shared" si="47"/>
        <v/>
      </c>
      <c r="K621" s="141" t="str">
        <f t="shared" si="48"/>
        <v/>
      </c>
      <c r="L621" s="141" t="str">
        <f t="shared" si="49"/>
        <v/>
      </c>
    </row>
    <row r="622" spans="1:12" x14ac:dyDescent="0.3">
      <c r="A622" s="36" t="str">
        <f xml:space="preserve"> IF( 'From SvanPC++'!A622= "", "", ('From SvanPC++'!A622))</f>
        <v/>
      </c>
      <c r="C622" s="47" t="s">
        <v>10</v>
      </c>
      <c r="G622" s="38" t="str">
        <f t="shared" si="46"/>
        <v/>
      </c>
      <c r="H622" s="36" t="str">
        <f t="shared" si="50"/>
        <v/>
      </c>
      <c r="J622" s="141" t="str">
        <f t="shared" si="47"/>
        <v/>
      </c>
      <c r="K622" s="141" t="str">
        <f t="shared" si="48"/>
        <v/>
      </c>
      <c r="L622" s="141" t="str">
        <f t="shared" si="49"/>
        <v/>
      </c>
    </row>
    <row r="623" spans="1:12" x14ac:dyDescent="0.3">
      <c r="A623" s="36" t="str">
        <f xml:space="preserve"> IF( 'From SvanPC++'!A623= "", "", ('From SvanPC++'!A623))</f>
        <v/>
      </c>
      <c r="C623" s="47" t="s">
        <v>10</v>
      </c>
      <c r="G623" s="38" t="str">
        <f t="shared" si="46"/>
        <v/>
      </c>
      <c r="H623" s="36" t="str">
        <f t="shared" si="50"/>
        <v/>
      </c>
      <c r="J623" s="141" t="str">
        <f t="shared" si="47"/>
        <v/>
      </c>
      <c r="K623" s="141" t="str">
        <f t="shared" si="48"/>
        <v/>
      </c>
      <c r="L623" s="141" t="str">
        <f t="shared" si="49"/>
        <v/>
      </c>
    </row>
    <row r="624" spans="1:12" x14ac:dyDescent="0.3">
      <c r="A624" s="36" t="str">
        <f xml:space="preserve"> IF( 'From SvanPC++'!A624= "", "", ('From SvanPC++'!A624))</f>
        <v/>
      </c>
      <c r="C624" s="47" t="s">
        <v>10</v>
      </c>
      <c r="G624" s="38" t="str">
        <f t="shared" si="46"/>
        <v/>
      </c>
      <c r="H624" s="36" t="str">
        <f t="shared" si="50"/>
        <v/>
      </c>
      <c r="J624" s="141" t="str">
        <f t="shared" si="47"/>
        <v/>
      </c>
      <c r="K624" s="141" t="str">
        <f t="shared" si="48"/>
        <v/>
      </c>
      <c r="L624" s="141" t="str">
        <f t="shared" si="49"/>
        <v/>
      </c>
    </row>
    <row r="625" spans="1:12" x14ac:dyDescent="0.3">
      <c r="A625" s="36" t="str">
        <f xml:space="preserve"> IF( 'From SvanPC++'!A625= "", "", ('From SvanPC++'!A625))</f>
        <v/>
      </c>
      <c r="C625" s="47" t="s">
        <v>10</v>
      </c>
      <c r="G625" s="38" t="str">
        <f t="shared" si="46"/>
        <v/>
      </c>
      <c r="H625" s="36" t="str">
        <f t="shared" si="50"/>
        <v/>
      </c>
      <c r="J625" s="141" t="str">
        <f t="shared" si="47"/>
        <v/>
      </c>
      <c r="K625" s="141" t="str">
        <f t="shared" si="48"/>
        <v/>
      </c>
      <c r="L625" s="141" t="str">
        <f t="shared" si="49"/>
        <v/>
      </c>
    </row>
    <row r="626" spans="1:12" x14ac:dyDescent="0.3">
      <c r="A626" s="36" t="str">
        <f xml:space="preserve"> IF( 'From SvanPC++'!A626= "", "", ('From SvanPC++'!A626))</f>
        <v/>
      </c>
      <c r="C626" s="47" t="s">
        <v>10</v>
      </c>
      <c r="G626" s="38" t="str">
        <f t="shared" si="46"/>
        <v/>
      </c>
      <c r="H626" s="36" t="str">
        <f t="shared" si="50"/>
        <v/>
      </c>
      <c r="J626" s="141" t="str">
        <f t="shared" si="47"/>
        <v/>
      </c>
      <c r="K626" s="141" t="str">
        <f t="shared" si="48"/>
        <v/>
      </c>
      <c r="L626" s="141" t="str">
        <f t="shared" si="49"/>
        <v/>
      </c>
    </row>
    <row r="627" spans="1:12" x14ac:dyDescent="0.3">
      <c r="A627" s="36" t="str">
        <f xml:space="preserve"> IF( 'From SvanPC++'!A627= "", "", ('From SvanPC++'!A627))</f>
        <v/>
      </c>
      <c r="C627" s="47" t="s">
        <v>10</v>
      </c>
      <c r="G627" s="38" t="str">
        <f t="shared" si="46"/>
        <v/>
      </c>
      <c r="H627" s="36" t="str">
        <f t="shared" si="50"/>
        <v/>
      </c>
      <c r="J627" s="141" t="str">
        <f t="shared" si="47"/>
        <v/>
      </c>
      <c r="K627" s="141" t="str">
        <f t="shared" si="48"/>
        <v/>
      </c>
      <c r="L627" s="141" t="str">
        <f t="shared" si="49"/>
        <v/>
      </c>
    </row>
    <row r="628" spans="1:12" x14ac:dyDescent="0.3">
      <c r="A628" s="36" t="str">
        <f xml:space="preserve"> IF( 'From SvanPC++'!A628= "", "", ('From SvanPC++'!A628))</f>
        <v/>
      </c>
      <c r="C628" s="47" t="s">
        <v>10</v>
      </c>
      <c r="G628" s="38" t="str">
        <f t="shared" si="46"/>
        <v/>
      </c>
      <c r="H628" s="36" t="str">
        <f t="shared" si="50"/>
        <v/>
      </c>
      <c r="J628" s="141" t="str">
        <f t="shared" si="47"/>
        <v/>
      </c>
      <c r="K628" s="141" t="str">
        <f t="shared" si="48"/>
        <v/>
      </c>
      <c r="L628" s="141" t="str">
        <f t="shared" si="49"/>
        <v/>
      </c>
    </row>
    <row r="629" spans="1:12" x14ac:dyDescent="0.3">
      <c r="A629" s="36" t="str">
        <f xml:space="preserve"> IF( 'From SvanPC++'!A629= "", "", ('From SvanPC++'!A629))</f>
        <v/>
      </c>
      <c r="C629" s="47" t="s">
        <v>10</v>
      </c>
      <c r="G629" s="38" t="str">
        <f t="shared" si="46"/>
        <v/>
      </c>
      <c r="H629" s="36" t="str">
        <f t="shared" si="50"/>
        <v/>
      </c>
      <c r="J629" s="141" t="str">
        <f t="shared" si="47"/>
        <v/>
      </c>
      <c r="K629" s="141" t="str">
        <f t="shared" si="48"/>
        <v/>
      </c>
      <c r="L629" s="141" t="str">
        <f t="shared" si="49"/>
        <v/>
      </c>
    </row>
    <row r="630" spans="1:12" x14ac:dyDescent="0.3">
      <c r="A630" s="36" t="str">
        <f xml:space="preserve"> IF( 'From SvanPC++'!A630= "", "", ('From SvanPC++'!A630))</f>
        <v/>
      </c>
      <c r="C630" s="47" t="s">
        <v>10</v>
      </c>
      <c r="G630" s="38" t="str">
        <f t="shared" si="46"/>
        <v/>
      </c>
      <c r="H630" s="36" t="str">
        <f t="shared" si="50"/>
        <v/>
      </c>
      <c r="J630" s="141" t="str">
        <f t="shared" si="47"/>
        <v/>
      </c>
      <c r="K630" s="141" t="str">
        <f t="shared" si="48"/>
        <v/>
      </c>
      <c r="L630" s="141" t="str">
        <f t="shared" si="49"/>
        <v/>
      </c>
    </row>
    <row r="631" spans="1:12" x14ac:dyDescent="0.3">
      <c r="A631" s="36" t="str">
        <f xml:space="preserve"> IF( 'From SvanPC++'!A631= "", "", ('From SvanPC++'!A631))</f>
        <v/>
      </c>
      <c r="C631" s="47" t="s">
        <v>10</v>
      </c>
      <c r="G631" s="38" t="str">
        <f t="shared" si="46"/>
        <v/>
      </c>
      <c r="H631" s="36" t="str">
        <f t="shared" si="50"/>
        <v/>
      </c>
      <c r="J631" s="141" t="str">
        <f t="shared" si="47"/>
        <v/>
      </c>
      <c r="K631" s="141" t="str">
        <f t="shared" si="48"/>
        <v/>
      </c>
      <c r="L631" s="141" t="str">
        <f t="shared" si="49"/>
        <v/>
      </c>
    </row>
    <row r="632" spans="1:12" x14ac:dyDescent="0.3">
      <c r="A632" s="36" t="str">
        <f xml:space="preserve"> IF( 'From SvanPC++'!A632= "", "", ('From SvanPC++'!A632))</f>
        <v/>
      </c>
      <c r="C632" s="47" t="s">
        <v>10</v>
      </c>
      <c r="G632" s="38" t="str">
        <f t="shared" si="46"/>
        <v/>
      </c>
      <c r="H632" s="36" t="str">
        <f t="shared" si="50"/>
        <v/>
      </c>
      <c r="J632" s="141" t="str">
        <f t="shared" si="47"/>
        <v/>
      </c>
      <c r="K632" s="141" t="str">
        <f t="shared" si="48"/>
        <v/>
      </c>
      <c r="L632" s="141" t="str">
        <f t="shared" si="49"/>
        <v/>
      </c>
    </row>
    <row r="633" spans="1:12" x14ac:dyDescent="0.3">
      <c r="A633" s="36" t="str">
        <f xml:space="preserve"> IF( 'From SvanPC++'!A633= "", "", ('From SvanPC++'!A633))</f>
        <v/>
      </c>
      <c r="C633" s="47" t="s">
        <v>10</v>
      </c>
      <c r="G633" s="38" t="str">
        <f t="shared" si="46"/>
        <v/>
      </c>
      <c r="H633" s="36" t="str">
        <f t="shared" si="50"/>
        <v/>
      </c>
      <c r="J633" s="141" t="str">
        <f t="shared" si="47"/>
        <v/>
      </c>
      <c r="K633" s="141" t="str">
        <f t="shared" si="48"/>
        <v/>
      </c>
      <c r="L633" s="141" t="str">
        <f t="shared" si="49"/>
        <v/>
      </c>
    </row>
    <row r="634" spans="1:12" x14ac:dyDescent="0.3">
      <c r="A634" s="36" t="str">
        <f xml:space="preserve"> IF( 'From SvanPC++'!A634= "", "", ('From SvanPC++'!A634))</f>
        <v/>
      </c>
      <c r="C634" s="47" t="s">
        <v>10</v>
      </c>
      <c r="G634" s="38" t="str">
        <f t="shared" si="46"/>
        <v/>
      </c>
      <c r="H634" s="36" t="str">
        <f t="shared" si="50"/>
        <v/>
      </c>
      <c r="J634" s="141" t="str">
        <f t="shared" si="47"/>
        <v/>
      </c>
      <c r="K634" s="141" t="str">
        <f t="shared" si="48"/>
        <v/>
      </c>
      <c r="L634" s="141" t="str">
        <f t="shared" si="49"/>
        <v/>
      </c>
    </row>
    <row r="635" spans="1:12" x14ac:dyDescent="0.3">
      <c r="A635" s="36" t="str">
        <f xml:space="preserve"> IF( 'From SvanPC++'!A635= "", "", ('From SvanPC++'!A635))</f>
        <v/>
      </c>
      <c r="C635" s="47" t="s">
        <v>10</v>
      </c>
      <c r="G635" s="38" t="str">
        <f t="shared" si="46"/>
        <v/>
      </c>
      <c r="H635" s="36" t="str">
        <f t="shared" si="50"/>
        <v/>
      </c>
      <c r="J635" s="141" t="str">
        <f t="shared" si="47"/>
        <v/>
      </c>
      <c r="K635" s="141" t="str">
        <f t="shared" si="48"/>
        <v/>
      </c>
      <c r="L635" s="141" t="str">
        <f t="shared" si="49"/>
        <v/>
      </c>
    </row>
    <row r="636" spans="1:12" x14ac:dyDescent="0.3">
      <c r="A636" s="36" t="str">
        <f xml:space="preserve"> IF( 'From SvanPC++'!A636= "", "", ('From SvanPC++'!A636))</f>
        <v/>
      </c>
      <c r="C636" s="47" t="s">
        <v>10</v>
      </c>
      <c r="G636" s="38" t="str">
        <f t="shared" si="46"/>
        <v/>
      </c>
      <c r="H636" s="36" t="str">
        <f t="shared" si="50"/>
        <v/>
      </c>
      <c r="J636" s="141" t="str">
        <f t="shared" si="47"/>
        <v/>
      </c>
      <c r="K636" s="141" t="str">
        <f t="shared" si="48"/>
        <v/>
      </c>
      <c r="L636" s="141" t="str">
        <f t="shared" si="49"/>
        <v/>
      </c>
    </row>
    <row r="637" spans="1:12" x14ac:dyDescent="0.3">
      <c r="A637" s="36" t="str">
        <f xml:space="preserve"> IF( 'From SvanPC++'!A637= "", "", ('From SvanPC++'!A637))</f>
        <v/>
      </c>
      <c r="C637" s="47" t="s">
        <v>10</v>
      </c>
      <c r="G637" s="38" t="str">
        <f t="shared" si="46"/>
        <v/>
      </c>
      <c r="H637" s="36" t="str">
        <f t="shared" si="50"/>
        <v/>
      </c>
      <c r="J637" s="141" t="str">
        <f t="shared" si="47"/>
        <v/>
      </c>
      <c r="K637" s="141" t="str">
        <f t="shared" si="48"/>
        <v/>
      </c>
      <c r="L637" s="141" t="str">
        <f t="shared" si="49"/>
        <v/>
      </c>
    </row>
    <row r="638" spans="1:12" x14ac:dyDescent="0.3">
      <c r="A638" s="36" t="str">
        <f xml:space="preserve"> IF( 'From SvanPC++'!A638= "", "", ('From SvanPC++'!A638))</f>
        <v/>
      </c>
      <c r="C638" s="47" t="s">
        <v>10</v>
      </c>
      <c r="G638" s="38" t="str">
        <f t="shared" si="46"/>
        <v/>
      </c>
      <c r="H638" s="36" t="str">
        <f t="shared" si="50"/>
        <v/>
      </c>
      <c r="J638" s="141" t="str">
        <f t="shared" si="47"/>
        <v/>
      </c>
      <c r="K638" s="141" t="str">
        <f t="shared" si="48"/>
        <v/>
      </c>
      <c r="L638" s="141" t="str">
        <f t="shared" si="49"/>
        <v/>
      </c>
    </row>
    <row r="639" spans="1:12" x14ac:dyDescent="0.3">
      <c r="A639" s="36" t="str">
        <f xml:space="preserve"> IF( 'From SvanPC++'!A639= "", "", ('From SvanPC++'!A639))</f>
        <v/>
      </c>
      <c r="C639" s="47" t="s">
        <v>10</v>
      </c>
      <c r="G639" s="38" t="str">
        <f t="shared" si="46"/>
        <v/>
      </c>
      <c r="H639" s="36" t="str">
        <f t="shared" si="50"/>
        <v/>
      </c>
      <c r="J639" s="141" t="str">
        <f t="shared" si="47"/>
        <v/>
      </c>
      <c r="K639" s="141" t="str">
        <f t="shared" si="48"/>
        <v/>
      </c>
      <c r="L639" s="141" t="str">
        <f t="shared" si="49"/>
        <v/>
      </c>
    </row>
    <row r="640" spans="1:12" x14ac:dyDescent="0.3">
      <c r="A640" s="36" t="str">
        <f xml:space="preserve"> IF( 'From SvanPC++'!A640= "", "", ('From SvanPC++'!A640))</f>
        <v/>
      </c>
      <c r="C640" s="47" t="s">
        <v>10</v>
      </c>
      <c r="G640" s="38" t="str">
        <f t="shared" si="46"/>
        <v/>
      </c>
      <c r="H640" s="36" t="str">
        <f t="shared" si="50"/>
        <v/>
      </c>
      <c r="J640" s="141" t="str">
        <f t="shared" si="47"/>
        <v/>
      </c>
      <c r="K640" s="141" t="str">
        <f t="shared" si="48"/>
        <v/>
      </c>
      <c r="L640" s="141" t="str">
        <f t="shared" si="49"/>
        <v/>
      </c>
    </row>
    <row r="641" spans="1:12" x14ac:dyDescent="0.3">
      <c r="A641" s="36" t="str">
        <f xml:space="preserve"> IF( 'From SvanPC++'!A641= "", "", ('From SvanPC++'!A641))</f>
        <v/>
      </c>
      <c r="C641" s="47" t="s">
        <v>10</v>
      </c>
      <c r="G641" s="38" t="str">
        <f t="shared" si="46"/>
        <v/>
      </c>
      <c r="H641" s="36" t="str">
        <f t="shared" si="50"/>
        <v/>
      </c>
      <c r="J641" s="141" t="str">
        <f t="shared" si="47"/>
        <v/>
      </c>
      <c r="K641" s="141" t="str">
        <f t="shared" si="48"/>
        <v/>
      </c>
      <c r="L641" s="141" t="str">
        <f t="shared" si="49"/>
        <v/>
      </c>
    </row>
    <row r="642" spans="1:12" x14ac:dyDescent="0.3">
      <c r="A642" s="36" t="str">
        <f xml:space="preserve"> IF( 'From SvanPC++'!A642= "", "", ('From SvanPC++'!A642))</f>
        <v/>
      </c>
      <c r="C642" s="47" t="s">
        <v>10</v>
      </c>
      <c r="G642" s="38" t="str">
        <f t="shared" si="46"/>
        <v/>
      </c>
      <c r="H642" s="36" t="str">
        <f t="shared" si="50"/>
        <v/>
      </c>
      <c r="J642" s="141" t="str">
        <f t="shared" si="47"/>
        <v/>
      </c>
      <c r="K642" s="141" t="str">
        <f t="shared" si="48"/>
        <v/>
      </c>
      <c r="L642" s="141" t="str">
        <f t="shared" si="49"/>
        <v/>
      </c>
    </row>
    <row r="643" spans="1:12" x14ac:dyDescent="0.3">
      <c r="A643" s="36" t="str">
        <f xml:space="preserve"> IF( 'From SvanPC++'!A643= "", "", ('From SvanPC++'!A643))</f>
        <v/>
      </c>
      <c r="C643" s="47" t="s">
        <v>10</v>
      </c>
      <c r="G643" s="38" t="str">
        <f t="shared" si="46"/>
        <v/>
      </c>
      <c r="H643" s="36" t="str">
        <f t="shared" si="50"/>
        <v/>
      </c>
      <c r="J643" s="141" t="str">
        <f t="shared" si="47"/>
        <v/>
      </c>
      <c r="K643" s="141" t="str">
        <f t="shared" si="48"/>
        <v/>
      </c>
      <c r="L643" s="141" t="str">
        <f t="shared" si="49"/>
        <v/>
      </c>
    </row>
    <row r="644" spans="1:12" x14ac:dyDescent="0.3">
      <c r="A644" s="36" t="str">
        <f xml:space="preserve"> IF( 'From SvanPC++'!A644= "", "", ('From SvanPC++'!A644))</f>
        <v/>
      </c>
      <c r="C644" s="47" t="s">
        <v>10</v>
      </c>
      <c r="G644" s="38" t="str">
        <f t="shared" si="46"/>
        <v/>
      </c>
      <c r="H644" s="36" t="str">
        <f t="shared" si="50"/>
        <v/>
      </c>
      <c r="J644" s="141" t="str">
        <f t="shared" si="47"/>
        <v/>
      </c>
      <c r="K644" s="141" t="str">
        <f t="shared" si="48"/>
        <v/>
      </c>
      <c r="L644" s="141" t="str">
        <f t="shared" si="49"/>
        <v/>
      </c>
    </row>
    <row r="645" spans="1:12" x14ac:dyDescent="0.3">
      <c r="A645" s="36" t="str">
        <f xml:space="preserve"> IF( 'From SvanPC++'!A645= "", "", ('From SvanPC++'!A645))</f>
        <v/>
      </c>
      <c r="C645" s="47" t="s">
        <v>10</v>
      </c>
      <c r="G645" s="38" t="str">
        <f t="shared" si="46"/>
        <v/>
      </c>
      <c r="H645" s="36" t="str">
        <f t="shared" si="50"/>
        <v/>
      </c>
      <c r="J645" s="141" t="str">
        <f t="shared" si="47"/>
        <v/>
      </c>
      <c r="K645" s="141" t="str">
        <f t="shared" si="48"/>
        <v/>
      </c>
      <c r="L645" s="141" t="str">
        <f t="shared" si="49"/>
        <v/>
      </c>
    </row>
    <row r="646" spans="1:12" x14ac:dyDescent="0.3">
      <c r="A646" s="36" t="str">
        <f xml:space="preserve"> IF( 'From SvanPC++'!A646= "", "", ('From SvanPC++'!A646))</f>
        <v/>
      </c>
      <c r="C646" s="47" t="s">
        <v>10</v>
      </c>
      <c r="G646" s="38" t="str">
        <f t="shared" si="46"/>
        <v/>
      </c>
      <c r="H646" s="36" t="str">
        <f t="shared" si="50"/>
        <v/>
      </c>
      <c r="J646" s="141" t="str">
        <f t="shared" si="47"/>
        <v/>
      </c>
      <c r="K646" s="141" t="str">
        <f t="shared" si="48"/>
        <v/>
      </c>
      <c r="L646" s="141" t="str">
        <f t="shared" si="49"/>
        <v/>
      </c>
    </row>
    <row r="647" spans="1:12" x14ac:dyDescent="0.3">
      <c r="A647" s="36" t="str">
        <f xml:space="preserve"> IF( 'From SvanPC++'!A647= "", "", ('From SvanPC++'!A647))</f>
        <v/>
      </c>
      <c r="C647" s="47" t="s">
        <v>10</v>
      </c>
      <c r="G647" s="38" t="str">
        <f t="shared" ref="G647:G710" si="51" xml:space="preserve"> IF( D647= "", "", ( IF( AND( D647 &gt;= TIMEVALUE( "07:00:01" ), D647 &lt; TIMEVALUE( "08:00:01" ) ) = TRUE, (G646+1), (G646+0) )))</f>
        <v/>
      </c>
      <c r="H647" s="36" t="str">
        <f t="shared" si="50"/>
        <v/>
      </c>
      <c r="J647" s="141" t="str">
        <f t="shared" si="47"/>
        <v/>
      </c>
      <c r="K647" s="141" t="str">
        <f t="shared" si="48"/>
        <v/>
      </c>
      <c r="L647" s="141" t="str">
        <f t="shared" si="49"/>
        <v/>
      </c>
    </row>
    <row r="648" spans="1:12" x14ac:dyDescent="0.3">
      <c r="A648" s="36" t="str">
        <f xml:space="preserve"> IF( 'From SvanPC++'!A648= "", "", ('From SvanPC++'!A648))</f>
        <v/>
      </c>
      <c r="C648" s="47" t="s">
        <v>10</v>
      </c>
      <c r="G648" s="38" t="str">
        <f t="shared" si="51"/>
        <v/>
      </c>
      <c r="H648" s="36" t="str">
        <f t="shared" si="50"/>
        <v/>
      </c>
      <c r="J648" s="141" t="str">
        <f t="shared" ref="J648:J711" si="52" xml:space="preserve"> IF( ISERROR( IF( D648= "", "", ( IF( G648= (G647+1), ( AVERAGEIFS( E648:E792, G648:G792, G648, H648:H792, "Day" )), "" )))), "",( IF( D648= "", "", ( IF( G648= (G647+1), ( AVERAGEIFS( E648:E792, G648:G792, G648, H648:H792, "Day" )), "" )))))</f>
        <v/>
      </c>
      <c r="K648" s="141" t="str">
        <f t="shared" ref="K648:K711" si="53" xml:space="preserve"> IF( ISERROR( IF( D648= "", "", ( IF( G648= (G647+1), ( AVERAGEIFS( E648:E792, G648:G792, G648, H648:H792, "Evening" )), "" )))), "",( IF( D648= "", "", ( IF( G648= (G647+1), ( AVERAGEIFS( E648:E792, G648:G792, G648, H648:H792, "Evening" )), "" )))))</f>
        <v/>
      </c>
      <c r="L648" s="141" t="str">
        <f t="shared" ref="L648:L711" si="54" xml:space="preserve"> IF( ISERROR( IF( D648= "", "", ( IF( G648= (G647+1), ( AVERAGEIFS( E648:E792, G648:G792, G648, H648:H792, "Night" )), "" )))), "",( IF( D648= "", "", ( IF( G648= (G647+1), ( AVERAGEIFS( E648:E792, G648:G792, G648, H648:H792, "Night" )), "" )))))</f>
        <v/>
      </c>
    </row>
    <row r="649" spans="1:12" x14ac:dyDescent="0.3">
      <c r="A649" s="36" t="str">
        <f xml:space="preserve"> IF( 'From SvanPC++'!A649= "", "", ('From SvanPC++'!A649))</f>
        <v/>
      </c>
      <c r="C649" s="47" t="s">
        <v>10</v>
      </c>
      <c r="G649" s="38" t="str">
        <f t="shared" si="51"/>
        <v/>
      </c>
      <c r="H649" s="36" t="str">
        <f t="shared" si="50"/>
        <v/>
      </c>
      <c r="J649" s="141" t="str">
        <f t="shared" si="52"/>
        <v/>
      </c>
      <c r="K649" s="141" t="str">
        <f t="shared" si="53"/>
        <v/>
      </c>
      <c r="L649" s="141" t="str">
        <f t="shared" si="54"/>
        <v/>
      </c>
    </row>
    <row r="650" spans="1:12" x14ac:dyDescent="0.3">
      <c r="A650" s="36" t="str">
        <f xml:space="preserve"> IF( 'From SvanPC++'!A650= "", "", ('From SvanPC++'!A650))</f>
        <v/>
      </c>
      <c r="C650" s="47" t="s">
        <v>10</v>
      </c>
      <c r="G650" s="38" t="str">
        <f t="shared" si="51"/>
        <v/>
      </c>
      <c r="H650" s="36" t="str">
        <f t="shared" si="50"/>
        <v/>
      </c>
      <c r="J650" s="141" t="str">
        <f t="shared" si="52"/>
        <v/>
      </c>
      <c r="K650" s="141" t="str">
        <f t="shared" si="53"/>
        <v/>
      </c>
      <c r="L650" s="141" t="str">
        <f t="shared" si="54"/>
        <v/>
      </c>
    </row>
    <row r="651" spans="1:12" x14ac:dyDescent="0.3">
      <c r="A651" s="36" t="str">
        <f xml:space="preserve"> IF( 'From SvanPC++'!A651= "", "", ('From SvanPC++'!A651))</f>
        <v/>
      </c>
      <c r="C651" s="47" t="s">
        <v>10</v>
      </c>
      <c r="G651" s="38" t="str">
        <f t="shared" si="51"/>
        <v/>
      </c>
      <c r="H651" s="36" t="str">
        <f t="shared" si="50"/>
        <v/>
      </c>
      <c r="J651" s="141" t="str">
        <f t="shared" si="52"/>
        <v/>
      </c>
      <c r="K651" s="141" t="str">
        <f t="shared" si="53"/>
        <v/>
      </c>
      <c r="L651" s="141" t="str">
        <f t="shared" si="54"/>
        <v/>
      </c>
    </row>
    <row r="652" spans="1:12" x14ac:dyDescent="0.3">
      <c r="A652" s="36" t="str">
        <f xml:space="preserve"> IF( 'From SvanPC++'!A652= "", "", ('From SvanPC++'!A652))</f>
        <v/>
      </c>
      <c r="C652" s="47" t="s">
        <v>10</v>
      </c>
      <c r="G652" s="38" t="str">
        <f t="shared" si="51"/>
        <v/>
      </c>
      <c r="H652" s="36" t="str">
        <f t="shared" si="50"/>
        <v/>
      </c>
      <c r="J652" s="141" t="str">
        <f t="shared" si="52"/>
        <v/>
      </c>
      <c r="K652" s="141" t="str">
        <f t="shared" si="53"/>
        <v/>
      </c>
      <c r="L652" s="141" t="str">
        <f t="shared" si="54"/>
        <v/>
      </c>
    </row>
    <row r="653" spans="1:12" x14ac:dyDescent="0.3">
      <c r="A653" s="36" t="str">
        <f xml:space="preserve"> IF( 'From SvanPC++'!A653= "", "", ('From SvanPC++'!A653))</f>
        <v/>
      </c>
      <c r="C653" s="47" t="s">
        <v>10</v>
      </c>
      <c r="G653" s="38" t="str">
        <f t="shared" si="51"/>
        <v/>
      </c>
      <c r="H653" s="36" t="str">
        <f t="shared" si="50"/>
        <v/>
      </c>
      <c r="J653" s="141" t="str">
        <f t="shared" si="52"/>
        <v/>
      </c>
      <c r="K653" s="141" t="str">
        <f t="shared" si="53"/>
        <v/>
      </c>
      <c r="L653" s="141" t="str">
        <f t="shared" si="54"/>
        <v/>
      </c>
    </row>
    <row r="654" spans="1:12" x14ac:dyDescent="0.3">
      <c r="A654" s="36" t="str">
        <f xml:space="preserve"> IF( 'From SvanPC++'!A654= "", "", ('From SvanPC++'!A654))</f>
        <v/>
      </c>
      <c r="C654" s="47" t="s">
        <v>10</v>
      </c>
      <c r="G654" s="38" t="str">
        <f t="shared" si="51"/>
        <v/>
      </c>
      <c r="H654" s="36" t="str">
        <f t="shared" si="50"/>
        <v/>
      </c>
      <c r="J654" s="141" t="str">
        <f t="shared" si="52"/>
        <v/>
      </c>
      <c r="K654" s="141" t="str">
        <f t="shared" si="53"/>
        <v/>
      </c>
      <c r="L654" s="141" t="str">
        <f t="shared" si="54"/>
        <v/>
      </c>
    </row>
    <row r="655" spans="1:12" x14ac:dyDescent="0.3">
      <c r="A655" s="36" t="str">
        <f xml:space="preserve"> IF( 'From SvanPC++'!A655= "", "", ('From SvanPC++'!A655))</f>
        <v/>
      </c>
      <c r="C655" s="47" t="s">
        <v>10</v>
      </c>
      <c r="G655" s="38" t="str">
        <f t="shared" si="51"/>
        <v/>
      </c>
      <c r="H655" s="36" t="str">
        <f t="shared" si="50"/>
        <v/>
      </c>
      <c r="J655" s="141" t="str">
        <f t="shared" si="52"/>
        <v/>
      </c>
      <c r="K655" s="141" t="str">
        <f t="shared" si="53"/>
        <v/>
      </c>
      <c r="L655" s="141" t="str">
        <f t="shared" si="54"/>
        <v/>
      </c>
    </row>
    <row r="656" spans="1:12" x14ac:dyDescent="0.3">
      <c r="A656" s="36" t="str">
        <f xml:space="preserve"> IF( 'From SvanPC++'!A656= "", "", ('From SvanPC++'!A656))</f>
        <v/>
      </c>
      <c r="C656" s="47" t="s">
        <v>10</v>
      </c>
      <c r="G656" s="38" t="str">
        <f t="shared" si="51"/>
        <v/>
      </c>
      <c r="H656" s="36" t="str">
        <f t="shared" si="50"/>
        <v/>
      </c>
      <c r="J656" s="141" t="str">
        <f t="shared" si="52"/>
        <v/>
      </c>
      <c r="K656" s="141" t="str">
        <f t="shared" si="53"/>
        <v/>
      </c>
      <c r="L656" s="141" t="str">
        <f t="shared" si="54"/>
        <v/>
      </c>
    </row>
    <row r="657" spans="1:12" x14ac:dyDescent="0.3">
      <c r="A657" s="36" t="str">
        <f xml:space="preserve"> IF( 'From SvanPC++'!A657= "", "", ('From SvanPC++'!A657))</f>
        <v/>
      </c>
      <c r="C657" s="47" t="s">
        <v>10</v>
      </c>
      <c r="G657" s="38" t="str">
        <f t="shared" si="51"/>
        <v/>
      </c>
      <c r="H657" s="36" t="str">
        <f t="shared" si="50"/>
        <v/>
      </c>
      <c r="J657" s="141" t="str">
        <f t="shared" si="52"/>
        <v/>
      </c>
      <c r="K657" s="141" t="str">
        <f t="shared" si="53"/>
        <v/>
      </c>
      <c r="L657" s="141" t="str">
        <f t="shared" si="54"/>
        <v/>
      </c>
    </row>
    <row r="658" spans="1:12" x14ac:dyDescent="0.3">
      <c r="A658" s="36" t="str">
        <f xml:space="preserve"> IF( 'From SvanPC++'!A658= "", "", ('From SvanPC++'!A658))</f>
        <v/>
      </c>
      <c r="C658" s="47" t="s">
        <v>10</v>
      </c>
      <c r="G658" s="38" t="str">
        <f t="shared" si="51"/>
        <v/>
      </c>
      <c r="H658" s="36" t="str">
        <f t="shared" si="50"/>
        <v/>
      </c>
      <c r="J658" s="141" t="str">
        <f t="shared" si="52"/>
        <v/>
      </c>
      <c r="K658" s="141" t="str">
        <f t="shared" si="53"/>
        <v/>
      </c>
      <c r="L658" s="141" t="str">
        <f t="shared" si="54"/>
        <v/>
      </c>
    </row>
    <row r="659" spans="1:12" x14ac:dyDescent="0.3">
      <c r="A659" s="36" t="str">
        <f xml:space="preserve"> IF( 'From SvanPC++'!A659= "", "", ('From SvanPC++'!A659))</f>
        <v/>
      </c>
      <c r="C659" s="47" t="s">
        <v>10</v>
      </c>
      <c r="G659" s="38" t="str">
        <f t="shared" si="51"/>
        <v/>
      </c>
      <c r="H659" s="36" t="str">
        <f t="shared" si="50"/>
        <v/>
      </c>
      <c r="J659" s="141" t="str">
        <f t="shared" si="52"/>
        <v/>
      </c>
      <c r="K659" s="141" t="str">
        <f t="shared" si="53"/>
        <v/>
      </c>
      <c r="L659" s="141" t="str">
        <f t="shared" si="54"/>
        <v/>
      </c>
    </row>
    <row r="660" spans="1:12" x14ac:dyDescent="0.3">
      <c r="A660" s="36" t="str">
        <f xml:space="preserve"> IF( 'From SvanPC++'!A660= "", "", ('From SvanPC++'!A660))</f>
        <v/>
      </c>
      <c r="C660" s="47" t="s">
        <v>10</v>
      </c>
      <c r="G660" s="38" t="str">
        <f t="shared" si="51"/>
        <v/>
      </c>
      <c r="H660" s="36" t="str">
        <f t="shared" si="50"/>
        <v/>
      </c>
      <c r="J660" s="141" t="str">
        <f t="shared" si="52"/>
        <v/>
      </c>
      <c r="K660" s="141" t="str">
        <f t="shared" si="53"/>
        <v/>
      </c>
      <c r="L660" s="141" t="str">
        <f t="shared" si="54"/>
        <v/>
      </c>
    </row>
    <row r="661" spans="1:12" x14ac:dyDescent="0.3">
      <c r="A661" s="36" t="str">
        <f xml:space="preserve"> IF( 'From SvanPC++'!A661= "", "", ('From SvanPC++'!A661))</f>
        <v/>
      </c>
      <c r="C661" s="47" t="s">
        <v>10</v>
      </c>
      <c r="G661" s="38" t="str">
        <f t="shared" si="51"/>
        <v/>
      </c>
      <c r="H661" s="36" t="str">
        <f t="shared" si="50"/>
        <v/>
      </c>
      <c r="J661" s="141" t="str">
        <f t="shared" si="52"/>
        <v/>
      </c>
      <c r="K661" s="141" t="str">
        <f t="shared" si="53"/>
        <v/>
      </c>
      <c r="L661" s="141" t="str">
        <f t="shared" si="54"/>
        <v/>
      </c>
    </row>
    <row r="662" spans="1:12" x14ac:dyDescent="0.3">
      <c r="A662" s="36" t="str">
        <f xml:space="preserve"> IF( 'From SvanPC++'!A662= "", "", ('From SvanPC++'!A662))</f>
        <v/>
      </c>
      <c r="C662" s="47" t="s">
        <v>10</v>
      </c>
      <c r="G662" s="38" t="str">
        <f t="shared" si="51"/>
        <v/>
      </c>
      <c r="H662" s="36" t="str">
        <f t="shared" si="50"/>
        <v/>
      </c>
      <c r="J662" s="141" t="str">
        <f t="shared" si="52"/>
        <v/>
      </c>
      <c r="K662" s="141" t="str">
        <f t="shared" si="53"/>
        <v/>
      </c>
      <c r="L662" s="141" t="str">
        <f t="shared" si="54"/>
        <v/>
      </c>
    </row>
    <row r="663" spans="1:12" x14ac:dyDescent="0.3">
      <c r="A663" s="36" t="str">
        <f xml:space="preserve"> IF( 'From SvanPC++'!A663= "", "", ('From SvanPC++'!A663))</f>
        <v/>
      </c>
      <c r="C663" s="47" t="s">
        <v>10</v>
      </c>
      <c r="G663" s="38" t="str">
        <f t="shared" si="51"/>
        <v/>
      </c>
      <c r="H663" s="36" t="str">
        <f t="shared" ref="H663:H726" si="55" xml:space="preserve"> IF( D663= "", "", ( IF( AND( D663 &gt;= TIMEVALUE( "07:00:01" ), D663 &lt;= TIMEVALUE( "13:00:00" ), WEEKDAY( C663) =(7+N("Lines 2-17 = saturday day period")) ) = TRUE, "Day",
IF( AND( D663 &gt;= TIMEVALUE( "07:00:01" ), D663 &lt;= TIMEVALUE( "18:00:00" ), WEEKDAY( C663,1+N("Lines 19-38 = weekday day period")) &gt;=2, ( WEEKDAY( C663,1) &lt;=6) ) = TRUE, "Day",
IF( AND( D663 &gt;= TIMEVALUE( "13:00:01" ), D663 &lt;= TIMEVALUE( "22:00:00" ), WEEKDAY( C663) =(7+N("Lines 40-56 = saturday evening period")) ) = TRUE, "Evening",
IF( AND( D663 &gt;= TIMEVALUE( "18:00:01" ), D663 &lt;= TIMEVALUE( "22:00:00" ), WEEKDAY( C663,1+N("Lines 57-77 = weekday evening period")) &gt;=2, ( WEEKDAY( C663,1) &lt;=6) ) = TRUE, "Evening",
IF( AND( D663 &gt;= TIMEVALUE( "07:00:01" ), D663 &lt;= TIMEVALUE( "22:00:00" ), WEEKDAY( C663) =(1+N("Lines 78-94 = sunday evening period")) ) = TRUE, "Evening",
IF( AND( D663 &gt;= TIMEVALUE( "22:00:01" ), D663 &lt;= TIMEVALUE( "23:59:59" ), WEEKDAY( C663) =(7+N("Lines 95-111 = saturday night1 period")) ) = TRUE, "Night",
IF( AND( D663 &gt;= TIMEVALUE( "00:00:00" ), D663 &lt;= TIMEVALUE( "07:00:00" ), WEEKDAY( C663) =(7+N("Lines 112-128 = saturday night2 period")) ) = TRUE, "Night",
IF( AND( D663 &gt;= TIMEVALUE( "22:00:01" ), D663 &lt;= TIMEVALUE( "23:59:59" ), WEEKDAY( C663,1+N("Lines 129-149 = weekday night1 period")) &gt;=2, ( WEEKDAY( C663,1) &lt;=6) ) = TRUE, "Night",
IF( AND( D663 &gt;= TIMEVALUE( "00:00:00" ), D663 &lt;= TIMEVALUE( "07:00:00" ), WEEKDAY( C663,1+N("Lines 150-170 = weekday night2 period")) &gt;=2, ( WEEKDAY( C663,1) &lt;=6) ) = TRUE, "Night",
IF( AND( D663 &gt;= TIMEVALUE( "20:00:01" ), D663 &lt;= TIMEVALUE( "23:59:59" ), WEEKDAY( C663) =(1+N("Lines 171-187 = sunday night1 period")) ) = TRUE, "Night",
IF( AND( D663 &gt;= TIMEVALUE( "00:00:00" ), D663 &lt;= TIMEVALUE( "07:00:00" ), WEEKDAY( C663) =(1+N("Lines 188-204 = sunday night2 period")) ) = TRUE, "Night", )))))))))))))</f>
        <v/>
      </c>
      <c r="J663" s="141" t="str">
        <f t="shared" si="52"/>
        <v/>
      </c>
      <c r="K663" s="141" t="str">
        <f t="shared" si="53"/>
        <v/>
      </c>
      <c r="L663" s="141" t="str">
        <f t="shared" si="54"/>
        <v/>
      </c>
    </row>
    <row r="664" spans="1:12" x14ac:dyDescent="0.3">
      <c r="A664" s="36" t="str">
        <f xml:space="preserve"> IF( 'From SvanPC++'!A664= "", "", ('From SvanPC++'!A664))</f>
        <v/>
      </c>
      <c r="C664" s="47" t="s">
        <v>10</v>
      </c>
      <c r="G664" s="38" t="str">
        <f t="shared" si="51"/>
        <v/>
      </c>
      <c r="H664" s="36" t="str">
        <f t="shared" si="55"/>
        <v/>
      </c>
      <c r="J664" s="141" t="str">
        <f t="shared" si="52"/>
        <v/>
      </c>
      <c r="K664" s="141" t="str">
        <f t="shared" si="53"/>
        <v/>
      </c>
      <c r="L664" s="141" t="str">
        <f t="shared" si="54"/>
        <v/>
      </c>
    </row>
    <row r="665" spans="1:12" x14ac:dyDescent="0.3">
      <c r="A665" s="36" t="str">
        <f xml:space="preserve"> IF( 'From SvanPC++'!A665= "", "", ('From SvanPC++'!A665))</f>
        <v/>
      </c>
      <c r="C665" s="47" t="s">
        <v>10</v>
      </c>
      <c r="G665" s="38" t="str">
        <f t="shared" si="51"/>
        <v/>
      </c>
      <c r="H665" s="36" t="str">
        <f t="shared" si="55"/>
        <v/>
      </c>
      <c r="J665" s="141" t="str">
        <f t="shared" si="52"/>
        <v/>
      </c>
      <c r="K665" s="141" t="str">
        <f t="shared" si="53"/>
        <v/>
      </c>
      <c r="L665" s="141" t="str">
        <f t="shared" si="54"/>
        <v/>
      </c>
    </row>
    <row r="666" spans="1:12" x14ac:dyDescent="0.3">
      <c r="A666" s="36" t="str">
        <f xml:space="preserve"> IF( 'From SvanPC++'!A666= "", "", ('From SvanPC++'!A666))</f>
        <v/>
      </c>
      <c r="C666" s="47" t="s">
        <v>10</v>
      </c>
      <c r="G666" s="38" t="str">
        <f t="shared" si="51"/>
        <v/>
      </c>
      <c r="H666" s="36" t="str">
        <f t="shared" si="55"/>
        <v/>
      </c>
      <c r="J666" s="141" t="str">
        <f t="shared" si="52"/>
        <v/>
      </c>
      <c r="K666" s="141" t="str">
        <f t="shared" si="53"/>
        <v/>
      </c>
      <c r="L666" s="141" t="str">
        <f t="shared" si="54"/>
        <v/>
      </c>
    </row>
    <row r="667" spans="1:12" x14ac:dyDescent="0.3">
      <c r="A667" s="36" t="str">
        <f xml:space="preserve"> IF( 'From SvanPC++'!A667= "", "", ('From SvanPC++'!A667))</f>
        <v/>
      </c>
      <c r="C667" s="47" t="s">
        <v>10</v>
      </c>
      <c r="G667" s="38" t="str">
        <f t="shared" si="51"/>
        <v/>
      </c>
      <c r="H667" s="36" t="str">
        <f t="shared" si="55"/>
        <v/>
      </c>
      <c r="J667" s="141" t="str">
        <f t="shared" si="52"/>
        <v/>
      </c>
      <c r="K667" s="141" t="str">
        <f t="shared" si="53"/>
        <v/>
      </c>
      <c r="L667" s="141" t="str">
        <f t="shared" si="54"/>
        <v/>
      </c>
    </row>
    <row r="668" spans="1:12" x14ac:dyDescent="0.3">
      <c r="A668" s="36" t="str">
        <f xml:space="preserve"> IF( 'From SvanPC++'!A668= "", "", ('From SvanPC++'!A668))</f>
        <v/>
      </c>
      <c r="C668" s="47" t="s">
        <v>10</v>
      </c>
      <c r="G668" s="38" t="str">
        <f t="shared" si="51"/>
        <v/>
      </c>
      <c r="H668" s="36" t="str">
        <f t="shared" si="55"/>
        <v/>
      </c>
      <c r="J668" s="141" t="str">
        <f t="shared" si="52"/>
        <v/>
      </c>
      <c r="K668" s="141" t="str">
        <f t="shared" si="53"/>
        <v/>
      </c>
      <c r="L668" s="141" t="str">
        <f t="shared" si="54"/>
        <v/>
      </c>
    </row>
    <row r="669" spans="1:12" x14ac:dyDescent="0.3">
      <c r="A669" s="36" t="str">
        <f xml:space="preserve"> IF( 'From SvanPC++'!A669= "", "", ('From SvanPC++'!A669))</f>
        <v/>
      </c>
      <c r="C669" s="47" t="s">
        <v>10</v>
      </c>
      <c r="G669" s="38" t="str">
        <f t="shared" si="51"/>
        <v/>
      </c>
      <c r="H669" s="36" t="str">
        <f t="shared" si="55"/>
        <v/>
      </c>
      <c r="J669" s="141" t="str">
        <f t="shared" si="52"/>
        <v/>
      </c>
      <c r="K669" s="141" t="str">
        <f t="shared" si="53"/>
        <v/>
      </c>
      <c r="L669" s="141" t="str">
        <f t="shared" si="54"/>
        <v/>
      </c>
    </row>
    <row r="670" spans="1:12" x14ac:dyDescent="0.3">
      <c r="A670" s="36" t="str">
        <f xml:space="preserve"> IF( 'From SvanPC++'!A670= "", "", ('From SvanPC++'!A670))</f>
        <v/>
      </c>
      <c r="C670" s="47" t="s">
        <v>10</v>
      </c>
      <c r="G670" s="38" t="str">
        <f t="shared" si="51"/>
        <v/>
      </c>
      <c r="H670" s="36" t="str">
        <f t="shared" si="55"/>
        <v/>
      </c>
      <c r="J670" s="141" t="str">
        <f t="shared" si="52"/>
        <v/>
      </c>
      <c r="K670" s="141" t="str">
        <f t="shared" si="53"/>
        <v/>
      </c>
      <c r="L670" s="141" t="str">
        <f t="shared" si="54"/>
        <v/>
      </c>
    </row>
    <row r="671" spans="1:12" x14ac:dyDescent="0.3">
      <c r="A671" s="36" t="str">
        <f xml:space="preserve"> IF( 'From SvanPC++'!A671= "", "", ('From SvanPC++'!A671))</f>
        <v/>
      </c>
      <c r="C671" s="47" t="s">
        <v>10</v>
      </c>
      <c r="G671" s="38" t="str">
        <f t="shared" si="51"/>
        <v/>
      </c>
      <c r="H671" s="36" t="str">
        <f t="shared" si="55"/>
        <v/>
      </c>
      <c r="J671" s="141" t="str">
        <f t="shared" si="52"/>
        <v/>
      </c>
      <c r="K671" s="141" t="str">
        <f t="shared" si="53"/>
        <v/>
      </c>
      <c r="L671" s="141" t="str">
        <f t="shared" si="54"/>
        <v/>
      </c>
    </row>
    <row r="672" spans="1:12" x14ac:dyDescent="0.3">
      <c r="A672" s="36" t="str">
        <f xml:space="preserve"> IF( 'From SvanPC++'!A672= "", "", ('From SvanPC++'!A672))</f>
        <v/>
      </c>
      <c r="C672" s="47" t="s">
        <v>10</v>
      </c>
      <c r="G672" s="38" t="str">
        <f t="shared" si="51"/>
        <v/>
      </c>
      <c r="H672" s="36" t="str">
        <f t="shared" si="55"/>
        <v/>
      </c>
      <c r="J672" s="141" t="str">
        <f t="shared" si="52"/>
        <v/>
      </c>
      <c r="K672" s="141" t="str">
        <f t="shared" si="53"/>
        <v/>
      </c>
      <c r="L672" s="141" t="str">
        <f t="shared" si="54"/>
        <v/>
      </c>
    </row>
    <row r="673" spans="1:12" x14ac:dyDescent="0.3">
      <c r="A673" s="36" t="str">
        <f xml:space="preserve"> IF( 'From SvanPC++'!A673= "", "", ('From SvanPC++'!A673))</f>
        <v/>
      </c>
      <c r="C673" s="47" t="s">
        <v>10</v>
      </c>
      <c r="G673" s="38" t="str">
        <f t="shared" si="51"/>
        <v/>
      </c>
      <c r="H673" s="36" t="str">
        <f t="shared" si="55"/>
        <v/>
      </c>
      <c r="J673" s="141" t="str">
        <f t="shared" si="52"/>
        <v/>
      </c>
      <c r="K673" s="141" t="str">
        <f t="shared" si="53"/>
        <v/>
      </c>
      <c r="L673" s="141" t="str">
        <f t="shared" si="54"/>
        <v/>
      </c>
    </row>
    <row r="674" spans="1:12" x14ac:dyDescent="0.3">
      <c r="A674" s="36" t="str">
        <f xml:space="preserve"> IF( 'From SvanPC++'!A674= "", "", ('From SvanPC++'!A674))</f>
        <v/>
      </c>
      <c r="C674" s="47" t="s">
        <v>10</v>
      </c>
      <c r="G674" s="38" t="str">
        <f t="shared" si="51"/>
        <v/>
      </c>
      <c r="H674" s="36" t="str">
        <f t="shared" si="55"/>
        <v/>
      </c>
      <c r="J674" s="141" t="str">
        <f t="shared" si="52"/>
        <v/>
      </c>
      <c r="K674" s="141" t="str">
        <f t="shared" si="53"/>
        <v/>
      </c>
      <c r="L674" s="141" t="str">
        <f t="shared" si="54"/>
        <v/>
      </c>
    </row>
    <row r="675" spans="1:12" x14ac:dyDescent="0.3">
      <c r="A675" s="36" t="str">
        <f xml:space="preserve"> IF( 'From SvanPC++'!A675= "", "", ('From SvanPC++'!A675))</f>
        <v/>
      </c>
      <c r="C675" s="47" t="s">
        <v>10</v>
      </c>
      <c r="G675" s="38" t="str">
        <f t="shared" si="51"/>
        <v/>
      </c>
      <c r="H675" s="36" t="str">
        <f t="shared" si="55"/>
        <v/>
      </c>
      <c r="J675" s="141" t="str">
        <f t="shared" si="52"/>
        <v/>
      </c>
      <c r="K675" s="141" t="str">
        <f t="shared" si="53"/>
        <v/>
      </c>
      <c r="L675" s="141" t="str">
        <f t="shared" si="54"/>
        <v/>
      </c>
    </row>
    <row r="676" spans="1:12" x14ac:dyDescent="0.3">
      <c r="A676" s="36" t="str">
        <f xml:space="preserve"> IF( 'From SvanPC++'!A676= "", "", ('From SvanPC++'!A676))</f>
        <v/>
      </c>
      <c r="C676" s="47" t="s">
        <v>10</v>
      </c>
      <c r="G676" s="38" t="str">
        <f t="shared" si="51"/>
        <v/>
      </c>
      <c r="H676" s="36" t="str">
        <f t="shared" si="55"/>
        <v/>
      </c>
      <c r="J676" s="141" t="str">
        <f t="shared" si="52"/>
        <v/>
      </c>
      <c r="K676" s="141" t="str">
        <f t="shared" si="53"/>
        <v/>
      </c>
      <c r="L676" s="141" t="str">
        <f t="shared" si="54"/>
        <v/>
      </c>
    </row>
    <row r="677" spans="1:12" x14ac:dyDescent="0.3">
      <c r="A677" s="36" t="str">
        <f xml:space="preserve"> IF( 'From SvanPC++'!A677= "", "", ('From SvanPC++'!A677))</f>
        <v/>
      </c>
      <c r="C677" s="47" t="s">
        <v>10</v>
      </c>
      <c r="G677" s="38" t="str">
        <f t="shared" si="51"/>
        <v/>
      </c>
      <c r="H677" s="36" t="str">
        <f t="shared" si="55"/>
        <v/>
      </c>
      <c r="J677" s="141" t="str">
        <f t="shared" si="52"/>
        <v/>
      </c>
      <c r="K677" s="141" t="str">
        <f t="shared" si="53"/>
        <v/>
      </c>
      <c r="L677" s="141" t="str">
        <f t="shared" si="54"/>
        <v/>
      </c>
    </row>
    <row r="678" spans="1:12" x14ac:dyDescent="0.3">
      <c r="A678" s="36" t="str">
        <f xml:space="preserve"> IF( 'From SvanPC++'!A678= "", "", ('From SvanPC++'!A678))</f>
        <v/>
      </c>
      <c r="C678" s="47" t="s">
        <v>10</v>
      </c>
      <c r="G678" s="38" t="str">
        <f t="shared" si="51"/>
        <v/>
      </c>
      <c r="H678" s="36" t="str">
        <f t="shared" si="55"/>
        <v/>
      </c>
      <c r="J678" s="141" t="str">
        <f t="shared" si="52"/>
        <v/>
      </c>
      <c r="K678" s="141" t="str">
        <f t="shared" si="53"/>
        <v/>
      </c>
      <c r="L678" s="141" t="str">
        <f t="shared" si="54"/>
        <v/>
      </c>
    </row>
    <row r="679" spans="1:12" x14ac:dyDescent="0.3">
      <c r="A679" s="36" t="str">
        <f xml:space="preserve"> IF( 'From SvanPC++'!A679= "", "", ('From SvanPC++'!A679))</f>
        <v/>
      </c>
      <c r="C679" s="47" t="s">
        <v>10</v>
      </c>
      <c r="G679" s="38" t="str">
        <f t="shared" si="51"/>
        <v/>
      </c>
      <c r="H679" s="36" t="str">
        <f t="shared" si="55"/>
        <v/>
      </c>
      <c r="J679" s="141" t="str">
        <f t="shared" si="52"/>
        <v/>
      </c>
      <c r="K679" s="141" t="str">
        <f t="shared" si="53"/>
        <v/>
      </c>
      <c r="L679" s="141" t="str">
        <f t="shared" si="54"/>
        <v/>
      </c>
    </row>
    <row r="680" spans="1:12" x14ac:dyDescent="0.3">
      <c r="A680" s="36" t="str">
        <f xml:space="preserve"> IF( 'From SvanPC++'!A680= "", "", ('From SvanPC++'!A680))</f>
        <v/>
      </c>
      <c r="C680" s="47" t="s">
        <v>10</v>
      </c>
      <c r="G680" s="38" t="str">
        <f t="shared" si="51"/>
        <v/>
      </c>
      <c r="H680" s="36" t="str">
        <f t="shared" si="55"/>
        <v/>
      </c>
      <c r="J680" s="141" t="str">
        <f t="shared" si="52"/>
        <v/>
      </c>
      <c r="K680" s="141" t="str">
        <f t="shared" si="53"/>
        <v/>
      </c>
      <c r="L680" s="141" t="str">
        <f t="shared" si="54"/>
        <v/>
      </c>
    </row>
    <row r="681" spans="1:12" x14ac:dyDescent="0.3">
      <c r="A681" s="36" t="str">
        <f xml:space="preserve"> IF( 'From SvanPC++'!A681= "", "", ('From SvanPC++'!A681))</f>
        <v/>
      </c>
      <c r="C681" s="47" t="s">
        <v>10</v>
      </c>
      <c r="G681" s="38" t="str">
        <f t="shared" si="51"/>
        <v/>
      </c>
      <c r="H681" s="36" t="str">
        <f t="shared" si="55"/>
        <v/>
      </c>
      <c r="J681" s="141" t="str">
        <f t="shared" si="52"/>
        <v/>
      </c>
      <c r="K681" s="141" t="str">
        <f t="shared" si="53"/>
        <v/>
      </c>
      <c r="L681" s="141" t="str">
        <f t="shared" si="54"/>
        <v/>
      </c>
    </row>
    <row r="682" spans="1:12" x14ac:dyDescent="0.3">
      <c r="A682" s="36" t="str">
        <f xml:space="preserve"> IF( 'From SvanPC++'!A682= "", "", ('From SvanPC++'!A682))</f>
        <v/>
      </c>
      <c r="C682" s="47" t="s">
        <v>10</v>
      </c>
      <c r="G682" s="38" t="str">
        <f t="shared" si="51"/>
        <v/>
      </c>
      <c r="H682" s="36" t="str">
        <f t="shared" si="55"/>
        <v/>
      </c>
      <c r="J682" s="141" t="str">
        <f t="shared" si="52"/>
        <v/>
      </c>
      <c r="K682" s="141" t="str">
        <f t="shared" si="53"/>
        <v/>
      </c>
      <c r="L682" s="141" t="str">
        <f t="shared" si="54"/>
        <v/>
      </c>
    </row>
    <row r="683" spans="1:12" x14ac:dyDescent="0.3">
      <c r="A683" s="36" t="str">
        <f xml:space="preserve"> IF( 'From SvanPC++'!A683= "", "", ('From SvanPC++'!A683))</f>
        <v/>
      </c>
      <c r="C683" s="47" t="s">
        <v>10</v>
      </c>
      <c r="G683" s="38" t="str">
        <f t="shared" si="51"/>
        <v/>
      </c>
      <c r="H683" s="36" t="str">
        <f t="shared" si="55"/>
        <v/>
      </c>
      <c r="J683" s="141" t="str">
        <f t="shared" si="52"/>
        <v/>
      </c>
      <c r="K683" s="141" t="str">
        <f t="shared" si="53"/>
        <v/>
      </c>
      <c r="L683" s="141" t="str">
        <f t="shared" si="54"/>
        <v/>
      </c>
    </row>
    <row r="684" spans="1:12" x14ac:dyDescent="0.3">
      <c r="A684" s="36" t="str">
        <f xml:space="preserve"> IF( 'From SvanPC++'!A684= "", "", ('From SvanPC++'!A684))</f>
        <v/>
      </c>
      <c r="C684" s="47" t="s">
        <v>10</v>
      </c>
      <c r="G684" s="38" t="str">
        <f t="shared" si="51"/>
        <v/>
      </c>
      <c r="H684" s="36" t="str">
        <f t="shared" si="55"/>
        <v/>
      </c>
      <c r="J684" s="141" t="str">
        <f t="shared" si="52"/>
        <v/>
      </c>
      <c r="K684" s="141" t="str">
        <f t="shared" si="53"/>
        <v/>
      </c>
      <c r="L684" s="141" t="str">
        <f t="shared" si="54"/>
        <v/>
      </c>
    </row>
    <row r="685" spans="1:12" x14ac:dyDescent="0.3">
      <c r="A685" s="36" t="str">
        <f xml:space="preserve"> IF( 'From SvanPC++'!A685= "", "", ('From SvanPC++'!A685))</f>
        <v/>
      </c>
      <c r="C685" s="47" t="s">
        <v>10</v>
      </c>
      <c r="G685" s="38" t="str">
        <f t="shared" si="51"/>
        <v/>
      </c>
      <c r="H685" s="36" t="str">
        <f t="shared" si="55"/>
        <v/>
      </c>
      <c r="J685" s="141" t="str">
        <f t="shared" si="52"/>
        <v/>
      </c>
      <c r="K685" s="141" t="str">
        <f t="shared" si="53"/>
        <v/>
      </c>
      <c r="L685" s="141" t="str">
        <f t="shared" si="54"/>
        <v/>
      </c>
    </row>
    <row r="686" spans="1:12" x14ac:dyDescent="0.3">
      <c r="A686" s="36" t="str">
        <f xml:space="preserve"> IF( 'From SvanPC++'!A686= "", "", ('From SvanPC++'!A686))</f>
        <v/>
      </c>
      <c r="C686" s="47" t="s">
        <v>10</v>
      </c>
      <c r="G686" s="38" t="str">
        <f t="shared" si="51"/>
        <v/>
      </c>
      <c r="H686" s="36" t="str">
        <f t="shared" si="55"/>
        <v/>
      </c>
      <c r="J686" s="141" t="str">
        <f t="shared" si="52"/>
        <v/>
      </c>
      <c r="K686" s="141" t="str">
        <f t="shared" si="53"/>
        <v/>
      </c>
      <c r="L686" s="141" t="str">
        <f t="shared" si="54"/>
        <v/>
      </c>
    </row>
    <row r="687" spans="1:12" x14ac:dyDescent="0.3">
      <c r="A687" s="36" t="str">
        <f xml:space="preserve"> IF( 'From SvanPC++'!A687= "", "", ('From SvanPC++'!A687))</f>
        <v/>
      </c>
      <c r="C687" s="47" t="s">
        <v>10</v>
      </c>
      <c r="G687" s="38" t="str">
        <f t="shared" si="51"/>
        <v/>
      </c>
      <c r="H687" s="36" t="str">
        <f t="shared" si="55"/>
        <v/>
      </c>
      <c r="J687" s="141" t="str">
        <f t="shared" si="52"/>
        <v/>
      </c>
      <c r="K687" s="141" t="str">
        <f t="shared" si="53"/>
        <v/>
      </c>
      <c r="L687" s="141" t="str">
        <f t="shared" si="54"/>
        <v/>
      </c>
    </row>
    <row r="688" spans="1:12" x14ac:dyDescent="0.3">
      <c r="A688" s="36" t="str">
        <f xml:space="preserve"> IF( 'From SvanPC++'!A688= "", "", ('From SvanPC++'!A688))</f>
        <v/>
      </c>
      <c r="C688" s="47" t="s">
        <v>10</v>
      </c>
      <c r="G688" s="38" t="str">
        <f t="shared" si="51"/>
        <v/>
      </c>
      <c r="H688" s="36" t="str">
        <f t="shared" si="55"/>
        <v/>
      </c>
      <c r="J688" s="141" t="str">
        <f t="shared" si="52"/>
        <v/>
      </c>
      <c r="K688" s="141" t="str">
        <f t="shared" si="53"/>
        <v/>
      </c>
      <c r="L688" s="141" t="str">
        <f t="shared" si="54"/>
        <v/>
      </c>
    </row>
    <row r="689" spans="1:12" x14ac:dyDescent="0.3">
      <c r="A689" s="36" t="str">
        <f xml:space="preserve"> IF( 'From SvanPC++'!A689= "", "", ('From SvanPC++'!A689))</f>
        <v/>
      </c>
      <c r="C689" s="47" t="s">
        <v>10</v>
      </c>
      <c r="G689" s="38" t="str">
        <f t="shared" si="51"/>
        <v/>
      </c>
      <c r="H689" s="36" t="str">
        <f t="shared" si="55"/>
        <v/>
      </c>
      <c r="J689" s="141" t="str">
        <f t="shared" si="52"/>
        <v/>
      </c>
      <c r="K689" s="141" t="str">
        <f t="shared" si="53"/>
        <v/>
      </c>
      <c r="L689" s="141" t="str">
        <f t="shared" si="54"/>
        <v/>
      </c>
    </row>
    <row r="690" spans="1:12" x14ac:dyDescent="0.3">
      <c r="A690" s="36" t="str">
        <f xml:space="preserve"> IF( 'From SvanPC++'!A690= "", "", ('From SvanPC++'!A690))</f>
        <v/>
      </c>
      <c r="C690" s="47" t="s">
        <v>10</v>
      </c>
      <c r="G690" s="38" t="str">
        <f t="shared" si="51"/>
        <v/>
      </c>
      <c r="H690" s="36" t="str">
        <f t="shared" si="55"/>
        <v/>
      </c>
      <c r="J690" s="141" t="str">
        <f t="shared" si="52"/>
        <v/>
      </c>
      <c r="K690" s="141" t="str">
        <f t="shared" si="53"/>
        <v/>
      </c>
      <c r="L690" s="141" t="str">
        <f t="shared" si="54"/>
        <v/>
      </c>
    </row>
    <row r="691" spans="1:12" x14ac:dyDescent="0.3">
      <c r="A691" s="36" t="str">
        <f xml:space="preserve"> IF( 'From SvanPC++'!A691= "", "", ('From SvanPC++'!A691))</f>
        <v/>
      </c>
      <c r="C691" s="47" t="s">
        <v>10</v>
      </c>
      <c r="G691" s="38" t="str">
        <f t="shared" si="51"/>
        <v/>
      </c>
      <c r="H691" s="36" t="str">
        <f t="shared" si="55"/>
        <v/>
      </c>
      <c r="J691" s="141" t="str">
        <f t="shared" si="52"/>
        <v/>
      </c>
      <c r="K691" s="141" t="str">
        <f t="shared" si="53"/>
        <v/>
      </c>
      <c r="L691" s="141" t="str">
        <f t="shared" si="54"/>
        <v/>
      </c>
    </row>
    <row r="692" spans="1:12" x14ac:dyDescent="0.3">
      <c r="A692" s="36" t="str">
        <f xml:space="preserve"> IF( 'From SvanPC++'!A692= "", "", ('From SvanPC++'!A692))</f>
        <v/>
      </c>
      <c r="C692" s="47" t="s">
        <v>10</v>
      </c>
      <c r="G692" s="38" t="str">
        <f t="shared" si="51"/>
        <v/>
      </c>
      <c r="H692" s="36" t="str">
        <f t="shared" si="55"/>
        <v/>
      </c>
      <c r="J692" s="141" t="str">
        <f t="shared" si="52"/>
        <v/>
      </c>
      <c r="K692" s="141" t="str">
        <f t="shared" si="53"/>
        <v/>
      </c>
      <c r="L692" s="141" t="str">
        <f t="shared" si="54"/>
        <v/>
      </c>
    </row>
    <row r="693" spans="1:12" x14ac:dyDescent="0.3">
      <c r="A693" s="36" t="str">
        <f xml:space="preserve"> IF( 'From SvanPC++'!A693= "", "", ('From SvanPC++'!A693))</f>
        <v/>
      </c>
      <c r="C693" s="47" t="s">
        <v>10</v>
      </c>
      <c r="G693" s="38" t="str">
        <f t="shared" si="51"/>
        <v/>
      </c>
      <c r="H693" s="36" t="str">
        <f t="shared" si="55"/>
        <v/>
      </c>
      <c r="J693" s="141" t="str">
        <f t="shared" si="52"/>
        <v/>
      </c>
      <c r="K693" s="141" t="str">
        <f t="shared" si="53"/>
        <v/>
      </c>
      <c r="L693" s="141" t="str">
        <f t="shared" si="54"/>
        <v/>
      </c>
    </row>
    <row r="694" spans="1:12" x14ac:dyDescent="0.3">
      <c r="A694" s="36" t="str">
        <f xml:space="preserve"> IF( 'From SvanPC++'!A694= "", "", ('From SvanPC++'!A694))</f>
        <v/>
      </c>
      <c r="C694" s="47" t="s">
        <v>10</v>
      </c>
      <c r="G694" s="38" t="str">
        <f t="shared" si="51"/>
        <v/>
      </c>
      <c r="H694" s="36" t="str">
        <f t="shared" si="55"/>
        <v/>
      </c>
      <c r="J694" s="141" t="str">
        <f t="shared" si="52"/>
        <v/>
      </c>
      <c r="K694" s="141" t="str">
        <f t="shared" si="53"/>
        <v/>
      </c>
      <c r="L694" s="141" t="str">
        <f t="shared" si="54"/>
        <v/>
      </c>
    </row>
    <row r="695" spans="1:12" x14ac:dyDescent="0.3">
      <c r="A695" s="36" t="str">
        <f xml:space="preserve"> IF( 'From SvanPC++'!A695= "", "", ('From SvanPC++'!A695))</f>
        <v/>
      </c>
      <c r="C695" s="47" t="s">
        <v>10</v>
      </c>
      <c r="G695" s="38" t="str">
        <f t="shared" si="51"/>
        <v/>
      </c>
      <c r="H695" s="36" t="str">
        <f t="shared" si="55"/>
        <v/>
      </c>
      <c r="J695" s="141" t="str">
        <f t="shared" si="52"/>
        <v/>
      </c>
      <c r="K695" s="141" t="str">
        <f t="shared" si="53"/>
        <v/>
      </c>
      <c r="L695" s="141" t="str">
        <f t="shared" si="54"/>
        <v/>
      </c>
    </row>
    <row r="696" spans="1:12" x14ac:dyDescent="0.3">
      <c r="A696" s="36" t="str">
        <f xml:space="preserve"> IF( 'From SvanPC++'!A696= "", "", ('From SvanPC++'!A696))</f>
        <v/>
      </c>
      <c r="C696" s="47" t="s">
        <v>10</v>
      </c>
      <c r="G696" s="38" t="str">
        <f t="shared" si="51"/>
        <v/>
      </c>
      <c r="H696" s="36" t="str">
        <f t="shared" si="55"/>
        <v/>
      </c>
      <c r="J696" s="141" t="str">
        <f t="shared" si="52"/>
        <v/>
      </c>
      <c r="K696" s="141" t="str">
        <f t="shared" si="53"/>
        <v/>
      </c>
      <c r="L696" s="141" t="str">
        <f t="shared" si="54"/>
        <v/>
      </c>
    </row>
    <row r="697" spans="1:12" x14ac:dyDescent="0.3">
      <c r="A697" s="36" t="str">
        <f xml:space="preserve"> IF( 'From SvanPC++'!A697= "", "", ('From SvanPC++'!A697))</f>
        <v/>
      </c>
      <c r="C697" s="47" t="s">
        <v>10</v>
      </c>
      <c r="G697" s="38" t="str">
        <f t="shared" si="51"/>
        <v/>
      </c>
      <c r="H697" s="36" t="str">
        <f t="shared" si="55"/>
        <v/>
      </c>
      <c r="J697" s="141" t="str">
        <f t="shared" si="52"/>
        <v/>
      </c>
      <c r="K697" s="141" t="str">
        <f t="shared" si="53"/>
        <v/>
      </c>
      <c r="L697" s="141" t="str">
        <f t="shared" si="54"/>
        <v/>
      </c>
    </row>
    <row r="698" spans="1:12" x14ac:dyDescent="0.3">
      <c r="A698" s="36" t="str">
        <f xml:space="preserve"> IF( 'From SvanPC++'!A698= "", "", ('From SvanPC++'!A698))</f>
        <v/>
      </c>
      <c r="C698" s="47" t="s">
        <v>10</v>
      </c>
      <c r="G698" s="38" t="str">
        <f t="shared" si="51"/>
        <v/>
      </c>
      <c r="H698" s="36" t="str">
        <f t="shared" si="55"/>
        <v/>
      </c>
      <c r="J698" s="141" t="str">
        <f t="shared" si="52"/>
        <v/>
      </c>
      <c r="K698" s="141" t="str">
        <f t="shared" si="53"/>
        <v/>
      </c>
      <c r="L698" s="141" t="str">
        <f t="shared" si="54"/>
        <v/>
      </c>
    </row>
    <row r="699" spans="1:12" x14ac:dyDescent="0.3">
      <c r="A699" s="36" t="str">
        <f xml:space="preserve"> IF( 'From SvanPC++'!A699= "", "", ('From SvanPC++'!A699))</f>
        <v/>
      </c>
      <c r="C699" s="47" t="s">
        <v>10</v>
      </c>
      <c r="G699" s="38" t="str">
        <f t="shared" si="51"/>
        <v/>
      </c>
      <c r="H699" s="36" t="str">
        <f t="shared" si="55"/>
        <v/>
      </c>
      <c r="J699" s="141" t="str">
        <f t="shared" si="52"/>
        <v/>
      </c>
      <c r="K699" s="141" t="str">
        <f t="shared" si="53"/>
        <v/>
      </c>
      <c r="L699" s="141" t="str">
        <f t="shared" si="54"/>
        <v/>
      </c>
    </row>
    <row r="700" spans="1:12" x14ac:dyDescent="0.3">
      <c r="A700" s="36" t="str">
        <f xml:space="preserve"> IF( 'From SvanPC++'!A700= "", "", ('From SvanPC++'!A700))</f>
        <v/>
      </c>
      <c r="C700" s="47" t="s">
        <v>10</v>
      </c>
      <c r="G700" s="38" t="str">
        <f t="shared" si="51"/>
        <v/>
      </c>
      <c r="H700" s="36" t="str">
        <f t="shared" si="55"/>
        <v/>
      </c>
      <c r="J700" s="141" t="str">
        <f t="shared" si="52"/>
        <v/>
      </c>
      <c r="K700" s="141" t="str">
        <f t="shared" si="53"/>
        <v/>
      </c>
      <c r="L700" s="141" t="str">
        <f t="shared" si="54"/>
        <v/>
      </c>
    </row>
    <row r="701" spans="1:12" x14ac:dyDescent="0.3">
      <c r="A701" s="36" t="str">
        <f xml:space="preserve"> IF( 'From SvanPC++'!A701= "", "", ('From SvanPC++'!A701))</f>
        <v/>
      </c>
      <c r="C701" s="47" t="s">
        <v>10</v>
      </c>
      <c r="G701" s="38" t="str">
        <f t="shared" si="51"/>
        <v/>
      </c>
      <c r="H701" s="36" t="str">
        <f t="shared" si="55"/>
        <v/>
      </c>
      <c r="J701" s="141" t="str">
        <f t="shared" si="52"/>
        <v/>
      </c>
      <c r="K701" s="141" t="str">
        <f t="shared" si="53"/>
        <v/>
      </c>
      <c r="L701" s="141" t="str">
        <f t="shared" si="54"/>
        <v/>
      </c>
    </row>
    <row r="702" spans="1:12" x14ac:dyDescent="0.3">
      <c r="A702" s="36" t="str">
        <f xml:space="preserve"> IF( 'From SvanPC++'!A702= "", "", ('From SvanPC++'!A702))</f>
        <v/>
      </c>
      <c r="C702" s="47" t="s">
        <v>10</v>
      </c>
      <c r="G702" s="38" t="str">
        <f t="shared" si="51"/>
        <v/>
      </c>
      <c r="H702" s="36" t="str">
        <f t="shared" si="55"/>
        <v/>
      </c>
      <c r="J702" s="141" t="str">
        <f t="shared" si="52"/>
        <v/>
      </c>
      <c r="K702" s="141" t="str">
        <f t="shared" si="53"/>
        <v/>
      </c>
      <c r="L702" s="141" t="str">
        <f t="shared" si="54"/>
        <v/>
      </c>
    </row>
    <row r="703" spans="1:12" x14ac:dyDescent="0.3">
      <c r="A703" s="36" t="str">
        <f xml:space="preserve"> IF( 'From SvanPC++'!A703= "", "", ('From SvanPC++'!A703))</f>
        <v/>
      </c>
      <c r="C703" s="47" t="s">
        <v>10</v>
      </c>
      <c r="G703" s="38" t="str">
        <f t="shared" si="51"/>
        <v/>
      </c>
      <c r="H703" s="36" t="str">
        <f t="shared" si="55"/>
        <v/>
      </c>
      <c r="J703" s="141" t="str">
        <f t="shared" si="52"/>
        <v/>
      </c>
      <c r="K703" s="141" t="str">
        <f t="shared" si="53"/>
        <v/>
      </c>
      <c r="L703" s="141" t="str">
        <f t="shared" si="54"/>
        <v/>
      </c>
    </row>
    <row r="704" spans="1:12" x14ac:dyDescent="0.3">
      <c r="A704" s="36" t="str">
        <f xml:space="preserve"> IF( 'From SvanPC++'!A704= "", "", ('From SvanPC++'!A704))</f>
        <v/>
      </c>
      <c r="C704" s="47" t="s">
        <v>10</v>
      </c>
      <c r="G704" s="38" t="str">
        <f t="shared" si="51"/>
        <v/>
      </c>
      <c r="H704" s="36" t="str">
        <f t="shared" si="55"/>
        <v/>
      </c>
      <c r="J704" s="141" t="str">
        <f t="shared" si="52"/>
        <v/>
      </c>
      <c r="K704" s="141" t="str">
        <f t="shared" si="53"/>
        <v/>
      </c>
      <c r="L704" s="141" t="str">
        <f t="shared" si="54"/>
        <v/>
      </c>
    </row>
    <row r="705" spans="1:12" x14ac:dyDescent="0.3">
      <c r="A705" s="36" t="str">
        <f xml:space="preserve"> IF( 'From SvanPC++'!A705= "", "", ('From SvanPC++'!A705))</f>
        <v/>
      </c>
      <c r="C705" s="47" t="s">
        <v>10</v>
      </c>
      <c r="G705" s="38" t="str">
        <f t="shared" si="51"/>
        <v/>
      </c>
      <c r="H705" s="36" t="str">
        <f t="shared" si="55"/>
        <v/>
      </c>
      <c r="J705" s="141" t="str">
        <f t="shared" si="52"/>
        <v/>
      </c>
      <c r="K705" s="141" t="str">
        <f t="shared" si="53"/>
        <v/>
      </c>
      <c r="L705" s="141" t="str">
        <f t="shared" si="54"/>
        <v/>
      </c>
    </row>
    <row r="706" spans="1:12" x14ac:dyDescent="0.3">
      <c r="A706" s="36" t="str">
        <f xml:space="preserve"> IF( 'From SvanPC++'!A706= "", "", ('From SvanPC++'!A706))</f>
        <v/>
      </c>
      <c r="C706" s="47" t="s">
        <v>10</v>
      </c>
      <c r="G706" s="38" t="str">
        <f t="shared" si="51"/>
        <v/>
      </c>
      <c r="H706" s="36" t="str">
        <f t="shared" si="55"/>
        <v/>
      </c>
      <c r="J706" s="141" t="str">
        <f t="shared" si="52"/>
        <v/>
      </c>
      <c r="K706" s="141" t="str">
        <f t="shared" si="53"/>
        <v/>
      </c>
      <c r="L706" s="141" t="str">
        <f t="shared" si="54"/>
        <v/>
      </c>
    </row>
    <row r="707" spans="1:12" x14ac:dyDescent="0.3">
      <c r="A707" s="36" t="str">
        <f xml:space="preserve"> IF( 'From SvanPC++'!A707= "", "", ('From SvanPC++'!A707))</f>
        <v/>
      </c>
      <c r="C707" s="47" t="s">
        <v>10</v>
      </c>
      <c r="G707" s="38" t="str">
        <f t="shared" si="51"/>
        <v/>
      </c>
      <c r="H707" s="36" t="str">
        <f t="shared" si="55"/>
        <v/>
      </c>
      <c r="J707" s="141" t="str">
        <f t="shared" si="52"/>
        <v/>
      </c>
      <c r="K707" s="141" t="str">
        <f t="shared" si="53"/>
        <v/>
      </c>
      <c r="L707" s="141" t="str">
        <f t="shared" si="54"/>
        <v/>
      </c>
    </row>
    <row r="708" spans="1:12" x14ac:dyDescent="0.3">
      <c r="A708" s="36" t="str">
        <f xml:space="preserve"> IF( 'From SvanPC++'!A708= "", "", ('From SvanPC++'!A708))</f>
        <v/>
      </c>
      <c r="C708" s="47" t="s">
        <v>10</v>
      </c>
      <c r="G708" s="38" t="str">
        <f t="shared" si="51"/>
        <v/>
      </c>
      <c r="H708" s="36" t="str">
        <f t="shared" si="55"/>
        <v/>
      </c>
      <c r="J708" s="141" t="str">
        <f t="shared" si="52"/>
        <v/>
      </c>
      <c r="K708" s="141" t="str">
        <f t="shared" si="53"/>
        <v/>
      </c>
      <c r="L708" s="141" t="str">
        <f t="shared" si="54"/>
        <v/>
      </c>
    </row>
    <row r="709" spans="1:12" x14ac:dyDescent="0.3">
      <c r="A709" s="36" t="str">
        <f xml:space="preserve"> IF( 'From SvanPC++'!A709= "", "", ('From SvanPC++'!A709))</f>
        <v/>
      </c>
      <c r="C709" s="47" t="s">
        <v>10</v>
      </c>
      <c r="G709" s="38" t="str">
        <f t="shared" si="51"/>
        <v/>
      </c>
      <c r="H709" s="36" t="str">
        <f t="shared" si="55"/>
        <v/>
      </c>
      <c r="J709" s="141" t="str">
        <f t="shared" si="52"/>
        <v/>
      </c>
      <c r="K709" s="141" t="str">
        <f t="shared" si="53"/>
        <v/>
      </c>
      <c r="L709" s="141" t="str">
        <f t="shared" si="54"/>
        <v/>
      </c>
    </row>
    <row r="710" spans="1:12" x14ac:dyDescent="0.3">
      <c r="A710" s="36" t="str">
        <f xml:space="preserve"> IF( 'From SvanPC++'!A710= "", "", ('From SvanPC++'!A710))</f>
        <v/>
      </c>
      <c r="C710" s="47" t="s">
        <v>10</v>
      </c>
      <c r="G710" s="38" t="str">
        <f t="shared" si="51"/>
        <v/>
      </c>
      <c r="H710" s="36" t="str">
        <f t="shared" si="55"/>
        <v/>
      </c>
      <c r="J710" s="141" t="str">
        <f t="shared" si="52"/>
        <v/>
      </c>
      <c r="K710" s="141" t="str">
        <f t="shared" si="53"/>
        <v/>
      </c>
      <c r="L710" s="141" t="str">
        <f t="shared" si="54"/>
        <v/>
      </c>
    </row>
    <row r="711" spans="1:12" x14ac:dyDescent="0.3">
      <c r="A711" s="36" t="str">
        <f xml:space="preserve"> IF( 'From SvanPC++'!A711= "", "", ('From SvanPC++'!A711))</f>
        <v/>
      </c>
      <c r="C711" s="47" t="s">
        <v>10</v>
      </c>
      <c r="G711" s="38" t="str">
        <f t="shared" ref="G711:G774" si="56" xml:space="preserve"> IF( D711= "", "", ( IF( AND( D711 &gt;= TIMEVALUE( "07:00:01" ), D711 &lt; TIMEVALUE( "08:00:01" ) ) = TRUE, (G710+1), (G710+0) )))</f>
        <v/>
      </c>
      <c r="H711" s="36" t="str">
        <f t="shared" si="55"/>
        <v/>
      </c>
      <c r="J711" s="141" t="str">
        <f t="shared" si="52"/>
        <v/>
      </c>
      <c r="K711" s="141" t="str">
        <f t="shared" si="53"/>
        <v/>
      </c>
      <c r="L711" s="141" t="str">
        <f t="shared" si="54"/>
        <v/>
      </c>
    </row>
    <row r="712" spans="1:12" x14ac:dyDescent="0.3">
      <c r="A712" s="36" t="str">
        <f xml:space="preserve"> IF( 'From SvanPC++'!A712= "", "", ('From SvanPC++'!A712))</f>
        <v/>
      </c>
      <c r="C712" s="47" t="s">
        <v>10</v>
      </c>
      <c r="G712" s="38" t="str">
        <f t="shared" si="56"/>
        <v/>
      </c>
      <c r="H712" s="36" t="str">
        <f t="shared" si="55"/>
        <v/>
      </c>
      <c r="J712" s="141" t="str">
        <f t="shared" ref="J712:J775" si="57" xml:space="preserve"> IF( ISERROR( IF( D712= "", "", ( IF( G712= (G711+1), ( AVERAGEIFS( E712:E856, G712:G856, G712, H712:H856, "Day" )), "" )))), "",( IF( D712= "", "", ( IF( G712= (G711+1), ( AVERAGEIFS( E712:E856, G712:G856, G712, H712:H856, "Day" )), "" )))))</f>
        <v/>
      </c>
      <c r="K712" s="141" t="str">
        <f t="shared" ref="K712:K775" si="58" xml:space="preserve"> IF( ISERROR( IF( D712= "", "", ( IF( G712= (G711+1), ( AVERAGEIFS( E712:E856, G712:G856, G712, H712:H856, "Evening" )), "" )))), "",( IF( D712= "", "", ( IF( G712= (G711+1), ( AVERAGEIFS( E712:E856, G712:G856, G712, H712:H856, "Evening" )), "" )))))</f>
        <v/>
      </c>
      <c r="L712" s="141" t="str">
        <f t="shared" ref="L712:L775" si="59" xml:space="preserve"> IF( ISERROR( IF( D712= "", "", ( IF( G712= (G711+1), ( AVERAGEIFS( E712:E856, G712:G856, G712, H712:H856, "Night" )), "" )))), "",( IF( D712= "", "", ( IF( G712= (G711+1), ( AVERAGEIFS( E712:E856, G712:G856, G712, H712:H856, "Night" )), "" )))))</f>
        <v/>
      </c>
    </row>
    <row r="713" spans="1:12" x14ac:dyDescent="0.3">
      <c r="A713" s="36" t="str">
        <f xml:space="preserve"> IF( 'From SvanPC++'!A713= "", "", ('From SvanPC++'!A713))</f>
        <v/>
      </c>
      <c r="C713" s="47" t="s">
        <v>10</v>
      </c>
      <c r="G713" s="38" t="str">
        <f t="shared" si="56"/>
        <v/>
      </c>
      <c r="H713" s="36" t="str">
        <f t="shared" si="55"/>
        <v/>
      </c>
      <c r="J713" s="141" t="str">
        <f t="shared" si="57"/>
        <v/>
      </c>
      <c r="K713" s="141" t="str">
        <f t="shared" si="58"/>
        <v/>
      </c>
      <c r="L713" s="141" t="str">
        <f t="shared" si="59"/>
        <v/>
      </c>
    </row>
    <row r="714" spans="1:12" x14ac:dyDescent="0.3">
      <c r="A714" s="36" t="str">
        <f xml:space="preserve"> IF( 'From SvanPC++'!A714= "", "", ('From SvanPC++'!A714))</f>
        <v/>
      </c>
      <c r="C714" s="47" t="s">
        <v>10</v>
      </c>
      <c r="G714" s="38" t="str">
        <f t="shared" si="56"/>
        <v/>
      </c>
      <c r="H714" s="36" t="str">
        <f t="shared" si="55"/>
        <v/>
      </c>
      <c r="J714" s="141" t="str">
        <f t="shared" si="57"/>
        <v/>
      </c>
      <c r="K714" s="141" t="str">
        <f t="shared" si="58"/>
        <v/>
      </c>
      <c r="L714" s="141" t="str">
        <f t="shared" si="59"/>
        <v/>
      </c>
    </row>
    <row r="715" spans="1:12" x14ac:dyDescent="0.3">
      <c r="A715" s="36" t="str">
        <f xml:space="preserve"> IF( 'From SvanPC++'!A715= "", "", ('From SvanPC++'!A715))</f>
        <v/>
      </c>
      <c r="C715" s="47" t="s">
        <v>10</v>
      </c>
      <c r="G715" s="38" t="str">
        <f t="shared" si="56"/>
        <v/>
      </c>
      <c r="H715" s="36" t="str">
        <f t="shared" si="55"/>
        <v/>
      </c>
      <c r="J715" s="141" t="str">
        <f t="shared" si="57"/>
        <v/>
      </c>
      <c r="K715" s="141" t="str">
        <f t="shared" si="58"/>
        <v/>
      </c>
      <c r="L715" s="141" t="str">
        <f t="shared" si="59"/>
        <v/>
      </c>
    </row>
    <row r="716" spans="1:12" x14ac:dyDescent="0.3">
      <c r="A716" s="36" t="str">
        <f xml:space="preserve"> IF( 'From SvanPC++'!A716= "", "", ('From SvanPC++'!A716))</f>
        <v/>
      </c>
      <c r="C716" s="47" t="s">
        <v>10</v>
      </c>
      <c r="G716" s="38" t="str">
        <f t="shared" si="56"/>
        <v/>
      </c>
      <c r="H716" s="36" t="str">
        <f t="shared" si="55"/>
        <v/>
      </c>
      <c r="J716" s="141" t="str">
        <f t="shared" si="57"/>
        <v/>
      </c>
      <c r="K716" s="141" t="str">
        <f t="shared" si="58"/>
        <v/>
      </c>
      <c r="L716" s="141" t="str">
        <f t="shared" si="59"/>
        <v/>
      </c>
    </row>
    <row r="717" spans="1:12" x14ac:dyDescent="0.3">
      <c r="A717" s="36" t="str">
        <f xml:space="preserve"> IF( 'From SvanPC++'!A717= "", "", ('From SvanPC++'!A717))</f>
        <v/>
      </c>
      <c r="C717" s="47" t="s">
        <v>10</v>
      </c>
      <c r="G717" s="38" t="str">
        <f t="shared" si="56"/>
        <v/>
      </c>
      <c r="H717" s="36" t="str">
        <f t="shared" si="55"/>
        <v/>
      </c>
      <c r="J717" s="141" t="str">
        <f t="shared" si="57"/>
        <v/>
      </c>
      <c r="K717" s="141" t="str">
        <f t="shared" si="58"/>
        <v/>
      </c>
      <c r="L717" s="141" t="str">
        <f t="shared" si="59"/>
        <v/>
      </c>
    </row>
    <row r="718" spans="1:12" x14ac:dyDescent="0.3">
      <c r="A718" s="36" t="str">
        <f xml:space="preserve"> IF( 'From SvanPC++'!A718= "", "", ('From SvanPC++'!A718))</f>
        <v/>
      </c>
      <c r="C718" s="47" t="s">
        <v>10</v>
      </c>
      <c r="G718" s="38" t="str">
        <f t="shared" si="56"/>
        <v/>
      </c>
      <c r="H718" s="36" t="str">
        <f t="shared" si="55"/>
        <v/>
      </c>
      <c r="J718" s="141" t="str">
        <f t="shared" si="57"/>
        <v/>
      </c>
      <c r="K718" s="141" t="str">
        <f t="shared" si="58"/>
        <v/>
      </c>
      <c r="L718" s="141" t="str">
        <f t="shared" si="59"/>
        <v/>
      </c>
    </row>
    <row r="719" spans="1:12" x14ac:dyDescent="0.3">
      <c r="A719" s="36" t="str">
        <f xml:space="preserve"> IF( 'From SvanPC++'!A719= "", "", ('From SvanPC++'!A719))</f>
        <v/>
      </c>
      <c r="C719" s="47" t="s">
        <v>10</v>
      </c>
      <c r="G719" s="38" t="str">
        <f t="shared" si="56"/>
        <v/>
      </c>
      <c r="H719" s="36" t="str">
        <f t="shared" si="55"/>
        <v/>
      </c>
      <c r="J719" s="141" t="str">
        <f t="shared" si="57"/>
        <v/>
      </c>
      <c r="K719" s="141" t="str">
        <f t="shared" si="58"/>
        <v/>
      </c>
      <c r="L719" s="141" t="str">
        <f t="shared" si="59"/>
        <v/>
      </c>
    </row>
    <row r="720" spans="1:12" x14ac:dyDescent="0.3">
      <c r="A720" s="36" t="str">
        <f xml:space="preserve"> IF( 'From SvanPC++'!A720= "", "", ('From SvanPC++'!A720))</f>
        <v/>
      </c>
      <c r="C720" s="47" t="s">
        <v>10</v>
      </c>
      <c r="G720" s="38" t="str">
        <f t="shared" si="56"/>
        <v/>
      </c>
      <c r="H720" s="36" t="str">
        <f t="shared" si="55"/>
        <v/>
      </c>
      <c r="J720" s="141" t="str">
        <f t="shared" si="57"/>
        <v/>
      </c>
      <c r="K720" s="141" t="str">
        <f t="shared" si="58"/>
        <v/>
      </c>
      <c r="L720" s="141" t="str">
        <f t="shared" si="59"/>
        <v/>
      </c>
    </row>
    <row r="721" spans="1:12" x14ac:dyDescent="0.3">
      <c r="A721" s="36" t="str">
        <f xml:space="preserve"> IF( 'From SvanPC++'!A721= "", "", ('From SvanPC++'!A721))</f>
        <v/>
      </c>
      <c r="C721" s="47" t="s">
        <v>10</v>
      </c>
      <c r="G721" s="38" t="str">
        <f t="shared" si="56"/>
        <v/>
      </c>
      <c r="H721" s="36" t="str">
        <f t="shared" si="55"/>
        <v/>
      </c>
      <c r="J721" s="141" t="str">
        <f t="shared" si="57"/>
        <v/>
      </c>
      <c r="K721" s="141" t="str">
        <f t="shared" si="58"/>
        <v/>
      </c>
      <c r="L721" s="141" t="str">
        <f t="shared" si="59"/>
        <v/>
      </c>
    </row>
    <row r="722" spans="1:12" x14ac:dyDescent="0.3">
      <c r="A722" s="36" t="str">
        <f xml:space="preserve"> IF( 'From SvanPC++'!A722= "", "", ('From SvanPC++'!A722))</f>
        <v/>
      </c>
      <c r="C722" s="47" t="s">
        <v>10</v>
      </c>
      <c r="G722" s="38" t="str">
        <f t="shared" si="56"/>
        <v/>
      </c>
      <c r="H722" s="36" t="str">
        <f t="shared" si="55"/>
        <v/>
      </c>
      <c r="J722" s="141" t="str">
        <f t="shared" si="57"/>
        <v/>
      </c>
      <c r="K722" s="141" t="str">
        <f t="shared" si="58"/>
        <v/>
      </c>
      <c r="L722" s="141" t="str">
        <f t="shared" si="59"/>
        <v/>
      </c>
    </row>
    <row r="723" spans="1:12" x14ac:dyDescent="0.3">
      <c r="A723" s="36" t="str">
        <f xml:space="preserve"> IF( 'From SvanPC++'!A723= "", "", ('From SvanPC++'!A723))</f>
        <v/>
      </c>
      <c r="C723" s="47" t="s">
        <v>10</v>
      </c>
      <c r="G723" s="38" t="str">
        <f t="shared" si="56"/>
        <v/>
      </c>
      <c r="H723" s="36" t="str">
        <f t="shared" si="55"/>
        <v/>
      </c>
      <c r="J723" s="141" t="str">
        <f t="shared" si="57"/>
        <v/>
      </c>
      <c r="K723" s="141" t="str">
        <f t="shared" si="58"/>
        <v/>
      </c>
      <c r="L723" s="141" t="str">
        <f t="shared" si="59"/>
        <v/>
      </c>
    </row>
    <row r="724" spans="1:12" x14ac:dyDescent="0.3">
      <c r="A724" s="36" t="str">
        <f xml:space="preserve"> IF( 'From SvanPC++'!A724= "", "", ('From SvanPC++'!A724))</f>
        <v/>
      </c>
      <c r="C724" s="47" t="s">
        <v>10</v>
      </c>
      <c r="G724" s="38" t="str">
        <f t="shared" si="56"/>
        <v/>
      </c>
      <c r="H724" s="36" t="str">
        <f t="shared" si="55"/>
        <v/>
      </c>
      <c r="J724" s="141" t="str">
        <f t="shared" si="57"/>
        <v/>
      </c>
      <c r="K724" s="141" t="str">
        <f t="shared" si="58"/>
        <v/>
      </c>
      <c r="L724" s="141" t="str">
        <f t="shared" si="59"/>
        <v/>
      </c>
    </row>
    <row r="725" spans="1:12" x14ac:dyDescent="0.3">
      <c r="A725" s="36" t="str">
        <f xml:space="preserve"> IF( 'From SvanPC++'!A725= "", "", ('From SvanPC++'!A725))</f>
        <v/>
      </c>
      <c r="C725" s="47" t="s">
        <v>10</v>
      </c>
      <c r="G725" s="38" t="str">
        <f t="shared" si="56"/>
        <v/>
      </c>
      <c r="H725" s="36" t="str">
        <f t="shared" si="55"/>
        <v/>
      </c>
      <c r="J725" s="141" t="str">
        <f t="shared" si="57"/>
        <v/>
      </c>
      <c r="K725" s="141" t="str">
        <f t="shared" si="58"/>
        <v/>
      </c>
      <c r="L725" s="141" t="str">
        <f t="shared" si="59"/>
        <v/>
      </c>
    </row>
    <row r="726" spans="1:12" x14ac:dyDescent="0.3">
      <c r="A726" s="36" t="str">
        <f xml:space="preserve"> IF( 'From SvanPC++'!A726= "", "", ('From SvanPC++'!A726))</f>
        <v/>
      </c>
      <c r="C726" s="47" t="s">
        <v>10</v>
      </c>
      <c r="G726" s="38" t="str">
        <f t="shared" si="56"/>
        <v/>
      </c>
      <c r="H726" s="36" t="str">
        <f t="shared" si="55"/>
        <v/>
      </c>
      <c r="J726" s="141" t="str">
        <f t="shared" si="57"/>
        <v/>
      </c>
      <c r="K726" s="141" t="str">
        <f t="shared" si="58"/>
        <v/>
      </c>
      <c r="L726" s="141" t="str">
        <f t="shared" si="59"/>
        <v/>
      </c>
    </row>
    <row r="727" spans="1:12" x14ac:dyDescent="0.3">
      <c r="A727" s="36" t="str">
        <f xml:space="preserve"> IF( 'From SvanPC++'!A727= "", "", ('From SvanPC++'!A727))</f>
        <v/>
      </c>
      <c r="C727" s="47" t="s">
        <v>10</v>
      </c>
      <c r="G727" s="38" t="str">
        <f t="shared" si="56"/>
        <v/>
      </c>
      <c r="H727" s="36" t="str">
        <f t="shared" ref="H727:H790" si="60" xml:space="preserve"> IF( D727= "", "", ( IF( AND( D727 &gt;= TIMEVALUE( "07:00:01" ), D727 &lt;= TIMEVALUE( "13:00:00" ), WEEKDAY( C727) =(7+N("Lines 2-17 = saturday day period")) ) = TRUE, "Day",
IF( AND( D727 &gt;= TIMEVALUE( "07:00:01" ), D727 &lt;= TIMEVALUE( "18:00:00" ), WEEKDAY( C727,1+N("Lines 19-38 = weekday day period")) &gt;=2, ( WEEKDAY( C727,1) &lt;=6) ) = TRUE, "Day",
IF( AND( D727 &gt;= TIMEVALUE( "13:00:01" ), D727 &lt;= TIMEVALUE( "22:00:00" ), WEEKDAY( C727) =(7+N("Lines 40-56 = saturday evening period")) ) = TRUE, "Evening",
IF( AND( D727 &gt;= TIMEVALUE( "18:00:01" ), D727 &lt;= TIMEVALUE( "22:00:00" ), WEEKDAY( C727,1+N("Lines 57-77 = weekday evening period")) &gt;=2, ( WEEKDAY( C727,1) &lt;=6) ) = TRUE, "Evening",
IF( AND( D727 &gt;= TIMEVALUE( "07:00:01" ), D727 &lt;= TIMEVALUE( "22:00:00" ), WEEKDAY( C727) =(1+N("Lines 78-94 = sunday evening period")) ) = TRUE, "Evening",
IF( AND( D727 &gt;= TIMEVALUE( "22:00:01" ), D727 &lt;= TIMEVALUE( "23:59:59" ), WEEKDAY( C727) =(7+N("Lines 95-111 = saturday night1 period")) ) = TRUE, "Night",
IF( AND( D727 &gt;= TIMEVALUE( "00:00:00" ), D727 &lt;= TIMEVALUE( "07:00:00" ), WEEKDAY( C727) =(7+N("Lines 112-128 = saturday night2 period")) ) = TRUE, "Night",
IF( AND( D727 &gt;= TIMEVALUE( "22:00:01" ), D727 &lt;= TIMEVALUE( "23:59:59" ), WEEKDAY( C727,1+N("Lines 129-149 = weekday night1 period")) &gt;=2, ( WEEKDAY( C727,1) &lt;=6) ) = TRUE, "Night",
IF( AND( D727 &gt;= TIMEVALUE( "00:00:00" ), D727 &lt;= TIMEVALUE( "07:00:00" ), WEEKDAY( C727,1+N("Lines 150-170 = weekday night2 period")) &gt;=2, ( WEEKDAY( C727,1) &lt;=6) ) = TRUE, "Night",
IF( AND( D727 &gt;= TIMEVALUE( "20:00:01" ), D727 &lt;= TIMEVALUE( "23:59:59" ), WEEKDAY( C727) =(1+N("Lines 171-187 = sunday night1 period")) ) = TRUE, "Night",
IF( AND( D727 &gt;= TIMEVALUE( "00:00:00" ), D727 &lt;= TIMEVALUE( "07:00:00" ), WEEKDAY( C727) =(1+N("Lines 188-204 = sunday night2 period")) ) = TRUE, "Night", )))))))))))))</f>
        <v/>
      </c>
      <c r="J727" s="141" t="str">
        <f t="shared" si="57"/>
        <v/>
      </c>
      <c r="K727" s="141" t="str">
        <f t="shared" si="58"/>
        <v/>
      </c>
      <c r="L727" s="141" t="str">
        <f t="shared" si="59"/>
        <v/>
      </c>
    </row>
    <row r="728" spans="1:12" x14ac:dyDescent="0.3">
      <c r="A728" s="36" t="str">
        <f xml:space="preserve"> IF( 'From SvanPC++'!A728= "", "", ('From SvanPC++'!A728))</f>
        <v/>
      </c>
      <c r="C728" s="47" t="s">
        <v>10</v>
      </c>
      <c r="G728" s="38" t="str">
        <f t="shared" si="56"/>
        <v/>
      </c>
      <c r="H728" s="36" t="str">
        <f t="shared" si="60"/>
        <v/>
      </c>
      <c r="J728" s="141" t="str">
        <f t="shared" si="57"/>
        <v/>
      </c>
      <c r="K728" s="141" t="str">
        <f t="shared" si="58"/>
        <v/>
      </c>
      <c r="L728" s="141" t="str">
        <f t="shared" si="59"/>
        <v/>
      </c>
    </row>
    <row r="729" spans="1:12" x14ac:dyDescent="0.3">
      <c r="A729" s="36" t="str">
        <f xml:space="preserve"> IF( 'From SvanPC++'!A729= "", "", ('From SvanPC++'!A729))</f>
        <v/>
      </c>
      <c r="C729" s="47" t="s">
        <v>10</v>
      </c>
      <c r="G729" s="38" t="str">
        <f t="shared" si="56"/>
        <v/>
      </c>
      <c r="H729" s="36" t="str">
        <f t="shared" si="60"/>
        <v/>
      </c>
      <c r="J729" s="141" t="str">
        <f t="shared" si="57"/>
        <v/>
      </c>
      <c r="K729" s="141" t="str">
        <f t="shared" si="58"/>
        <v/>
      </c>
      <c r="L729" s="141" t="str">
        <f t="shared" si="59"/>
        <v/>
      </c>
    </row>
    <row r="730" spans="1:12" x14ac:dyDescent="0.3">
      <c r="A730" s="36" t="str">
        <f xml:space="preserve"> IF( 'From SvanPC++'!A730= "", "", ('From SvanPC++'!A730))</f>
        <v/>
      </c>
      <c r="C730" s="47" t="s">
        <v>10</v>
      </c>
      <c r="G730" s="38" t="str">
        <f t="shared" si="56"/>
        <v/>
      </c>
      <c r="H730" s="36" t="str">
        <f t="shared" si="60"/>
        <v/>
      </c>
      <c r="J730" s="141" t="str">
        <f t="shared" si="57"/>
        <v/>
      </c>
      <c r="K730" s="141" t="str">
        <f t="shared" si="58"/>
        <v/>
      </c>
      <c r="L730" s="141" t="str">
        <f t="shared" si="59"/>
        <v/>
      </c>
    </row>
    <row r="731" spans="1:12" x14ac:dyDescent="0.3">
      <c r="A731" s="36" t="str">
        <f xml:space="preserve"> IF( 'From SvanPC++'!A731= "", "", ('From SvanPC++'!A731))</f>
        <v/>
      </c>
      <c r="C731" s="47" t="s">
        <v>10</v>
      </c>
      <c r="G731" s="38" t="str">
        <f t="shared" si="56"/>
        <v/>
      </c>
      <c r="H731" s="36" t="str">
        <f t="shared" si="60"/>
        <v/>
      </c>
      <c r="J731" s="141" t="str">
        <f t="shared" si="57"/>
        <v/>
      </c>
      <c r="K731" s="141" t="str">
        <f t="shared" si="58"/>
        <v/>
      </c>
      <c r="L731" s="141" t="str">
        <f t="shared" si="59"/>
        <v/>
      </c>
    </row>
    <row r="732" spans="1:12" x14ac:dyDescent="0.3">
      <c r="A732" s="36" t="str">
        <f xml:space="preserve"> IF( 'From SvanPC++'!A732= "", "", ('From SvanPC++'!A732))</f>
        <v/>
      </c>
      <c r="C732" s="47" t="s">
        <v>10</v>
      </c>
      <c r="G732" s="38" t="str">
        <f t="shared" si="56"/>
        <v/>
      </c>
      <c r="H732" s="36" t="str">
        <f t="shared" si="60"/>
        <v/>
      </c>
      <c r="J732" s="141" t="str">
        <f t="shared" si="57"/>
        <v/>
      </c>
      <c r="K732" s="141" t="str">
        <f t="shared" si="58"/>
        <v/>
      </c>
      <c r="L732" s="141" t="str">
        <f t="shared" si="59"/>
        <v/>
      </c>
    </row>
    <row r="733" spans="1:12" x14ac:dyDescent="0.3">
      <c r="A733" s="36" t="str">
        <f xml:space="preserve"> IF( 'From SvanPC++'!A733= "", "", ('From SvanPC++'!A733))</f>
        <v/>
      </c>
      <c r="C733" s="47" t="s">
        <v>10</v>
      </c>
      <c r="G733" s="38" t="str">
        <f t="shared" si="56"/>
        <v/>
      </c>
      <c r="H733" s="36" t="str">
        <f t="shared" si="60"/>
        <v/>
      </c>
      <c r="J733" s="141" t="str">
        <f t="shared" si="57"/>
        <v/>
      </c>
      <c r="K733" s="141" t="str">
        <f t="shared" si="58"/>
        <v/>
      </c>
      <c r="L733" s="141" t="str">
        <f t="shared" si="59"/>
        <v/>
      </c>
    </row>
    <row r="734" spans="1:12" x14ac:dyDescent="0.3">
      <c r="A734" s="36" t="str">
        <f xml:space="preserve"> IF( 'From SvanPC++'!A734= "", "", ('From SvanPC++'!A734))</f>
        <v/>
      </c>
      <c r="C734" s="47" t="s">
        <v>10</v>
      </c>
      <c r="G734" s="38" t="str">
        <f t="shared" si="56"/>
        <v/>
      </c>
      <c r="H734" s="36" t="str">
        <f t="shared" si="60"/>
        <v/>
      </c>
      <c r="J734" s="141" t="str">
        <f t="shared" si="57"/>
        <v/>
      </c>
      <c r="K734" s="141" t="str">
        <f t="shared" si="58"/>
        <v/>
      </c>
      <c r="L734" s="141" t="str">
        <f t="shared" si="59"/>
        <v/>
      </c>
    </row>
    <row r="735" spans="1:12" x14ac:dyDescent="0.3">
      <c r="A735" s="36" t="str">
        <f xml:space="preserve"> IF( 'From SvanPC++'!A735= "", "", ('From SvanPC++'!A735))</f>
        <v/>
      </c>
      <c r="C735" s="47" t="s">
        <v>10</v>
      </c>
      <c r="G735" s="38" t="str">
        <f t="shared" si="56"/>
        <v/>
      </c>
      <c r="H735" s="36" t="str">
        <f t="shared" si="60"/>
        <v/>
      </c>
      <c r="J735" s="141" t="str">
        <f t="shared" si="57"/>
        <v/>
      </c>
      <c r="K735" s="141" t="str">
        <f t="shared" si="58"/>
        <v/>
      </c>
      <c r="L735" s="141" t="str">
        <f t="shared" si="59"/>
        <v/>
      </c>
    </row>
    <row r="736" spans="1:12" x14ac:dyDescent="0.3">
      <c r="A736" s="36" t="str">
        <f xml:space="preserve"> IF( 'From SvanPC++'!A736= "", "", ('From SvanPC++'!A736))</f>
        <v/>
      </c>
      <c r="C736" s="47" t="s">
        <v>10</v>
      </c>
      <c r="G736" s="38" t="str">
        <f t="shared" si="56"/>
        <v/>
      </c>
      <c r="H736" s="36" t="str">
        <f t="shared" si="60"/>
        <v/>
      </c>
      <c r="J736" s="141" t="str">
        <f t="shared" si="57"/>
        <v/>
      </c>
      <c r="K736" s="141" t="str">
        <f t="shared" si="58"/>
        <v/>
      </c>
      <c r="L736" s="141" t="str">
        <f t="shared" si="59"/>
        <v/>
      </c>
    </row>
    <row r="737" spans="1:12" x14ac:dyDescent="0.3">
      <c r="A737" s="36" t="str">
        <f xml:space="preserve"> IF( 'From SvanPC++'!A737= "", "", ('From SvanPC++'!A737))</f>
        <v/>
      </c>
      <c r="C737" s="47" t="s">
        <v>10</v>
      </c>
      <c r="G737" s="38" t="str">
        <f t="shared" si="56"/>
        <v/>
      </c>
      <c r="H737" s="36" t="str">
        <f t="shared" si="60"/>
        <v/>
      </c>
      <c r="J737" s="141" t="str">
        <f t="shared" si="57"/>
        <v/>
      </c>
      <c r="K737" s="141" t="str">
        <f t="shared" si="58"/>
        <v/>
      </c>
      <c r="L737" s="141" t="str">
        <f t="shared" si="59"/>
        <v/>
      </c>
    </row>
    <row r="738" spans="1:12" x14ac:dyDescent="0.3">
      <c r="A738" s="36" t="str">
        <f xml:space="preserve"> IF( 'From SvanPC++'!A738= "", "", ('From SvanPC++'!A738))</f>
        <v/>
      </c>
      <c r="C738" s="47" t="s">
        <v>10</v>
      </c>
      <c r="G738" s="38" t="str">
        <f t="shared" si="56"/>
        <v/>
      </c>
      <c r="H738" s="36" t="str">
        <f t="shared" si="60"/>
        <v/>
      </c>
      <c r="J738" s="141" t="str">
        <f t="shared" si="57"/>
        <v/>
      </c>
      <c r="K738" s="141" t="str">
        <f t="shared" si="58"/>
        <v/>
      </c>
      <c r="L738" s="141" t="str">
        <f t="shared" si="59"/>
        <v/>
      </c>
    </row>
    <row r="739" spans="1:12" x14ac:dyDescent="0.3">
      <c r="A739" s="36" t="str">
        <f xml:space="preserve"> IF( 'From SvanPC++'!A739= "", "", ('From SvanPC++'!A739))</f>
        <v/>
      </c>
      <c r="C739" s="47" t="s">
        <v>10</v>
      </c>
      <c r="G739" s="38" t="str">
        <f t="shared" si="56"/>
        <v/>
      </c>
      <c r="H739" s="36" t="str">
        <f t="shared" si="60"/>
        <v/>
      </c>
      <c r="J739" s="141" t="str">
        <f t="shared" si="57"/>
        <v/>
      </c>
      <c r="K739" s="141" t="str">
        <f t="shared" si="58"/>
        <v/>
      </c>
      <c r="L739" s="141" t="str">
        <f t="shared" si="59"/>
        <v/>
      </c>
    </row>
    <row r="740" spans="1:12" x14ac:dyDescent="0.3">
      <c r="A740" s="36" t="str">
        <f xml:space="preserve"> IF( 'From SvanPC++'!A740= "", "", ('From SvanPC++'!A740))</f>
        <v/>
      </c>
      <c r="C740" s="47" t="s">
        <v>10</v>
      </c>
      <c r="G740" s="38" t="str">
        <f t="shared" si="56"/>
        <v/>
      </c>
      <c r="H740" s="36" t="str">
        <f t="shared" si="60"/>
        <v/>
      </c>
      <c r="J740" s="141" t="str">
        <f t="shared" si="57"/>
        <v/>
      </c>
      <c r="K740" s="141" t="str">
        <f t="shared" si="58"/>
        <v/>
      </c>
      <c r="L740" s="141" t="str">
        <f t="shared" si="59"/>
        <v/>
      </c>
    </row>
    <row r="741" spans="1:12" x14ac:dyDescent="0.3">
      <c r="A741" s="36" t="str">
        <f xml:space="preserve"> IF( 'From SvanPC++'!A741= "", "", ('From SvanPC++'!A741))</f>
        <v/>
      </c>
      <c r="C741" s="47" t="s">
        <v>10</v>
      </c>
      <c r="G741" s="38" t="str">
        <f t="shared" si="56"/>
        <v/>
      </c>
      <c r="H741" s="36" t="str">
        <f t="shared" si="60"/>
        <v/>
      </c>
      <c r="J741" s="141" t="str">
        <f t="shared" si="57"/>
        <v/>
      </c>
      <c r="K741" s="141" t="str">
        <f t="shared" si="58"/>
        <v/>
      </c>
      <c r="L741" s="141" t="str">
        <f t="shared" si="59"/>
        <v/>
      </c>
    </row>
    <row r="742" spans="1:12" x14ac:dyDescent="0.3">
      <c r="A742" s="36" t="str">
        <f xml:space="preserve"> IF( 'From SvanPC++'!A742= "", "", ('From SvanPC++'!A742))</f>
        <v/>
      </c>
      <c r="C742" s="47" t="s">
        <v>10</v>
      </c>
      <c r="G742" s="38" t="str">
        <f t="shared" si="56"/>
        <v/>
      </c>
      <c r="H742" s="36" t="str">
        <f t="shared" si="60"/>
        <v/>
      </c>
      <c r="J742" s="141" t="str">
        <f t="shared" si="57"/>
        <v/>
      </c>
      <c r="K742" s="141" t="str">
        <f t="shared" si="58"/>
        <v/>
      </c>
      <c r="L742" s="141" t="str">
        <f t="shared" si="59"/>
        <v/>
      </c>
    </row>
    <row r="743" spans="1:12" x14ac:dyDescent="0.3">
      <c r="A743" s="36" t="str">
        <f xml:space="preserve"> IF( 'From SvanPC++'!A743= "", "", ('From SvanPC++'!A743))</f>
        <v/>
      </c>
      <c r="C743" s="47" t="s">
        <v>10</v>
      </c>
      <c r="G743" s="38" t="str">
        <f t="shared" si="56"/>
        <v/>
      </c>
      <c r="H743" s="36" t="str">
        <f t="shared" si="60"/>
        <v/>
      </c>
      <c r="J743" s="141" t="str">
        <f t="shared" si="57"/>
        <v/>
      </c>
      <c r="K743" s="141" t="str">
        <f t="shared" si="58"/>
        <v/>
      </c>
      <c r="L743" s="141" t="str">
        <f t="shared" si="59"/>
        <v/>
      </c>
    </row>
    <row r="744" spans="1:12" x14ac:dyDescent="0.3">
      <c r="A744" s="36" t="str">
        <f xml:space="preserve"> IF( 'From SvanPC++'!A744= "", "", ('From SvanPC++'!A744))</f>
        <v/>
      </c>
      <c r="C744" s="47" t="s">
        <v>10</v>
      </c>
      <c r="G744" s="38" t="str">
        <f t="shared" si="56"/>
        <v/>
      </c>
      <c r="H744" s="36" t="str">
        <f t="shared" si="60"/>
        <v/>
      </c>
      <c r="J744" s="141" t="str">
        <f t="shared" si="57"/>
        <v/>
      </c>
      <c r="K744" s="141" t="str">
        <f t="shared" si="58"/>
        <v/>
      </c>
      <c r="L744" s="141" t="str">
        <f t="shared" si="59"/>
        <v/>
      </c>
    </row>
    <row r="745" spans="1:12" x14ac:dyDescent="0.3">
      <c r="A745" s="36" t="str">
        <f xml:space="preserve"> IF( 'From SvanPC++'!A745= "", "", ('From SvanPC++'!A745))</f>
        <v/>
      </c>
      <c r="C745" s="47" t="s">
        <v>10</v>
      </c>
      <c r="G745" s="38" t="str">
        <f t="shared" si="56"/>
        <v/>
      </c>
      <c r="H745" s="36" t="str">
        <f t="shared" si="60"/>
        <v/>
      </c>
      <c r="J745" s="141" t="str">
        <f t="shared" si="57"/>
        <v/>
      </c>
      <c r="K745" s="141" t="str">
        <f t="shared" si="58"/>
        <v/>
      </c>
      <c r="L745" s="141" t="str">
        <f t="shared" si="59"/>
        <v/>
      </c>
    </row>
    <row r="746" spans="1:12" x14ac:dyDescent="0.3">
      <c r="A746" s="36" t="str">
        <f xml:space="preserve"> IF( 'From SvanPC++'!A746= "", "", ('From SvanPC++'!A746))</f>
        <v/>
      </c>
      <c r="C746" s="47" t="s">
        <v>10</v>
      </c>
      <c r="G746" s="38" t="str">
        <f t="shared" si="56"/>
        <v/>
      </c>
      <c r="H746" s="36" t="str">
        <f t="shared" si="60"/>
        <v/>
      </c>
      <c r="J746" s="141" t="str">
        <f t="shared" si="57"/>
        <v/>
      </c>
      <c r="K746" s="141" t="str">
        <f t="shared" si="58"/>
        <v/>
      </c>
      <c r="L746" s="141" t="str">
        <f t="shared" si="59"/>
        <v/>
      </c>
    </row>
    <row r="747" spans="1:12" x14ac:dyDescent="0.3">
      <c r="A747" s="36" t="str">
        <f xml:space="preserve"> IF( 'From SvanPC++'!A747= "", "", ('From SvanPC++'!A747))</f>
        <v/>
      </c>
      <c r="C747" s="47" t="s">
        <v>10</v>
      </c>
      <c r="G747" s="38" t="str">
        <f t="shared" si="56"/>
        <v/>
      </c>
      <c r="H747" s="36" t="str">
        <f t="shared" si="60"/>
        <v/>
      </c>
      <c r="J747" s="141" t="str">
        <f t="shared" si="57"/>
        <v/>
      </c>
      <c r="K747" s="141" t="str">
        <f t="shared" si="58"/>
        <v/>
      </c>
      <c r="L747" s="141" t="str">
        <f t="shared" si="59"/>
        <v/>
      </c>
    </row>
    <row r="748" spans="1:12" x14ac:dyDescent="0.3">
      <c r="A748" s="36" t="str">
        <f xml:space="preserve"> IF( 'From SvanPC++'!A748= "", "", ('From SvanPC++'!A748))</f>
        <v/>
      </c>
      <c r="C748" s="47" t="s">
        <v>10</v>
      </c>
      <c r="G748" s="38" t="str">
        <f t="shared" si="56"/>
        <v/>
      </c>
      <c r="H748" s="36" t="str">
        <f t="shared" si="60"/>
        <v/>
      </c>
      <c r="J748" s="141" t="str">
        <f t="shared" si="57"/>
        <v/>
      </c>
      <c r="K748" s="141" t="str">
        <f t="shared" si="58"/>
        <v/>
      </c>
      <c r="L748" s="141" t="str">
        <f t="shared" si="59"/>
        <v/>
      </c>
    </row>
    <row r="749" spans="1:12" x14ac:dyDescent="0.3">
      <c r="A749" s="36" t="str">
        <f xml:space="preserve"> IF( 'From SvanPC++'!A749= "", "", ('From SvanPC++'!A749))</f>
        <v/>
      </c>
      <c r="C749" s="47" t="s">
        <v>10</v>
      </c>
      <c r="G749" s="38" t="str">
        <f t="shared" si="56"/>
        <v/>
      </c>
      <c r="H749" s="36" t="str">
        <f t="shared" si="60"/>
        <v/>
      </c>
      <c r="J749" s="141" t="str">
        <f t="shared" si="57"/>
        <v/>
      </c>
      <c r="K749" s="141" t="str">
        <f t="shared" si="58"/>
        <v/>
      </c>
      <c r="L749" s="141" t="str">
        <f t="shared" si="59"/>
        <v/>
      </c>
    </row>
    <row r="750" spans="1:12" x14ac:dyDescent="0.3">
      <c r="A750" s="36" t="str">
        <f xml:space="preserve"> IF( 'From SvanPC++'!A750= "", "", ('From SvanPC++'!A750))</f>
        <v/>
      </c>
      <c r="C750" s="47" t="s">
        <v>10</v>
      </c>
      <c r="G750" s="38" t="str">
        <f t="shared" si="56"/>
        <v/>
      </c>
      <c r="H750" s="36" t="str">
        <f t="shared" si="60"/>
        <v/>
      </c>
      <c r="J750" s="141" t="str">
        <f t="shared" si="57"/>
        <v/>
      </c>
      <c r="K750" s="141" t="str">
        <f t="shared" si="58"/>
        <v/>
      </c>
      <c r="L750" s="141" t="str">
        <f t="shared" si="59"/>
        <v/>
      </c>
    </row>
    <row r="751" spans="1:12" x14ac:dyDescent="0.3">
      <c r="A751" s="36" t="str">
        <f xml:space="preserve"> IF( 'From SvanPC++'!A751= "", "", ('From SvanPC++'!A751))</f>
        <v/>
      </c>
      <c r="C751" s="47" t="s">
        <v>10</v>
      </c>
      <c r="G751" s="38" t="str">
        <f t="shared" si="56"/>
        <v/>
      </c>
      <c r="H751" s="36" t="str">
        <f t="shared" si="60"/>
        <v/>
      </c>
      <c r="J751" s="141" t="str">
        <f t="shared" si="57"/>
        <v/>
      </c>
      <c r="K751" s="141" t="str">
        <f t="shared" si="58"/>
        <v/>
      </c>
      <c r="L751" s="141" t="str">
        <f t="shared" si="59"/>
        <v/>
      </c>
    </row>
    <row r="752" spans="1:12" x14ac:dyDescent="0.3">
      <c r="A752" s="36" t="str">
        <f xml:space="preserve"> IF( 'From SvanPC++'!A752= "", "", ('From SvanPC++'!A752))</f>
        <v/>
      </c>
      <c r="C752" s="47" t="s">
        <v>10</v>
      </c>
      <c r="G752" s="38" t="str">
        <f t="shared" si="56"/>
        <v/>
      </c>
      <c r="H752" s="36" t="str">
        <f t="shared" si="60"/>
        <v/>
      </c>
      <c r="J752" s="141" t="str">
        <f t="shared" si="57"/>
        <v/>
      </c>
      <c r="K752" s="141" t="str">
        <f t="shared" si="58"/>
        <v/>
      </c>
      <c r="L752" s="141" t="str">
        <f t="shared" si="59"/>
        <v/>
      </c>
    </row>
    <row r="753" spans="1:12" x14ac:dyDescent="0.3">
      <c r="A753" s="36" t="str">
        <f xml:space="preserve"> IF( 'From SvanPC++'!A753= "", "", ('From SvanPC++'!A753))</f>
        <v/>
      </c>
      <c r="C753" s="47" t="s">
        <v>10</v>
      </c>
      <c r="G753" s="38" t="str">
        <f t="shared" si="56"/>
        <v/>
      </c>
      <c r="H753" s="36" t="str">
        <f t="shared" si="60"/>
        <v/>
      </c>
      <c r="J753" s="141" t="str">
        <f t="shared" si="57"/>
        <v/>
      </c>
      <c r="K753" s="141" t="str">
        <f t="shared" si="58"/>
        <v/>
      </c>
      <c r="L753" s="141" t="str">
        <f t="shared" si="59"/>
        <v/>
      </c>
    </row>
    <row r="754" spans="1:12" x14ac:dyDescent="0.3">
      <c r="A754" s="36" t="str">
        <f xml:space="preserve"> IF( 'From SvanPC++'!A754= "", "", ('From SvanPC++'!A754))</f>
        <v/>
      </c>
      <c r="C754" s="47" t="s">
        <v>10</v>
      </c>
      <c r="G754" s="38" t="str">
        <f t="shared" si="56"/>
        <v/>
      </c>
      <c r="H754" s="36" t="str">
        <f t="shared" si="60"/>
        <v/>
      </c>
      <c r="J754" s="141" t="str">
        <f t="shared" si="57"/>
        <v/>
      </c>
      <c r="K754" s="141" t="str">
        <f t="shared" si="58"/>
        <v/>
      </c>
      <c r="L754" s="141" t="str">
        <f t="shared" si="59"/>
        <v/>
      </c>
    </row>
    <row r="755" spans="1:12" x14ac:dyDescent="0.3">
      <c r="A755" s="36" t="str">
        <f xml:space="preserve"> IF( 'From SvanPC++'!A755= "", "", ('From SvanPC++'!A755))</f>
        <v/>
      </c>
      <c r="C755" s="47" t="s">
        <v>10</v>
      </c>
      <c r="G755" s="38" t="str">
        <f t="shared" si="56"/>
        <v/>
      </c>
      <c r="H755" s="36" t="str">
        <f t="shared" si="60"/>
        <v/>
      </c>
      <c r="J755" s="141" t="str">
        <f t="shared" si="57"/>
        <v/>
      </c>
      <c r="K755" s="141" t="str">
        <f t="shared" si="58"/>
        <v/>
      </c>
      <c r="L755" s="141" t="str">
        <f t="shared" si="59"/>
        <v/>
      </c>
    </row>
    <row r="756" spans="1:12" x14ac:dyDescent="0.3">
      <c r="A756" s="36" t="str">
        <f xml:space="preserve"> IF( 'From SvanPC++'!A756= "", "", ('From SvanPC++'!A756))</f>
        <v/>
      </c>
      <c r="C756" s="47" t="s">
        <v>10</v>
      </c>
      <c r="G756" s="38" t="str">
        <f t="shared" si="56"/>
        <v/>
      </c>
      <c r="H756" s="36" t="str">
        <f t="shared" si="60"/>
        <v/>
      </c>
      <c r="J756" s="141" t="str">
        <f t="shared" si="57"/>
        <v/>
      </c>
      <c r="K756" s="141" t="str">
        <f t="shared" si="58"/>
        <v/>
      </c>
      <c r="L756" s="141" t="str">
        <f t="shared" si="59"/>
        <v/>
      </c>
    </row>
    <row r="757" spans="1:12" x14ac:dyDescent="0.3">
      <c r="A757" s="36" t="str">
        <f xml:space="preserve"> IF( 'From SvanPC++'!A757= "", "", ('From SvanPC++'!A757))</f>
        <v/>
      </c>
      <c r="C757" s="47" t="s">
        <v>10</v>
      </c>
      <c r="G757" s="38" t="str">
        <f t="shared" si="56"/>
        <v/>
      </c>
      <c r="H757" s="36" t="str">
        <f t="shared" si="60"/>
        <v/>
      </c>
      <c r="J757" s="141" t="str">
        <f t="shared" si="57"/>
        <v/>
      </c>
      <c r="K757" s="141" t="str">
        <f t="shared" si="58"/>
        <v/>
      </c>
      <c r="L757" s="141" t="str">
        <f t="shared" si="59"/>
        <v/>
      </c>
    </row>
    <row r="758" spans="1:12" x14ac:dyDescent="0.3">
      <c r="A758" s="36" t="str">
        <f xml:space="preserve"> IF( 'From SvanPC++'!A758= "", "", ('From SvanPC++'!A758))</f>
        <v/>
      </c>
      <c r="C758" s="47" t="s">
        <v>10</v>
      </c>
      <c r="G758" s="38" t="str">
        <f t="shared" si="56"/>
        <v/>
      </c>
      <c r="H758" s="36" t="str">
        <f t="shared" si="60"/>
        <v/>
      </c>
      <c r="J758" s="141" t="str">
        <f t="shared" si="57"/>
        <v/>
      </c>
      <c r="K758" s="141" t="str">
        <f t="shared" si="58"/>
        <v/>
      </c>
      <c r="L758" s="141" t="str">
        <f t="shared" si="59"/>
        <v/>
      </c>
    </row>
    <row r="759" spans="1:12" x14ac:dyDescent="0.3">
      <c r="A759" s="36" t="str">
        <f xml:space="preserve"> IF( 'From SvanPC++'!A759= "", "", ('From SvanPC++'!A759))</f>
        <v/>
      </c>
      <c r="C759" s="47" t="s">
        <v>10</v>
      </c>
      <c r="G759" s="38" t="str">
        <f t="shared" si="56"/>
        <v/>
      </c>
      <c r="H759" s="36" t="str">
        <f t="shared" si="60"/>
        <v/>
      </c>
      <c r="J759" s="141" t="str">
        <f t="shared" si="57"/>
        <v/>
      </c>
      <c r="K759" s="141" t="str">
        <f t="shared" si="58"/>
        <v/>
      </c>
      <c r="L759" s="141" t="str">
        <f t="shared" si="59"/>
        <v/>
      </c>
    </row>
    <row r="760" spans="1:12" x14ac:dyDescent="0.3">
      <c r="A760" s="36" t="str">
        <f xml:space="preserve"> IF( 'From SvanPC++'!A760= "", "", ('From SvanPC++'!A760))</f>
        <v/>
      </c>
      <c r="C760" s="47" t="s">
        <v>10</v>
      </c>
      <c r="G760" s="38" t="str">
        <f t="shared" si="56"/>
        <v/>
      </c>
      <c r="H760" s="36" t="str">
        <f t="shared" si="60"/>
        <v/>
      </c>
      <c r="J760" s="141" t="str">
        <f t="shared" si="57"/>
        <v/>
      </c>
      <c r="K760" s="141" t="str">
        <f t="shared" si="58"/>
        <v/>
      </c>
      <c r="L760" s="141" t="str">
        <f t="shared" si="59"/>
        <v/>
      </c>
    </row>
    <row r="761" spans="1:12" x14ac:dyDescent="0.3">
      <c r="A761" s="36" t="str">
        <f xml:space="preserve"> IF( 'From SvanPC++'!A761= "", "", ('From SvanPC++'!A761))</f>
        <v/>
      </c>
      <c r="C761" s="47" t="s">
        <v>10</v>
      </c>
      <c r="G761" s="38" t="str">
        <f t="shared" si="56"/>
        <v/>
      </c>
      <c r="H761" s="36" t="str">
        <f t="shared" si="60"/>
        <v/>
      </c>
      <c r="J761" s="141" t="str">
        <f t="shared" si="57"/>
        <v/>
      </c>
      <c r="K761" s="141" t="str">
        <f t="shared" si="58"/>
        <v/>
      </c>
      <c r="L761" s="141" t="str">
        <f t="shared" si="59"/>
        <v/>
      </c>
    </row>
    <row r="762" spans="1:12" x14ac:dyDescent="0.3">
      <c r="A762" s="36" t="str">
        <f xml:space="preserve"> IF( 'From SvanPC++'!A762= "", "", ('From SvanPC++'!A762))</f>
        <v/>
      </c>
      <c r="C762" s="47" t="s">
        <v>10</v>
      </c>
      <c r="G762" s="38" t="str">
        <f t="shared" si="56"/>
        <v/>
      </c>
      <c r="H762" s="36" t="str">
        <f t="shared" si="60"/>
        <v/>
      </c>
      <c r="J762" s="141" t="str">
        <f t="shared" si="57"/>
        <v/>
      </c>
      <c r="K762" s="141" t="str">
        <f t="shared" si="58"/>
        <v/>
      </c>
      <c r="L762" s="141" t="str">
        <f t="shared" si="59"/>
        <v/>
      </c>
    </row>
    <row r="763" spans="1:12" x14ac:dyDescent="0.3">
      <c r="A763" s="36" t="str">
        <f xml:space="preserve"> IF( 'From SvanPC++'!A763= "", "", ('From SvanPC++'!A763))</f>
        <v/>
      </c>
      <c r="C763" s="47" t="s">
        <v>10</v>
      </c>
      <c r="G763" s="38" t="str">
        <f t="shared" si="56"/>
        <v/>
      </c>
      <c r="H763" s="36" t="str">
        <f t="shared" si="60"/>
        <v/>
      </c>
      <c r="J763" s="141" t="str">
        <f t="shared" si="57"/>
        <v/>
      </c>
      <c r="K763" s="141" t="str">
        <f t="shared" si="58"/>
        <v/>
      </c>
      <c r="L763" s="141" t="str">
        <f t="shared" si="59"/>
        <v/>
      </c>
    </row>
    <row r="764" spans="1:12" x14ac:dyDescent="0.3">
      <c r="A764" s="36" t="str">
        <f xml:space="preserve"> IF( 'From SvanPC++'!A764= "", "", ('From SvanPC++'!A764))</f>
        <v/>
      </c>
      <c r="C764" s="47" t="s">
        <v>10</v>
      </c>
      <c r="G764" s="38" t="str">
        <f t="shared" si="56"/>
        <v/>
      </c>
      <c r="H764" s="36" t="str">
        <f t="shared" si="60"/>
        <v/>
      </c>
      <c r="J764" s="141" t="str">
        <f t="shared" si="57"/>
        <v/>
      </c>
      <c r="K764" s="141" t="str">
        <f t="shared" si="58"/>
        <v/>
      </c>
      <c r="L764" s="141" t="str">
        <f t="shared" si="59"/>
        <v/>
      </c>
    </row>
    <row r="765" spans="1:12" x14ac:dyDescent="0.3">
      <c r="A765" s="36" t="str">
        <f xml:space="preserve"> IF( 'From SvanPC++'!A765= "", "", ('From SvanPC++'!A765))</f>
        <v/>
      </c>
      <c r="C765" s="47" t="s">
        <v>10</v>
      </c>
      <c r="G765" s="38" t="str">
        <f t="shared" si="56"/>
        <v/>
      </c>
      <c r="H765" s="36" t="str">
        <f t="shared" si="60"/>
        <v/>
      </c>
      <c r="J765" s="141" t="str">
        <f t="shared" si="57"/>
        <v/>
      </c>
      <c r="K765" s="141" t="str">
        <f t="shared" si="58"/>
        <v/>
      </c>
      <c r="L765" s="141" t="str">
        <f t="shared" si="59"/>
        <v/>
      </c>
    </row>
    <row r="766" spans="1:12" x14ac:dyDescent="0.3">
      <c r="A766" s="36" t="str">
        <f xml:space="preserve"> IF( 'From SvanPC++'!A766= "", "", ('From SvanPC++'!A766))</f>
        <v/>
      </c>
      <c r="C766" s="47" t="s">
        <v>10</v>
      </c>
      <c r="G766" s="38" t="str">
        <f t="shared" si="56"/>
        <v/>
      </c>
      <c r="H766" s="36" t="str">
        <f t="shared" si="60"/>
        <v/>
      </c>
      <c r="J766" s="141" t="str">
        <f t="shared" si="57"/>
        <v/>
      </c>
      <c r="K766" s="141" t="str">
        <f t="shared" si="58"/>
        <v/>
      </c>
      <c r="L766" s="141" t="str">
        <f t="shared" si="59"/>
        <v/>
      </c>
    </row>
    <row r="767" spans="1:12" x14ac:dyDescent="0.3">
      <c r="A767" s="36" t="str">
        <f xml:space="preserve"> IF( 'From SvanPC++'!A767= "", "", ('From SvanPC++'!A767))</f>
        <v/>
      </c>
      <c r="C767" s="47" t="s">
        <v>10</v>
      </c>
      <c r="G767" s="38" t="str">
        <f t="shared" si="56"/>
        <v/>
      </c>
      <c r="H767" s="36" t="str">
        <f t="shared" si="60"/>
        <v/>
      </c>
      <c r="J767" s="141" t="str">
        <f t="shared" si="57"/>
        <v/>
      </c>
      <c r="K767" s="141" t="str">
        <f t="shared" si="58"/>
        <v/>
      </c>
      <c r="L767" s="141" t="str">
        <f t="shared" si="59"/>
        <v/>
      </c>
    </row>
    <row r="768" spans="1:12" x14ac:dyDescent="0.3">
      <c r="A768" s="36" t="str">
        <f xml:space="preserve"> IF( 'From SvanPC++'!A768= "", "", ('From SvanPC++'!A768))</f>
        <v/>
      </c>
      <c r="C768" s="47" t="s">
        <v>10</v>
      </c>
      <c r="G768" s="38" t="str">
        <f t="shared" si="56"/>
        <v/>
      </c>
      <c r="H768" s="36" t="str">
        <f t="shared" si="60"/>
        <v/>
      </c>
      <c r="J768" s="141" t="str">
        <f t="shared" si="57"/>
        <v/>
      </c>
      <c r="K768" s="141" t="str">
        <f t="shared" si="58"/>
        <v/>
      </c>
      <c r="L768" s="141" t="str">
        <f t="shared" si="59"/>
        <v/>
      </c>
    </row>
    <row r="769" spans="1:12" x14ac:dyDescent="0.3">
      <c r="A769" s="36" t="str">
        <f xml:space="preserve"> IF( 'From SvanPC++'!A769= "", "", ('From SvanPC++'!A769))</f>
        <v/>
      </c>
      <c r="C769" s="47" t="s">
        <v>10</v>
      </c>
      <c r="G769" s="38" t="str">
        <f t="shared" si="56"/>
        <v/>
      </c>
      <c r="H769" s="36" t="str">
        <f t="shared" si="60"/>
        <v/>
      </c>
      <c r="J769" s="141" t="str">
        <f t="shared" si="57"/>
        <v/>
      </c>
      <c r="K769" s="141" t="str">
        <f t="shared" si="58"/>
        <v/>
      </c>
      <c r="L769" s="141" t="str">
        <f t="shared" si="59"/>
        <v/>
      </c>
    </row>
    <row r="770" spans="1:12" x14ac:dyDescent="0.3">
      <c r="A770" s="36" t="str">
        <f xml:space="preserve"> IF( 'From SvanPC++'!A770= "", "", ('From SvanPC++'!A770))</f>
        <v/>
      </c>
      <c r="C770" s="47" t="s">
        <v>10</v>
      </c>
      <c r="G770" s="38" t="str">
        <f t="shared" si="56"/>
        <v/>
      </c>
      <c r="H770" s="36" t="str">
        <f t="shared" si="60"/>
        <v/>
      </c>
      <c r="J770" s="141" t="str">
        <f t="shared" si="57"/>
        <v/>
      </c>
      <c r="K770" s="141" t="str">
        <f t="shared" si="58"/>
        <v/>
      </c>
      <c r="L770" s="141" t="str">
        <f t="shared" si="59"/>
        <v/>
      </c>
    </row>
    <row r="771" spans="1:12" x14ac:dyDescent="0.3">
      <c r="A771" s="36" t="str">
        <f xml:space="preserve"> IF( 'From SvanPC++'!A771= "", "", ('From SvanPC++'!A771))</f>
        <v/>
      </c>
      <c r="C771" s="47" t="s">
        <v>10</v>
      </c>
      <c r="G771" s="38" t="str">
        <f t="shared" si="56"/>
        <v/>
      </c>
      <c r="H771" s="36" t="str">
        <f t="shared" si="60"/>
        <v/>
      </c>
      <c r="J771" s="141" t="str">
        <f t="shared" si="57"/>
        <v/>
      </c>
      <c r="K771" s="141" t="str">
        <f t="shared" si="58"/>
        <v/>
      </c>
      <c r="L771" s="141" t="str">
        <f t="shared" si="59"/>
        <v/>
      </c>
    </row>
    <row r="772" spans="1:12" x14ac:dyDescent="0.3">
      <c r="A772" s="36" t="str">
        <f xml:space="preserve"> IF( 'From SvanPC++'!A772= "", "", ('From SvanPC++'!A772))</f>
        <v/>
      </c>
      <c r="C772" s="47" t="s">
        <v>10</v>
      </c>
      <c r="G772" s="38" t="str">
        <f t="shared" si="56"/>
        <v/>
      </c>
      <c r="H772" s="36" t="str">
        <f t="shared" si="60"/>
        <v/>
      </c>
      <c r="J772" s="141" t="str">
        <f t="shared" si="57"/>
        <v/>
      </c>
      <c r="K772" s="141" t="str">
        <f t="shared" si="58"/>
        <v/>
      </c>
      <c r="L772" s="141" t="str">
        <f t="shared" si="59"/>
        <v/>
      </c>
    </row>
    <row r="773" spans="1:12" x14ac:dyDescent="0.3">
      <c r="A773" s="36" t="str">
        <f xml:space="preserve"> IF( 'From SvanPC++'!A773= "", "", ('From SvanPC++'!A773))</f>
        <v/>
      </c>
      <c r="C773" s="47" t="s">
        <v>10</v>
      </c>
      <c r="G773" s="38" t="str">
        <f t="shared" si="56"/>
        <v/>
      </c>
      <c r="H773" s="36" t="str">
        <f t="shared" si="60"/>
        <v/>
      </c>
      <c r="J773" s="141" t="str">
        <f t="shared" si="57"/>
        <v/>
      </c>
      <c r="K773" s="141" t="str">
        <f t="shared" si="58"/>
        <v/>
      </c>
      <c r="L773" s="141" t="str">
        <f t="shared" si="59"/>
        <v/>
      </c>
    </row>
    <row r="774" spans="1:12" x14ac:dyDescent="0.3">
      <c r="A774" s="36" t="str">
        <f xml:space="preserve"> IF( 'From SvanPC++'!A774= "", "", ('From SvanPC++'!A774))</f>
        <v/>
      </c>
      <c r="C774" s="47" t="s">
        <v>10</v>
      </c>
      <c r="G774" s="38" t="str">
        <f t="shared" si="56"/>
        <v/>
      </c>
      <c r="H774" s="36" t="str">
        <f t="shared" si="60"/>
        <v/>
      </c>
      <c r="J774" s="141" t="str">
        <f t="shared" si="57"/>
        <v/>
      </c>
      <c r="K774" s="141" t="str">
        <f t="shared" si="58"/>
        <v/>
      </c>
      <c r="L774" s="141" t="str">
        <f t="shared" si="59"/>
        <v/>
      </c>
    </row>
    <row r="775" spans="1:12" x14ac:dyDescent="0.3">
      <c r="A775" s="36" t="str">
        <f xml:space="preserve"> IF( 'From SvanPC++'!A775= "", "", ('From SvanPC++'!A775))</f>
        <v/>
      </c>
      <c r="C775" s="47" t="s">
        <v>10</v>
      </c>
      <c r="G775" s="38" t="str">
        <f t="shared" ref="G775:G838" si="61" xml:space="preserve"> IF( D775= "", "", ( IF( AND( D775 &gt;= TIMEVALUE( "07:00:01" ), D775 &lt; TIMEVALUE( "08:00:01" ) ) = TRUE, (G774+1), (G774+0) )))</f>
        <v/>
      </c>
      <c r="H775" s="36" t="str">
        <f t="shared" si="60"/>
        <v/>
      </c>
      <c r="J775" s="141" t="str">
        <f t="shared" si="57"/>
        <v/>
      </c>
      <c r="K775" s="141" t="str">
        <f t="shared" si="58"/>
        <v/>
      </c>
      <c r="L775" s="141" t="str">
        <f t="shared" si="59"/>
        <v/>
      </c>
    </row>
    <row r="776" spans="1:12" x14ac:dyDescent="0.3">
      <c r="A776" s="36" t="str">
        <f xml:space="preserve"> IF( 'From SvanPC++'!A776= "", "", ('From SvanPC++'!A776))</f>
        <v/>
      </c>
      <c r="C776" s="47" t="s">
        <v>10</v>
      </c>
      <c r="G776" s="38" t="str">
        <f t="shared" si="61"/>
        <v/>
      </c>
      <c r="H776" s="36" t="str">
        <f t="shared" si="60"/>
        <v/>
      </c>
      <c r="J776" s="141" t="str">
        <f t="shared" ref="J776:J839" si="62" xml:space="preserve"> IF( ISERROR( IF( D776= "", "", ( IF( G776= (G775+1), ( AVERAGEIFS( E776:E920, G776:G920, G776, H776:H920, "Day" )), "" )))), "",( IF( D776= "", "", ( IF( G776= (G775+1), ( AVERAGEIFS( E776:E920, G776:G920, G776, H776:H920, "Day" )), "" )))))</f>
        <v/>
      </c>
      <c r="K776" s="141" t="str">
        <f t="shared" ref="K776:K839" si="63" xml:space="preserve"> IF( ISERROR( IF( D776= "", "", ( IF( G776= (G775+1), ( AVERAGEIFS( E776:E920, G776:G920, G776, H776:H920, "Evening" )), "" )))), "",( IF( D776= "", "", ( IF( G776= (G775+1), ( AVERAGEIFS( E776:E920, G776:G920, G776, H776:H920, "Evening" )), "" )))))</f>
        <v/>
      </c>
      <c r="L776" s="141" t="str">
        <f t="shared" ref="L776:L839" si="64" xml:space="preserve"> IF( ISERROR( IF( D776= "", "", ( IF( G776= (G775+1), ( AVERAGEIFS( E776:E920, G776:G920, G776, H776:H920, "Night" )), "" )))), "",( IF( D776= "", "", ( IF( G776= (G775+1), ( AVERAGEIFS( E776:E920, G776:G920, G776, H776:H920, "Night" )), "" )))))</f>
        <v/>
      </c>
    </row>
    <row r="777" spans="1:12" x14ac:dyDescent="0.3">
      <c r="A777" s="36" t="str">
        <f xml:space="preserve"> IF( 'From SvanPC++'!A777= "", "", ('From SvanPC++'!A777))</f>
        <v/>
      </c>
      <c r="C777" s="47" t="s">
        <v>10</v>
      </c>
      <c r="G777" s="38" t="str">
        <f t="shared" si="61"/>
        <v/>
      </c>
      <c r="H777" s="36" t="str">
        <f t="shared" si="60"/>
        <v/>
      </c>
      <c r="J777" s="141" t="str">
        <f t="shared" si="62"/>
        <v/>
      </c>
      <c r="K777" s="141" t="str">
        <f t="shared" si="63"/>
        <v/>
      </c>
      <c r="L777" s="141" t="str">
        <f t="shared" si="64"/>
        <v/>
      </c>
    </row>
    <row r="778" spans="1:12" x14ac:dyDescent="0.3">
      <c r="A778" s="36" t="str">
        <f xml:space="preserve"> IF( 'From SvanPC++'!A778= "", "", ('From SvanPC++'!A778))</f>
        <v/>
      </c>
      <c r="C778" s="47" t="s">
        <v>10</v>
      </c>
      <c r="G778" s="38" t="str">
        <f t="shared" si="61"/>
        <v/>
      </c>
      <c r="H778" s="36" t="str">
        <f t="shared" si="60"/>
        <v/>
      </c>
      <c r="J778" s="141" t="str">
        <f t="shared" si="62"/>
        <v/>
      </c>
      <c r="K778" s="141" t="str">
        <f t="shared" si="63"/>
        <v/>
      </c>
      <c r="L778" s="141" t="str">
        <f t="shared" si="64"/>
        <v/>
      </c>
    </row>
    <row r="779" spans="1:12" x14ac:dyDescent="0.3">
      <c r="A779" s="36" t="str">
        <f xml:space="preserve"> IF( 'From SvanPC++'!A779= "", "", ('From SvanPC++'!A779))</f>
        <v/>
      </c>
      <c r="C779" s="47" t="s">
        <v>10</v>
      </c>
      <c r="G779" s="38" t="str">
        <f t="shared" si="61"/>
        <v/>
      </c>
      <c r="H779" s="36" t="str">
        <f t="shared" si="60"/>
        <v/>
      </c>
      <c r="J779" s="141" t="str">
        <f t="shared" si="62"/>
        <v/>
      </c>
      <c r="K779" s="141" t="str">
        <f t="shared" si="63"/>
        <v/>
      </c>
      <c r="L779" s="141" t="str">
        <f t="shared" si="64"/>
        <v/>
      </c>
    </row>
    <row r="780" spans="1:12" x14ac:dyDescent="0.3">
      <c r="A780" s="36" t="str">
        <f xml:space="preserve"> IF( 'From SvanPC++'!A780= "", "", ('From SvanPC++'!A780))</f>
        <v/>
      </c>
      <c r="C780" s="47" t="s">
        <v>10</v>
      </c>
      <c r="G780" s="38" t="str">
        <f t="shared" si="61"/>
        <v/>
      </c>
      <c r="H780" s="36" t="str">
        <f t="shared" si="60"/>
        <v/>
      </c>
      <c r="J780" s="141" t="str">
        <f t="shared" si="62"/>
        <v/>
      </c>
      <c r="K780" s="141" t="str">
        <f t="shared" si="63"/>
        <v/>
      </c>
      <c r="L780" s="141" t="str">
        <f t="shared" si="64"/>
        <v/>
      </c>
    </row>
    <row r="781" spans="1:12" x14ac:dyDescent="0.3">
      <c r="A781" s="36" t="str">
        <f xml:space="preserve"> IF( 'From SvanPC++'!A781= "", "", ('From SvanPC++'!A781))</f>
        <v/>
      </c>
      <c r="C781" s="47" t="s">
        <v>10</v>
      </c>
      <c r="G781" s="38" t="str">
        <f t="shared" si="61"/>
        <v/>
      </c>
      <c r="H781" s="36" t="str">
        <f t="shared" si="60"/>
        <v/>
      </c>
      <c r="J781" s="141" t="str">
        <f t="shared" si="62"/>
        <v/>
      </c>
      <c r="K781" s="141" t="str">
        <f t="shared" si="63"/>
        <v/>
      </c>
      <c r="L781" s="141" t="str">
        <f t="shared" si="64"/>
        <v/>
      </c>
    </row>
    <row r="782" spans="1:12" x14ac:dyDescent="0.3">
      <c r="A782" s="36" t="str">
        <f xml:space="preserve"> IF( 'From SvanPC++'!A782= "", "", ('From SvanPC++'!A782))</f>
        <v/>
      </c>
      <c r="C782" s="47" t="s">
        <v>10</v>
      </c>
      <c r="G782" s="38" t="str">
        <f t="shared" si="61"/>
        <v/>
      </c>
      <c r="H782" s="36" t="str">
        <f t="shared" si="60"/>
        <v/>
      </c>
      <c r="J782" s="141" t="str">
        <f t="shared" si="62"/>
        <v/>
      </c>
      <c r="K782" s="141" t="str">
        <f t="shared" si="63"/>
        <v/>
      </c>
      <c r="L782" s="141" t="str">
        <f t="shared" si="64"/>
        <v/>
      </c>
    </row>
    <row r="783" spans="1:12" x14ac:dyDescent="0.3">
      <c r="A783" s="36" t="str">
        <f xml:space="preserve"> IF( 'From SvanPC++'!A783= "", "", ('From SvanPC++'!A783))</f>
        <v/>
      </c>
      <c r="C783" s="47" t="s">
        <v>10</v>
      </c>
      <c r="G783" s="38" t="str">
        <f t="shared" si="61"/>
        <v/>
      </c>
      <c r="H783" s="36" t="str">
        <f t="shared" si="60"/>
        <v/>
      </c>
      <c r="J783" s="141" t="str">
        <f t="shared" si="62"/>
        <v/>
      </c>
      <c r="K783" s="141" t="str">
        <f t="shared" si="63"/>
        <v/>
      </c>
      <c r="L783" s="141" t="str">
        <f t="shared" si="64"/>
        <v/>
      </c>
    </row>
    <row r="784" spans="1:12" x14ac:dyDescent="0.3">
      <c r="A784" s="36" t="str">
        <f xml:space="preserve"> IF( 'From SvanPC++'!A784= "", "", ('From SvanPC++'!A784))</f>
        <v/>
      </c>
      <c r="C784" s="47" t="s">
        <v>10</v>
      </c>
      <c r="G784" s="38" t="str">
        <f t="shared" si="61"/>
        <v/>
      </c>
      <c r="H784" s="36" t="str">
        <f t="shared" si="60"/>
        <v/>
      </c>
      <c r="J784" s="141" t="str">
        <f t="shared" si="62"/>
        <v/>
      </c>
      <c r="K784" s="141" t="str">
        <f t="shared" si="63"/>
        <v/>
      </c>
      <c r="L784" s="141" t="str">
        <f t="shared" si="64"/>
        <v/>
      </c>
    </row>
    <row r="785" spans="1:12" x14ac:dyDescent="0.3">
      <c r="A785" s="36" t="str">
        <f xml:space="preserve"> IF( 'From SvanPC++'!A785= "", "", ('From SvanPC++'!A785))</f>
        <v/>
      </c>
      <c r="C785" s="47" t="s">
        <v>10</v>
      </c>
      <c r="G785" s="38" t="str">
        <f t="shared" si="61"/>
        <v/>
      </c>
      <c r="H785" s="36" t="str">
        <f t="shared" si="60"/>
        <v/>
      </c>
      <c r="J785" s="141" t="str">
        <f t="shared" si="62"/>
        <v/>
      </c>
      <c r="K785" s="141" t="str">
        <f t="shared" si="63"/>
        <v/>
      </c>
      <c r="L785" s="141" t="str">
        <f t="shared" si="64"/>
        <v/>
      </c>
    </row>
    <row r="786" spans="1:12" x14ac:dyDescent="0.3">
      <c r="A786" s="36" t="str">
        <f xml:space="preserve"> IF( 'From SvanPC++'!A786= "", "", ('From SvanPC++'!A786))</f>
        <v/>
      </c>
      <c r="C786" s="47" t="s">
        <v>10</v>
      </c>
      <c r="G786" s="38" t="str">
        <f t="shared" si="61"/>
        <v/>
      </c>
      <c r="H786" s="36" t="str">
        <f t="shared" si="60"/>
        <v/>
      </c>
      <c r="J786" s="141" t="str">
        <f t="shared" si="62"/>
        <v/>
      </c>
      <c r="K786" s="141" t="str">
        <f t="shared" si="63"/>
        <v/>
      </c>
      <c r="L786" s="141" t="str">
        <f t="shared" si="64"/>
        <v/>
      </c>
    </row>
    <row r="787" spans="1:12" x14ac:dyDescent="0.3">
      <c r="A787" s="36" t="str">
        <f xml:space="preserve"> IF( 'From SvanPC++'!A787= "", "", ('From SvanPC++'!A787))</f>
        <v/>
      </c>
      <c r="C787" s="47" t="s">
        <v>10</v>
      </c>
      <c r="G787" s="38" t="str">
        <f t="shared" si="61"/>
        <v/>
      </c>
      <c r="H787" s="36" t="str">
        <f t="shared" si="60"/>
        <v/>
      </c>
      <c r="J787" s="141" t="str">
        <f t="shared" si="62"/>
        <v/>
      </c>
      <c r="K787" s="141" t="str">
        <f t="shared" si="63"/>
        <v/>
      </c>
      <c r="L787" s="141" t="str">
        <f t="shared" si="64"/>
        <v/>
      </c>
    </row>
    <row r="788" spans="1:12" x14ac:dyDescent="0.3">
      <c r="A788" s="36" t="str">
        <f xml:space="preserve"> IF( 'From SvanPC++'!A788= "", "", ('From SvanPC++'!A788))</f>
        <v/>
      </c>
      <c r="C788" s="47" t="s">
        <v>10</v>
      </c>
      <c r="G788" s="38" t="str">
        <f t="shared" si="61"/>
        <v/>
      </c>
      <c r="H788" s="36" t="str">
        <f t="shared" si="60"/>
        <v/>
      </c>
      <c r="J788" s="141" t="str">
        <f t="shared" si="62"/>
        <v/>
      </c>
      <c r="K788" s="141" t="str">
        <f t="shared" si="63"/>
        <v/>
      </c>
      <c r="L788" s="141" t="str">
        <f t="shared" si="64"/>
        <v/>
      </c>
    </row>
    <row r="789" spans="1:12" x14ac:dyDescent="0.3">
      <c r="A789" s="36" t="str">
        <f xml:space="preserve"> IF( 'From SvanPC++'!A789= "", "", ('From SvanPC++'!A789))</f>
        <v/>
      </c>
      <c r="C789" s="47" t="s">
        <v>10</v>
      </c>
      <c r="G789" s="38" t="str">
        <f t="shared" si="61"/>
        <v/>
      </c>
      <c r="H789" s="36" t="str">
        <f t="shared" si="60"/>
        <v/>
      </c>
      <c r="J789" s="141" t="str">
        <f t="shared" si="62"/>
        <v/>
      </c>
      <c r="K789" s="141" t="str">
        <f t="shared" si="63"/>
        <v/>
      </c>
      <c r="L789" s="141" t="str">
        <f t="shared" si="64"/>
        <v/>
      </c>
    </row>
    <row r="790" spans="1:12" x14ac:dyDescent="0.3">
      <c r="A790" s="36" t="str">
        <f xml:space="preserve"> IF( 'From SvanPC++'!A790= "", "", ('From SvanPC++'!A790))</f>
        <v/>
      </c>
      <c r="C790" s="47" t="s">
        <v>10</v>
      </c>
      <c r="G790" s="38" t="str">
        <f t="shared" si="61"/>
        <v/>
      </c>
      <c r="H790" s="36" t="str">
        <f t="shared" si="60"/>
        <v/>
      </c>
      <c r="J790" s="141" t="str">
        <f t="shared" si="62"/>
        <v/>
      </c>
      <c r="K790" s="141" t="str">
        <f t="shared" si="63"/>
        <v/>
      </c>
      <c r="L790" s="141" t="str">
        <f t="shared" si="64"/>
        <v/>
      </c>
    </row>
    <row r="791" spans="1:12" x14ac:dyDescent="0.3">
      <c r="A791" s="36" t="str">
        <f xml:space="preserve"> IF( 'From SvanPC++'!A791= "", "", ('From SvanPC++'!A791))</f>
        <v/>
      </c>
      <c r="C791" s="47" t="s">
        <v>10</v>
      </c>
      <c r="G791" s="38" t="str">
        <f t="shared" si="61"/>
        <v/>
      </c>
      <c r="H791" s="36" t="str">
        <f t="shared" ref="H791:H854" si="65" xml:space="preserve"> IF( D791= "", "", ( IF( AND( D791 &gt;= TIMEVALUE( "07:00:01" ), D791 &lt;= TIMEVALUE( "13:00:00" ), WEEKDAY( C791) =(7+N("Lines 2-17 = saturday day period")) ) = TRUE, "Day",
IF( AND( D791 &gt;= TIMEVALUE( "07:00:01" ), D791 &lt;= TIMEVALUE( "18:00:00" ), WEEKDAY( C791,1+N("Lines 19-38 = weekday day period")) &gt;=2, ( WEEKDAY( C791,1) &lt;=6) ) = TRUE, "Day",
IF( AND( D791 &gt;= TIMEVALUE( "13:00:01" ), D791 &lt;= TIMEVALUE( "22:00:00" ), WEEKDAY( C791) =(7+N("Lines 40-56 = saturday evening period")) ) = TRUE, "Evening",
IF( AND( D791 &gt;= TIMEVALUE( "18:00:01" ), D791 &lt;= TIMEVALUE( "22:00:00" ), WEEKDAY( C791,1+N("Lines 57-77 = weekday evening period")) &gt;=2, ( WEEKDAY( C791,1) &lt;=6) ) = TRUE, "Evening",
IF( AND( D791 &gt;= TIMEVALUE( "07:00:01" ), D791 &lt;= TIMEVALUE( "22:00:00" ), WEEKDAY( C791) =(1+N("Lines 78-94 = sunday evening period")) ) = TRUE, "Evening",
IF( AND( D791 &gt;= TIMEVALUE( "22:00:01" ), D791 &lt;= TIMEVALUE( "23:59:59" ), WEEKDAY( C791) =(7+N("Lines 95-111 = saturday night1 period")) ) = TRUE, "Night",
IF( AND( D791 &gt;= TIMEVALUE( "00:00:00" ), D791 &lt;= TIMEVALUE( "07:00:00" ), WEEKDAY( C791) =(7+N("Lines 112-128 = saturday night2 period")) ) = TRUE, "Night",
IF( AND( D791 &gt;= TIMEVALUE( "22:00:01" ), D791 &lt;= TIMEVALUE( "23:59:59" ), WEEKDAY( C791,1+N("Lines 129-149 = weekday night1 period")) &gt;=2, ( WEEKDAY( C791,1) &lt;=6) ) = TRUE, "Night",
IF( AND( D791 &gt;= TIMEVALUE( "00:00:00" ), D791 &lt;= TIMEVALUE( "07:00:00" ), WEEKDAY( C791,1+N("Lines 150-170 = weekday night2 period")) &gt;=2, ( WEEKDAY( C791,1) &lt;=6) ) = TRUE, "Night",
IF( AND( D791 &gt;= TIMEVALUE( "20:00:01" ), D791 &lt;= TIMEVALUE( "23:59:59" ), WEEKDAY( C791) =(1+N("Lines 171-187 = sunday night1 period")) ) = TRUE, "Night",
IF( AND( D791 &gt;= TIMEVALUE( "00:00:00" ), D791 &lt;= TIMEVALUE( "07:00:00" ), WEEKDAY( C791) =(1+N("Lines 188-204 = sunday night2 period")) ) = TRUE, "Night", )))))))))))))</f>
        <v/>
      </c>
      <c r="J791" s="141" t="str">
        <f t="shared" si="62"/>
        <v/>
      </c>
      <c r="K791" s="141" t="str">
        <f t="shared" si="63"/>
        <v/>
      </c>
      <c r="L791" s="141" t="str">
        <f t="shared" si="64"/>
        <v/>
      </c>
    </row>
    <row r="792" spans="1:12" x14ac:dyDescent="0.3">
      <c r="A792" s="36" t="str">
        <f xml:space="preserve"> IF( 'From SvanPC++'!A792= "", "", ('From SvanPC++'!A792))</f>
        <v/>
      </c>
      <c r="C792" s="47" t="s">
        <v>10</v>
      </c>
      <c r="G792" s="38" t="str">
        <f t="shared" si="61"/>
        <v/>
      </c>
      <c r="H792" s="36" t="str">
        <f t="shared" si="65"/>
        <v/>
      </c>
      <c r="J792" s="141" t="str">
        <f t="shared" si="62"/>
        <v/>
      </c>
      <c r="K792" s="141" t="str">
        <f t="shared" si="63"/>
        <v/>
      </c>
      <c r="L792" s="141" t="str">
        <f t="shared" si="64"/>
        <v/>
      </c>
    </row>
    <row r="793" spans="1:12" x14ac:dyDescent="0.3">
      <c r="A793" s="36" t="str">
        <f xml:space="preserve"> IF( 'From SvanPC++'!A793= "", "", ('From SvanPC++'!A793))</f>
        <v/>
      </c>
      <c r="C793" s="47" t="s">
        <v>10</v>
      </c>
      <c r="G793" s="38" t="str">
        <f t="shared" si="61"/>
        <v/>
      </c>
      <c r="H793" s="36" t="str">
        <f t="shared" si="65"/>
        <v/>
      </c>
      <c r="J793" s="141" t="str">
        <f t="shared" si="62"/>
        <v/>
      </c>
      <c r="K793" s="141" t="str">
        <f t="shared" si="63"/>
        <v/>
      </c>
      <c r="L793" s="141" t="str">
        <f t="shared" si="64"/>
        <v/>
      </c>
    </row>
    <row r="794" spans="1:12" x14ac:dyDescent="0.3">
      <c r="A794" s="36" t="str">
        <f xml:space="preserve"> IF( 'From SvanPC++'!A794= "", "", ('From SvanPC++'!A794))</f>
        <v/>
      </c>
      <c r="C794" s="47" t="s">
        <v>10</v>
      </c>
      <c r="G794" s="38" t="str">
        <f t="shared" si="61"/>
        <v/>
      </c>
      <c r="H794" s="36" t="str">
        <f t="shared" si="65"/>
        <v/>
      </c>
      <c r="J794" s="141" t="str">
        <f t="shared" si="62"/>
        <v/>
      </c>
      <c r="K794" s="141" t="str">
        <f t="shared" si="63"/>
        <v/>
      </c>
      <c r="L794" s="141" t="str">
        <f t="shared" si="64"/>
        <v/>
      </c>
    </row>
    <row r="795" spans="1:12" x14ac:dyDescent="0.3">
      <c r="A795" s="36" t="str">
        <f xml:space="preserve"> IF( 'From SvanPC++'!A795= "", "", ('From SvanPC++'!A795))</f>
        <v/>
      </c>
      <c r="C795" s="47" t="s">
        <v>10</v>
      </c>
      <c r="G795" s="38" t="str">
        <f t="shared" si="61"/>
        <v/>
      </c>
      <c r="H795" s="36" t="str">
        <f t="shared" si="65"/>
        <v/>
      </c>
      <c r="J795" s="141" t="str">
        <f t="shared" si="62"/>
        <v/>
      </c>
      <c r="K795" s="141" t="str">
        <f t="shared" si="63"/>
        <v/>
      </c>
      <c r="L795" s="141" t="str">
        <f t="shared" si="64"/>
        <v/>
      </c>
    </row>
    <row r="796" spans="1:12" x14ac:dyDescent="0.3">
      <c r="A796" s="36" t="str">
        <f xml:space="preserve"> IF( 'From SvanPC++'!A796= "", "", ('From SvanPC++'!A796))</f>
        <v/>
      </c>
      <c r="C796" s="47" t="s">
        <v>10</v>
      </c>
      <c r="G796" s="38" t="str">
        <f t="shared" si="61"/>
        <v/>
      </c>
      <c r="H796" s="36" t="str">
        <f t="shared" si="65"/>
        <v/>
      </c>
      <c r="J796" s="141" t="str">
        <f t="shared" si="62"/>
        <v/>
      </c>
      <c r="K796" s="141" t="str">
        <f t="shared" si="63"/>
        <v/>
      </c>
      <c r="L796" s="141" t="str">
        <f t="shared" si="64"/>
        <v/>
      </c>
    </row>
    <row r="797" spans="1:12" x14ac:dyDescent="0.3">
      <c r="A797" s="36" t="str">
        <f xml:space="preserve"> IF( 'From SvanPC++'!A797= "", "", ('From SvanPC++'!A797))</f>
        <v/>
      </c>
      <c r="C797" s="47" t="s">
        <v>10</v>
      </c>
      <c r="G797" s="38" t="str">
        <f t="shared" si="61"/>
        <v/>
      </c>
      <c r="H797" s="36" t="str">
        <f t="shared" si="65"/>
        <v/>
      </c>
      <c r="J797" s="141" t="str">
        <f t="shared" si="62"/>
        <v/>
      </c>
      <c r="K797" s="141" t="str">
        <f t="shared" si="63"/>
        <v/>
      </c>
      <c r="L797" s="141" t="str">
        <f t="shared" si="64"/>
        <v/>
      </c>
    </row>
    <row r="798" spans="1:12" x14ac:dyDescent="0.3">
      <c r="A798" s="36" t="str">
        <f xml:space="preserve"> IF( 'From SvanPC++'!A798= "", "", ('From SvanPC++'!A798))</f>
        <v/>
      </c>
      <c r="C798" s="47" t="s">
        <v>10</v>
      </c>
      <c r="G798" s="38" t="str">
        <f t="shared" si="61"/>
        <v/>
      </c>
      <c r="H798" s="36" t="str">
        <f t="shared" si="65"/>
        <v/>
      </c>
      <c r="J798" s="141" t="str">
        <f t="shared" si="62"/>
        <v/>
      </c>
      <c r="K798" s="141" t="str">
        <f t="shared" si="63"/>
        <v/>
      </c>
      <c r="L798" s="141" t="str">
        <f t="shared" si="64"/>
        <v/>
      </c>
    </row>
    <row r="799" spans="1:12" x14ac:dyDescent="0.3">
      <c r="A799" s="36" t="str">
        <f xml:space="preserve"> IF( 'From SvanPC++'!A799= "", "", ('From SvanPC++'!A799))</f>
        <v/>
      </c>
      <c r="C799" s="47" t="s">
        <v>10</v>
      </c>
      <c r="G799" s="38" t="str">
        <f t="shared" si="61"/>
        <v/>
      </c>
      <c r="H799" s="36" t="str">
        <f t="shared" si="65"/>
        <v/>
      </c>
      <c r="J799" s="141" t="str">
        <f t="shared" si="62"/>
        <v/>
      </c>
      <c r="K799" s="141" t="str">
        <f t="shared" si="63"/>
        <v/>
      </c>
      <c r="L799" s="141" t="str">
        <f t="shared" si="64"/>
        <v/>
      </c>
    </row>
    <row r="800" spans="1:12" x14ac:dyDescent="0.3">
      <c r="A800" s="36" t="str">
        <f xml:space="preserve"> IF( 'From SvanPC++'!A800= "", "", ('From SvanPC++'!A800))</f>
        <v/>
      </c>
      <c r="C800" s="47" t="s">
        <v>10</v>
      </c>
      <c r="G800" s="38" t="str">
        <f t="shared" si="61"/>
        <v/>
      </c>
      <c r="H800" s="36" t="str">
        <f t="shared" si="65"/>
        <v/>
      </c>
      <c r="J800" s="141" t="str">
        <f t="shared" si="62"/>
        <v/>
      </c>
      <c r="K800" s="141" t="str">
        <f t="shared" si="63"/>
        <v/>
      </c>
      <c r="L800" s="141" t="str">
        <f t="shared" si="64"/>
        <v/>
      </c>
    </row>
    <row r="801" spans="1:12" x14ac:dyDescent="0.3">
      <c r="A801" s="36" t="str">
        <f xml:space="preserve"> IF( 'From SvanPC++'!A801= "", "", ('From SvanPC++'!A801))</f>
        <v/>
      </c>
      <c r="C801" s="47" t="s">
        <v>10</v>
      </c>
      <c r="G801" s="38" t="str">
        <f t="shared" si="61"/>
        <v/>
      </c>
      <c r="H801" s="36" t="str">
        <f t="shared" si="65"/>
        <v/>
      </c>
      <c r="J801" s="141" t="str">
        <f t="shared" si="62"/>
        <v/>
      </c>
      <c r="K801" s="141" t="str">
        <f t="shared" si="63"/>
        <v/>
      </c>
      <c r="L801" s="141" t="str">
        <f t="shared" si="64"/>
        <v/>
      </c>
    </row>
    <row r="802" spans="1:12" x14ac:dyDescent="0.3">
      <c r="A802" s="36" t="str">
        <f xml:space="preserve"> IF( 'From SvanPC++'!A802= "", "", ('From SvanPC++'!A802))</f>
        <v/>
      </c>
      <c r="C802" s="47" t="s">
        <v>10</v>
      </c>
      <c r="G802" s="38" t="str">
        <f t="shared" si="61"/>
        <v/>
      </c>
      <c r="H802" s="36" t="str">
        <f t="shared" si="65"/>
        <v/>
      </c>
      <c r="J802" s="141" t="str">
        <f t="shared" si="62"/>
        <v/>
      </c>
      <c r="K802" s="141" t="str">
        <f t="shared" si="63"/>
        <v/>
      </c>
      <c r="L802" s="141" t="str">
        <f t="shared" si="64"/>
        <v/>
      </c>
    </row>
    <row r="803" spans="1:12" x14ac:dyDescent="0.3">
      <c r="A803" s="36" t="str">
        <f xml:space="preserve"> IF( 'From SvanPC++'!A803= "", "", ('From SvanPC++'!A803))</f>
        <v/>
      </c>
      <c r="C803" s="47" t="s">
        <v>10</v>
      </c>
      <c r="G803" s="38" t="str">
        <f t="shared" si="61"/>
        <v/>
      </c>
      <c r="H803" s="36" t="str">
        <f t="shared" si="65"/>
        <v/>
      </c>
      <c r="J803" s="141" t="str">
        <f t="shared" si="62"/>
        <v/>
      </c>
      <c r="K803" s="141" t="str">
        <f t="shared" si="63"/>
        <v/>
      </c>
      <c r="L803" s="141" t="str">
        <f t="shared" si="64"/>
        <v/>
      </c>
    </row>
    <row r="804" spans="1:12" x14ac:dyDescent="0.3">
      <c r="A804" s="36" t="str">
        <f xml:space="preserve"> IF( 'From SvanPC++'!A804= "", "", ('From SvanPC++'!A804))</f>
        <v/>
      </c>
      <c r="C804" s="47" t="s">
        <v>10</v>
      </c>
      <c r="G804" s="38" t="str">
        <f t="shared" si="61"/>
        <v/>
      </c>
      <c r="H804" s="36" t="str">
        <f t="shared" si="65"/>
        <v/>
      </c>
      <c r="J804" s="141" t="str">
        <f t="shared" si="62"/>
        <v/>
      </c>
      <c r="K804" s="141" t="str">
        <f t="shared" si="63"/>
        <v/>
      </c>
      <c r="L804" s="141" t="str">
        <f t="shared" si="64"/>
        <v/>
      </c>
    </row>
    <row r="805" spans="1:12" x14ac:dyDescent="0.3">
      <c r="A805" s="36" t="str">
        <f xml:space="preserve"> IF( 'From SvanPC++'!A805= "", "", ('From SvanPC++'!A805))</f>
        <v/>
      </c>
      <c r="C805" s="47" t="s">
        <v>10</v>
      </c>
      <c r="G805" s="38" t="str">
        <f t="shared" si="61"/>
        <v/>
      </c>
      <c r="H805" s="36" t="str">
        <f t="shared" si="65"/>
        <v/>
      </c>
      <c r="J805" s="141" t="str">
        <f t="shared" si="62"/>
        <v/>
      </c>
      <c r="K805" s="141" t="str">
        <f t="shared" si="63"/>
        <v/>
      </c>
      <c r="L805" s="141" t="str">
        <f t="shared" si="64"/>
        <v/>
      </c>
    </row>
    <row r="806" spans="1:12" x14ac:dyDescent="0.3">
      <c r="A806" s="36" t="str">
        <f xml:space="preserve"> IF( 'From SvanPC++'!A806= "", "", ('From SvanPC++'!A806))</f>
        <v/>
      </c>
      <c r="C806" s="47" t="s">
        <v>10</v>
      </c>
      <c r="G806" s="38" t="str">
        <f t="shared" si="61"/>
        <v/>
      </c>
      <c r="H806" s="36" t="str">
        <f t="shared" si="65"/>
        <v/>
      </c>
      <c r="J806" s="141" t="str">
        <f t="shared" si="62"/>
        <v/>
      </c>
      <c r="K806" s="141" t="str">
        <f t="shared" si="63"/>
        <v/>
      </c>
      <c r="L806" s="141" t="str">
        <f t="shared" si="64"/>
        <v/>
      </c>
    </row>
    <row r="807" spans="1:12" x14ac:dyDescent="0.3">
      <c r="A807" s="36" t="str">
        <f xml:space="preserve"> IF( 'From SvanPC++'!A807= "", "", ('From SvanPC++'!A807))</f>
        <v/>
      </c>
      <c r="C807" s="47" t="s">
        <v>10</v>
      </c>
      <c r="G807" s="38" t="str">
        <f t="shared" si="61"/>
        <v/>
      </c>
      <c r="H807" s="36" t="str">
        <f t="shared" si="65"/>
        <v/>
      </c>
      <c r="J807" s="141" t="str">
        <f t="shared" si="62"/>
        <v/>
      </c>
      <c r="K807" s="141" t="str">
        <f t="shared" si="63"/>
        <v/>
      </c>
      <c r="L807" s="141" t="str">
        <f t="shared" si="64"/>
        <v/>
      </c>
    </row>
    <row r="808" spans="1:12" x14ac:dyDescent="0.3">
      <c r="A808" s="36" t="str">
        <f xml:space="preserve"> IF( 'From SvanPC++'!A808= "", "", ('From SvanPC++'!A808))</f>
        <v/>
      </c>
      <c r="C808" s="47" t="s">
        <v>10</v>
      </c>
      <c r="G808" s="38" t="str">
        <f t="shared" si="61"/>
        <v/>
      </c>
      <c r="H808" s="36" t="str">
        <f t="shared" si="65"/>
        <v/>
      </c>
      <c r="J808" s="141" t="str">
        <f t="shared" si="62"/>
        <v/>
      </c>
      <c r="K808" s="141" t="str">
        <f t="shared" si="63"/>
        <v/>
      </c>
      <c r="L808" s="141" t="str">
        <f t="shared" si="64"/>
        <v/>
      </c>
    </row>
    <row r="809" spans="1:12" x14ac:dyDescent="0.3">
      <c r="A809" s="36" t="str">
        <f xml:space="preserve"> IF( 'From SvanPC++'!A809= "", "", ('From SvanPC++'!A809))</f>
        <v/>
      </c>
      <c r="C809" s="47" t="s">
        <v>10</v>
      </c>
      <c r="G809" s="38" t="str">
        <f t="shared" si="61"/>
        <v/>
      </c>
      <c r="H809" s="36" t="str">
        <f t="shared" si="65"/>
        <v/>
      </c>
      <c r="J809" s="141" t="str">
        <f t="shared" si="62"/>
        <v/>
      </c>
      <c r="K809" s="141" t="str">
        <f t="shared" si="63"/>
        <v/>
      </c>
      <c r="L809" s="141" t="str">
        <f t="shared" si="64"/>
        <v/>
      </c>
    </row>
    <row r="810" spans="1:12" x14ac:dyDescent="0.3">
      <c r="A810" s="36" t="str">
        <f xml:space="preserve"> IF( 'From SvanPC++'!A810= "", "", ('From SvanPC++'!A810))</f>
        <v/>
      </c>
      <c r="C810" s="47" t="s">
        <v>10</v>
      </c>
      <c r="G810" s="38" t="str">
        <f t="shared" si="61"/>
        <v/>
      </c>
      <c r="H810" s="36" t="str">
        <f t="shared" si="65"/>
        <v/>
      </c>
      <c r="J810" s="141" t="str">
        <f t="shared" si="62"/>
        <v/>
      </c>
      <c r="K810" s="141" t="str">
        <f t="shared" si="63"/>
        <v/>
      </c>
      <c r="L810" s="141" t="str">
        <f t="shared" si="64"/>
        <v/>
      </c>
    </row>
    <row r="811" spans="1:12" x14ac:dyDescent="0.3">
      <c r="A811" s="36" t="str">
        <f xml:space="preserve"> IF( 'From SvanPC++'!A811= "", "", ('From SvanPC++'!A811))</f>
        <v/>
      </c>
      <c r="C811" s="47" t="s">
        <v>10</v>
      </c>
      <c r="G811" s="38" t="str">
        <f t="shared" si="61"/>
        <v/>
      </c>
      <c r="H811" s="36" t="str">
        <f t="shared" si="65"/>
        <v/>
      </c>
      <c r="J811" s="141" t="str">
        <f t="shared" si="62"/>
        <v/>
      </c>
      <c r="K811" s="141" t="str">
        <f t="shared" si="63"/>
        <v/>
      </c>
      <c r="L811" s="141" t="str">
        <f t="shared" si="64"/>
        <v/>
      </c>
    </row>
    <row r="812" spans="1:12" x14ac:dyDescent="0.3">
      <c r="A812" s="36" t="str">
        <f xml:space="preserve"> IF( 'From SvanPC++'!A812= "", "", ('From SvanPC++'!A812))</f>
        <v/>
      </c>
      <c r="C812" s="47" t="s">
        <v>10</v>
      </c>
      <c r="G812" s="38" t="str">
        <f t="shared" si="61"/>
        <v/>
      </c>
      <c r="H812" s="36" t="str">
        <f t="shared" si="65"/>
        <v/>
      </c>
      <c r="J812" s="141" t="str">
        <f t="shared" si="62"/>
        <v/>
      </c>
      <c r="K812" s="141" t="str">
        <f t="shared" si="63"/>
        <v/>
      </c>
      <c r="L812" s="141" t="str">
        <f t="shared" si="64"/>
        <v/>
      </c>
    </row>
    <row r="813" spans="1:12" x14ac:dyDescent="0.3">
      <c r="A813" s="36" t="str">
        <f xml:space="preserve"> IF( 'From SvanPC++'!A813= "", "", ('From SvanPC++'!A813))</f>
        <v/>
      </c>
      <c r="C813" s="47" t="s">
        <v>10</v>
      </c>
      <c r="G813" s="38" t="str">
        <f t="shared" si="61"/>
        <v/>
      </c>
      <c r="H813" s="36" t="str">
        <f t="shared" si="65"/>
        <v/>
      </c>
      <c r="J813" s="141" t="str">
        <f t="shared" si="62"/>
        <v/>
      </c>
      <c r="K813" s="141" t="str">
        <f t="shared" si="63"/>
        <v/>
      </c>
      <c r="L813" s="141" t="str">
        <f t="shared" si="64"/>
        <v/>
      </c>
    </row>
    <row r="814" spans="1:12" x14ac:dyDescent="0.3">
      <c r="A814" s="36" t="str">
        <f xml:space="preserve"> IF( 'From SvanPC++'!A814= "", "", ('From SvanPC++'!A814))</f>
        <v/>
      </c>
      <c r="C814" s="47" t="s">
        <v>10</v>
      </c>
      <c r="G814" s="38" t="str">
        <f t="shared" si="61"/>
        <v/>
      </c>
      <c r="H814" s="36" t="str">
        <f t="shared" si="65"/>
        <v/>
      </c>
      <c r="J814" s="141" t="str">
        <f t="shared" si="62"/>
        <v/>
      </c>
      <c r="K814" s="141" t="str">
        <f t="shared" si="63"/>
        <v/>
      </c>
      <c r="L814" s="141" t="str">
        <f t="shared" si="64"/>
        <v/>
      </c>
    </row>
    <row r="815" spans="1:12" x14ac:dyDescent="0.3">
      <c r="A815" s="36" t="str">
        <f xml:space="preserve"> IF( 'From SvanPC++'!A815= "", "", ('From SvanPC++'!A815))</f>
        <v/>
      </c>
      <c r="C815" s="47" t="s">
        <v>10</v>
      </c>
      <c r="G815" s="38" t="str">
        <f t="shared" si="61"/>
        <v/>
      </c>
      <c r="H815" s="36" t="str">
        <f t="shared" si="65"/>
        <v/>
      </c>
      <c r="J815" s="141" t="str">
        <f t="shared" si="62"/>
        <v/>
      </c>
      <c r="K815" s="141" t="str">
        <f t="shared" si="63"/>
        <v/>
      </c>
      <c r="L815" s="141" t="str">
        <f t="shared" si="64"/>
        <v/>
      </c>
    </row>
    <row r="816" spans="1:12" x14ac:dyDescent="0.3">
      <c r="A816" s="36" t="str">
        <f xml:space="preserve"> IF( 'From SvanPC++'!A816= "", "", ('From SvanPC++'!A816))</f>
        <v/>
      </c>
      <c r="C816" s="47" t="s">
        <v>10</v>
      </c>
      <c r="G816" s="38" t="str">
        <f t="shared" si="61"/>
        <v/>
      </c>
      <c r="H816" s="36" t="str">
        <f t="shared" si="65"/>
        <v/>
      </c>
      <c r="J816" s="141" t="str">
        <f t="shared" si="62"/>
        <v/>
      </c>
      <c r="K816" s="141" t="str">
        <f t="shared" si="63"/>
        <v/>
      </c>
      <c r="L816" s="141" t="str">
        <f t="shared" si="64"/>
        <v/>
      </c>
    </row>
    <row r="817" spans="1:12" x14ac:dyDescent="0.3">
      <c r="A817" s="36" t="str">
        <f xml:space="preserve"> IF( 'From SvanPC++'!A817= "", "", ('From SvanPC++'!A817))</f>
        <v/>
      </c>
      <c r="C817" s="47" t="s">
        <v>10</v>
      </c>
      <c r="G817" s="38" t="str">
        <f t="shared" si="61"/>
        <v/>
      </c>
      <c r="H817" s="36" t="str">
        <f t="shared" si="65"/>
        <v/>
      </c>
      <c r="J817" s="141" t="str">
        <f t="shared" si="62"/>
        <v/>
      </c>
      <c r="K817" s="141" t="str">
        <f t="shared" si="63"/>
        <v/>
      </c>
      <c r="L817" s="141" t="str">
        <f t="shared" si="64"/>
        <v/>
      </c>
    </row>
    <row r="818" spans="1:12" x14ac:dyDescent="0.3">
      <c r="A818" s="36" t="str">
        <f xml:space="preserve"> IF( 'From SvanPC++'!A818= "", "", ('From SvanPC++'!A818))</f>
        <v/>
      </c>
      <c r="C818" s="47" t="s">
        <v>10</v>
      </c>
      <c r="G818" s="38" t="str">
        <f t="shared" si="61"/>
        <v/>
      </c>
      <c r="H818" s="36" t="str">
        <f t="shared" si="65"/>
        <v/>
      </c>
      <c r="J818" s="141" t="str">
        <f t="shared" si="62"/>
        <v/>
      </c>
      <c r="K818" s="141" t="str">
        <f t="shared" si="63"/>
        <v/>
      </c>
      <c r="L818" s="141" t="str">
        <f t="shared" si="64"/>
        <v/>
      </c>
    </row>
    <row r="819" spans="1:12" x14ac:dyDescent="0.3">
      <c r="A819" s="36" t="str">
        <f xml:space="preserve"> IF( 'From SvanPC++'!A819= "", "", ('From SvanPC++'!A819))</f>
        <v/>
      </c>
      <c r="C819" s="47" t="s">
        <v>10</v>
      </c>
      <c r="G819" s="38" t="str">
        <f t="shared" si="61"/>
        <v/>
      </c>
      <c r="H819" s="36" t="str">
        <f t="shared" si="65"/>
        <v/>
      </c>
      <c r="J819" s="141" t="str">
        <f t="shared" si="62"/>
        <v/>
      </c>
      <c r="K819" s="141" t="str">
        <f t="shared" si="63"/>
        <v/>
      </c>
      <c r="L819" s="141" t="str">
        <f t="shared" si="64"/>
        <v/>
      </c>
    </row>
    <row r="820" spans="1:12" x14ac:dyDescent="0.3">
      <c r="A820" s="36" t="str">
        <f xml:space="preserve"> IF( 'From SvanPC++'!A820= "", "", ('From SvanPC++'!A820))</f>
        <v/>
      </c>
      <c r="C820" s="47" t="s">
        <v>10</v>
      </c>
      <c r="G820" s="38" t="str">
        <f t="shared" si="61"/>
        <v/>
      </c>
      <c r="H820" s="36" t="str">
        <f t="shared" si="65"/>
        <v/>
      </c>
      <c r="J820" s="141" t="str">
        <f t="shared" si="62"/>
        <v/>
      </c>
      <c r="K820" s="141" t="str">
        <f t="shared" si="63"/>
        <v/>
      </c>
      <c r="L820" s="141" t="str">
        <f t="shared" si="64"/>
        <v/>
      </c>
    </row>
    <row r="821" spans="1:12" x14ac:dyDescent="0.3">
      <c r="A821" s="36" t="str">
        <f xml:space="preserve"> IF( 'From SvanPC++'!A821= "", "", ('From SvanPC++'!A821))</f>
        <v/>
      </c>
      <c r="C821" s="47" t="s">
        <v>10</v>
      </c>
      <c r="G821" s="38" t="str">
        <f t="shared" si="61"/>
        <v/>
      </c>
      <c r="H821" s="36" t="str">
        <f t="shared" si="65"/>
        <v/>
      </c>
      <c r="J821" s="141" t="str">
        <f t="shared" si="62"/>
        <v/>
      </c>
      <c r="K821" s="141" t="str">
        <f t="shared" si="63"/>
        <v/>
      </c>
      <c r="L821" s="141" t="str">
        <f t="shared" si="64"/>
        <v/>
      </c>
    </row>
    <row r="822" spans="1:12" x14ac:dyDescent="0.3">
      <c r="A822" s="36" t="str">
        <f xml:space="preserve"> IF( 'From SvanPC++'!A822= "", "", ('From SvanPC++'!A822))</f>
        <v/>
      </c>
      <c r="C822" s="47" t="s">
        <v>10</v>
      </c>
      <c r="G822" s="38" t="str">
        <f t="shared" si="61"/>
        <v/>
      </c>
      <c r="H822" s="36" t="str">
        <f t="shared" si="65"/>
        <v/>
      </c>
      <c r="J822" s="141" t="str">
        <f t="shared" si="62"/>
        <v/>
      </c>
      <c r="K822" s="141" t="str">
        <f t="shared" si="63"/>
        <v/>
      </c>
      <c r="L822" s="141" t="str">
        <f t="shared" si="64"/>
        <v/>
      </c>
    </row>
    <row r="823" spans="1:12" x14ac:dyDescent="0.3">
      <c r="A823" s="36" t="str">
        <f xml:space="preserve"> IF( 'From SvanPC++'!A823= "", "", ('From SvanPC++'!A823))</f>
        <v/>
      </c>
      <c r="C823" s="47" t="s">
        <v>10</v>
      </c>
      <c r="G823" s="38" t="str">
        <f t="shared" si="61"/>
        <v/>
      </c>
      <c r="H823" s="36" t="str">
        <f t="shared" si="65"/>
        <v/>
      </c>
      <c r="J823" s="141" t="str">
        <f t="shared" si="62"/>
        <v/>
      </c>
      <c r="K823" s="141" t="str">
        <f t="shared" si="63"/>
        <v/>
      </c>
      <c r="L823" s="141" t="str">
        <f t="shared" si="64"/>
        <v/>
      </c>
    </row>
    <row r="824" spans="1:12" x14ac:dyDescent="0.3">
      <c r="A824" s="36" t="str">
        <f xml:space="preserve"> IF( 'From SvanPC++'!A824= "", "", ('From SvanPC++'!A824))</f>
        <v/>
      </c>
      <c r="C824" s="47" t="s">
        <v>10</v>
      </c>
      <c r="G824" s="38" t="str">
        <f t="shared" si="61"/>
        <v/>
      </c>
      <c r="H824" s="36" t="str">
        <f t="shared" si="65"/>
        <v/>
      </c>
      <c r="J824" s="141" t="str">
        <f t="shared" si="62"/>
        <v/>
      </c>
      <c r="K824" s="141" t="str">
        <f t="shared" si="63"/>
        <v/>
      </c>
      <c r="L824" s="141" t="str">
        <f t="shared" si="64"/>
        <v/>
      </c>
    </row>
    <row r="825" spans="1:12" x14ac:dyDescent="0.3">
      <c r="A825" s="36" t="str">
        <f xml:space="preserve"> IF( 'From SvanPC++'!A825= "", "", ('From SvanPC++'!A825))</f>
        <v/>
      </c>
      <c r="C825" s="47" t="s">
        <v>10</v>
      </c>
      <c r="G825" s="38" t="str">
        <f t="shared" si="61"/>
        <v/>
      </c>
      <c r="H825" s="36" t="str">
        <f t="shared" si="65"/>
        <v/>
      </c>
      <c r="J825" s="141" t="str">
        <f t="shared" si="62"/>
        <v/>
      </c>
      <c r="K825" s="141" t="str">
        <f t="shared" si="63"/>
        <v/>
      </c>
      <c r="L825" s="141" t="str">
        <f t="shared" si="64"/>
        <v/>
      </c>
    </row>
    <row r="826" spans="1:12" x14ac:dyDescent="0.3">
      <c r="A826" s="36" t="str">
        <f xml:space="preserve"> IF( 'From SvanPC++'!A826= "", "", ('From SvanPC++'!A826))</f>
        <v/>
      </c>
      <c r="C826" s="47" t="s">
        <v>10</v>
      </c>
      <c r="G826" s="38" t="str">
        <f t="shared" si="61"/>
        <v/>
      </c>
      <c r="H826" s="36" t="str">
        <f t="shared" si="65"/>
        <v/>
      </c>
      <c r="J826" s="141" t="str">
        <f t="shared" si="62"/>
        <v/>
      </c>
      <c r="K826" s="141" t="str">
        <f t="shared" si="63"/>
        <v/>
      </c>
      <c r="L826" s="141" t="str">
        <f t="shared" si="64"/>
        <v/>
      </c>
    </row>
    <row r="827" spans="1:12" x14ac:dyDescent="0.3">
      <c r="A827" s="36" t="str">
        <f xml:space="preserve"> IF( 'From SvanPC++'!A827= "", "", ('From SvanPC++'!A827))</f>
        <v/>
      </c>
      <c r="C827" s="47" t="s">
        <v>10</v>
      </c>
      <c r="G827" s="38" t="str">
        <f t="shared" si="61"/>
        <v/>
      </c>
      <c r="H827" s="36" t="str">
        <f t="shared" si="65"/>
        <v/>
      </c>
      <c r="J827" s="141" t="str">
        <f t="shared" si="62"/>
        <v/>
      </c>
      <c r="K827" s="141" t="str">
        <f t="shared" si="63"/>
        <v/>
      </c>
      <c r="L827" s="141" t="str">
        <f t="shared" si="64"/>
        <v/>
      </c>
    </row>
    <row r="828" spans="1:12" x14ac:dyDescent="0.3">
      <c r="A828" s="36" t="str">
        <f xml:space="preserve"> IF( 'From SvanPC++'!A828= "", "", ('From SvanPC++'!A828))</f>
        <v/>
      </c>
      <c r="C828" s="47" t="s">
        <v>10</v>
      </c>
      <c r="G828" s="38" t="str">
        <f t="shared" si="61"/>
        <v/>
      </c>
      <c r="H828" s="36" t="str">
        <f t="shared" si="65"/>
        <v/>
      </c>
      <c r="J828" s="141" t="str">
        <f t="shared" si="62"/>
        <v/>
      </c>
      <c r="K828" s="141" t="str">
        <f t="shared" si="63"/>
        <v/>
      </c>
      <c r="L828" s="141" t="str">
        <f t="shared" si="64"/>
        <v/>
      </c>
    </row>
    <row r="829" spans="1:12" x14ac:dyDescent="0.3">
      <c r="A829" s="36" t="str">
        <f xml:space="preserve"> IF( 'From SvanPC++'!A829= "", "", ('From SvanPC++'!A829))</f>
        <v/>
      </c>
      <c r="C829" s="47" t="s">
        <v>10</v>
      </c>
      <c r="G829" s="38" t="str">
        <f t="shared" si="61"/>
        <v/>
      </c>
      <c r="H829" s="36" t="str">
        <f t="shared" si="65"/>
        <v/>
      </c>
      <c r="J829" s="141" t="str">
        <f t="shared" si="62"/>
        <v/>
      </c>
      <c r="K829" s="141" t="str">
        <f t="shared" si="63"/>
        <v/>
      </c>
      <c r="L829" s="141" t="str">
        <f t="shared" si="64"/>
        <v/>
      </c>
    </row>
    <row r="830" spans="1:12" x14ac:dyDescent="0.3">
      <c r="A830" s="36" t="str">
        <f xml:space="preserve"> IF( 'From SvanPC++'!A830= "", "", ('From SvanPC++'!A830))</f>
        <v/>
      </c>
      <c r="C830" s="47" t="s">
        <v>10</v>
      </c>
      <c r="G830" s="38" t="str">
        <f t="shared" si="61"/>
        <v/>
      </c>
      <c r="H830" s="36" t="str">
        <f t="shared" si="65"/>
        <v/>
      </c>
      <c r="J830" s="141" t="str">
        <f t="shared" si="62"/>
        <v/>
      </c>
      <c r="K830" s="141" t="str">
        <f t="shared" si="63"/>
        <v/>
      </c>
      <c r="L830" s="141" t="str">
        <f t="shared" si="64"/>
        <v/>
      </c>
    </row>
    <row r="831" spans="1:12" x14ac:dyDescent="0.3">
      <c r="A831" s="36" t="str">
        <f xml:space="preserve"> IF( 'From SvanPC++'!A831= "", "", ('From SvanPC++'!A831))</f>
        <v/>
      </c>
      <c r="C831" s="47" t="s">
        <v>10</v>
      </c>
      <c r="G831" s="38" t="str">
        <f t="shared" si="61"/>
        <v/>
      </c>
      <c r="H831" s="36" t="str">
        <f t="shared" si="65"/>
        <v/>
      </c>
      <c r="J831" s="141" t="str">
        <f t="shared" si="62"/>
        <v/>
      </c>
      <c r="K831" s="141" t="str">
        <f t="shared" si="63"/>
        <v/>
      </c>
      <c r="L831" s="141" t="str">
        <f t="shared" si="64"/>
        <v/>
      </c>
    </row>
    <row r="832" spans="1:12" x14ac:dyDescent="0.3">
      <c r="A832" s="36" t="str">
        <f xml:space="preserve"> IF( 'From SvanPC++'!A832= "", "", ('From SvanPC++'!A832))</f>
        <v/>
      </c>
      <c r="C832" s="47" t="s">
        <v>10</v>
      </c>
      <c r="G832" s="38" t="str">
        <f t="shared" si="61"/>
        <v/>
      </c>
      <c r="H832" s="36" t="str">
        <f t="shared" si="65"/>
        <v/>
      </c>
      <c r="J832" s="141" t="str">
        <f t="shared" si="62"/>
        <v/>
      </c>
      <c r="K832" s="141" t="str">
        <f t="shared" si="63"/>
        <v/>
      </c>
      <c r="L832" s="141" t="str">
        <f t="shared" si="64"/>
        <v/>
      </c>
    </row>
    <row r="833" spans="1:12" x14ac:dyDescent="0.3">
      <c r="A833" s="36" t="str">
        <f xml:space="preserve"> IF( 'From SvanPC++'!A833= "", "", ('From SvanPC++'!A833))</f>
        <v/>
      </c>
      <c r="C833" s="47" t="s">
        <v>10</v>
      </c>
      <c r="G833" s="38" t="str">
        <f t="shared" si="61"/>
        <v/>
      </c>
      <c r="H833" s="36" t="str">
        <f t="shared" si="65"/>
        <v/>
      </c>
      <c r="J833" s="141" t="str">
        <f t="shared" si="62"/>
        <v/>
      </c>
      <c r="K833" s="141" t="str">
        <f t="shared" si="63"/>
        <v/>
      </c>
      <c r="L833" s="141" t="str">
        <f t="shared" si="64"/>
        <v/>
      </c>
    </row>
    <row r="834" spans="1:12" x14ac:dyDescent="0.3">
      <c r="A834" s="36" t="str">
        <f xml:space="preserve"> IF( 'From SvanPC++'!A834= "", "", ('From SvanPC++'!A834))</f>
        <v/>
      </c>
      <c r="C834" s="47" t="s">
        <v>10</v>
      </c>
      <c r="G834" s="38" t="str">
        <f t="shared" si="61"/>
        <v/>
      </c>
      <c r="H834" s="36" t="str">
        <f t="shared" si="65"/>
        <v/>
      </c>
      <c r="J834" s="141" t="str">
        <f t="shared" si="62"/>
        <v/>
      </c>
      <c r="K834" s="141" t="str">
        <f t="shared" si="63"/>
        <v/>
      </c>
      <c r="L834" s="141" t="str">
        <f t="shared" si="64"/>
        <v/>
      </c>
    </row>
    <row r="835" spans="1:12" x14ac:dyDescent="0.3">
      <c r="A835" s="36" t="str">
        <f xml:space="preserve"> IF( 'From SvanPC++'!A835= "", "", ('From SvanPC++'!A835))</f>
        <v/>
      </c>
      <c r="C835" s="47" t="s">
        <v>10</v>
      </c>
      <c r="G835" s="38" t="str">
        <f t="shared" si="61"/>
        <v/>
      </c>
      <c r="H835" s="36" t="str">
        <f t="shared" si="65"/>
        <v/>
      </c>
      <c r="J835" s="141" t="str">
        <f t="shared" si="62"/>
        <v/>
      </c>
      <c r="K835" s="141" t="str">
        <f t="shared" si="63"/>
        <v/>
      </c>
      <c r="L835" s="141" t="str">
        <f t="shared" si="64"/>
        <v/>
      </c>
    </row>
    <row r="836" spans="1:12" x14ac:dyDescent="0.3">
      <c r="A836" s="36" t="str">
        <f xml:space="preserve"> IF( 'From SvanPC++'!A836= "", "", ('From SvanPC++'!A836))</f>
        <v/>
      </c>
      <c r="C836" s="47" t="s">
        <v>10</v>
      </c>
      <c r="G836" s="38" t="str">
        <f t="shared" si="61"/>
        <v/>
      </c>
      <c r="H836" s="36" t="str">
        <f t="shared" si="65"/>
        <v/>
      </c>
      <c r="J836" s="141" t="str">
        <f t="shared" si="62"/>
        <v/>
      </c>
      <c r="K836" s="141" t="str">
        <f t="shared" si="63"/>
        <v/>
      </c>
      <c r="L836" s="141" t="str">
        <f t="shared" si="64"/>
        <v/>
      </c>
    </row>
    <row r="837" spans="1:12" x14ac:dyDescent="0.3">
      <c r="A837" s="36" t="str">
        <f xml:space="preserve"> IF( 'From SvanPC++'!A837= "", "", ('From SvanPC++'!A837))</f>
        <v/>
      </c>
      <c r="C837" s="47" t="s">
        <v>10</v>
      </c>
      <c r="G837" s="38" t="str">
        <f t="shared" si="61"/>
        <v/>
      </c>
      <c r="H837" s="36" t="str">
        <f t="shared" si="65"/>
        <v/>
      </c>
      <c r="J837" s="141" t="str">
        <f t="shared" si="62"/>
        <v/>
      </c>
      <c r="K837" s="141" t="str">
        <f t="shared" si="63"/>
        <v/>
      </c>
      <c r="L837" s="141" t="str">
        <f t="shared" si="64"/>
        <v/>
      </c>
    </row>
    <row r="838" spans="1:12" x14ac:dyDescent="0.3">
      <c r="A838" s="36" t="str">
        <f xml:space="preserve"> IF( 'From SvanPC++'!A838= "", "", ('From SvanPC++'!A838))</f>
        <v/>
      </c>
      <c r="C838" s="47" t="s">
        <v>10</v>
      </c>
      <c r="G838" s="38" t="str">
        <f t="shared" si="61"/>
        <v/>
      </c>
      <c r="H838" s="36" t="str">
        <f t="shared" si="65"/>
        <v/>
      </c>
      <c r="J838" s="141" t="str">
        <f t="shared" si="62"/>
        <v/>
      </c>
      <c r="K838" s="141" t="str">
        <f t="shared" si="63"/>
        <v/>
      </c>
      <c r="L838" s="141" t="str">
        <f t="shared" si="64"/>
        <v/>
      </c>
    </row>
    <row r="839" spans="1:12" x14ac:dyDescent="0.3">
      <c r="A839" s="36" t="str">
        <f xml:space="preserve"> IF( 'From SvanPC++'!A839= "", "", ('From SvanPC++'!A839))</f>
        <v/>
      </c>
      <c r="C839" s="47" t="s">
        <v>10</v>
      </c>
      <c r="G839" s="38" t="str">
        <f t="shared" ref="G839:G902" si="66" xml:space="preserve"> IF( D839= "", "", ( IF( AND( D839 &gt;= TIMEVALUE( "07:00:01" ), D839 &lt; TIMEVALUE( "08:00:01" ) ) = TRUE, (G838+1), (G838+0) )))</f>
        <v/>
      </c>
      <c r="H839" s="36" t="str">
        <f t="shared" si="65"/>
        <v/>
      </c>
      <c r="J839" s="141" t="str">
        <f t="shared" si="62"/>
        <v/>
      </c>
      <c r="K839" s="141" t="str">
        <f t="shared" si="63"/>
        <v/>
      </c>
      <c r="L839" s="141" t="str">
        <f t="shared" si="64"/>
        <v/>
      </c>
    </row>
    <row r="840" spans="1:12" x14ac:dyDescent="0.3">
      <c r="A840" s="36" t="str">
        <f xml:space="preserve"> IF( 'From SvanPC++'!A840= "", "", ('From SvanPC++'!A840))</f>
        <v/>
      </c>
      <c r="C840" s="47" t="s">
        <v>10</v>
      </c>
      <c r="G840" s="38" t="str">
        <f t="shared" si="66"/>
        <v/>
      </c>
      <c r="H840" s="36" t="str">
        <f t="shared" si="65"/>
        <v/>
      </c>
      <c r="J840" s="141" t="str">
        <f t="shared" ref="J840:J903" si="67" xml:space="preserve"> IF( ISERROR( IF( D840= "", "", ( IF( G840= (G839+1), ( AVERAGEIFS( E840:E984, G840:G984, G840, H840:H984, "Day" )), "" )))), "",( IF( D840= "", "", ( IF( G840= (G839+1), ( AVERAGEIFS( E840:E984, G840:G984, G840, H840:H984, "Day" )), "" )))))</f>
        <v/>
      </c>
      <c r="K840" s="141" t="str">
        <f t="shared" ref="K840:K903" si="68" xml:space="preserve"> IF( ISERROR( IF( D840= "", "", ( IF( G840= (G839+1), ( AVERAGEIFS( E840:E984, G840:G984, G840, H840:H984, "Evening" )), "" )))), "",( IF( D840= "", "", ( IF( G840= (G839+1), ( AVERAGEIFS( E840:E984, G840:G984, G840, H840:H984, "Evening" )), "" )))))</f>
        <v/>
      </c>
      <c r="L840" s="141" t="str">
        <f t="shared" ref="L840:L903" si="69" xml:space="preserve"> IF( ISERROR( IF( D840= "", "", ( IF( G840= (G839+1), ( AVERAGEIFS( E840:E984, G840:G984, G840, H840:H984, "Night" )), "" )))), "",( IF( D840= "", "", ( IF( G840= (G839+1), ( AVERAGEIFS( E840:E984, G840:G984, G840, H840:H984, "Night" )), "" )))))</f>
        <v/>
      </c>
    </row>
    <row r="841" spans="1:12" x14ac:dyDescent="0.3">
      <c r="A841" s="36" t="str">
        <f xml:space="preserve"> IF( 'From SvanPC++'!A841= "", "", ('From SvanPC++'!A841))</f>
        <v/>
      </c>
      <c r="C841" s="47" t="s">
        <v>10</v>
      </c>
      <c r="G841" s="38" t="str">
        <f t="shared" si="66"/>
        <v/>
      </c>
      <c r="H841" s="36" t="str">
        <f t="shared" si="65"/>
        <v/>
      </c>
      <c r="J841" s="141" t="str">
        <f t="shared" si="67"/>
        <v/>
      </c>
      <c r="K841" s="141" t="str">
        <f t="shared" si="68"/>
        <v/>
      </c>
      <c r="L841" s="141" t="str">
        <f t="shared" si="69"/>
        <v/>
      </c>
    </row>
    <row r="842" spans="1:12" x14ac:dyDescent="0.3">
      <c r="A842" s="36" t="str">
        <f xml:space="preserve"> IF( 'From SvanPC++'!A842= "", "", ('From SvanPC++'!A842))</f>
        <v/>
      </c>
      <c r="C842" s="47" t="s">
        <v>10</v>
      </c>
      <c r="G842" s="38" t="str">
        <f t="shared" si="66"/>
        <v/>
      </c>
      <c r="H842" s="36" t="str">
        <f t="shared" si="65"/>
        <v/>
      </c>
      <c r="J842" s="141" t="str">
        <f t="shared" si="67"/>
        <v/>
      </c>
      <c r="K842" s="141" t="str">
        <f t="shared" si="68"/>
        <v/>
      </c>
      <c r="L842" s="141" t="str">
        <f t="shared" si="69"/>
        <v/>
      </c>
    </row>
    <row r="843" spans="1:12" x14ac:dyDescent="0.3">
      <c r="A843" s="36" t="str">
        <f xml:space="preserve"> IF( 'From SvanPC++'!A843= "", "", ('From SvanPC++'!A843))</f>
        <v/>
      </c>
      <c r="C843" s="47" t="s">
        <v>10</v>
      </c>
      <c r="G843" s="38" t="str">
        <f t="shared" si="66"/>
        <v/>
      </c>
      <c r="H843" s="36" t="str">
        <f t="shared" si="65"/>
        <v/>
      </c>
      <c r="J843" s="141" t="str">
        <f t="shared" si="67"/>
        <v/>
      </c>
      <c r="K843" s="141" t="str">
        <f t="shared" si="68"/>
        <v/>
      </c>
      <c r="L843" s="141" t="str">
        <f t="shared" si="69"/>
        <v/>
      </c>
    </row>
    <row r="844" spans="1:12" x14ac:dyDescent="0.3">
      <c r="A844" s="36" t="str">
        <f xml:space="preserve"> IF( 'From SvanPC++'!A844= "", "", ('From SvanPC++'!A844))</f>
        <v/>
      </c>
      <c r="C844" s="47" t="s">
        <v>10</v>
      </c>
      <c r="G844" s="38" t="str">
        <f t="shared" si="66"/>
        <v/>
      </c>
      <c r="H844" s="36" t="str">
        <f t="shared" si="65"/>
        <v/>
      </c>
      <c r="J844" s="141" t="str">
        <f t="shared" si="67"/>
        <v/>
      </c>
      <c r="K844" s="141" t="str">
        <f t="shared" si="68"/>
        <v/>
      </c>
      <c r="L844" s="141" t="str">
        <f t="shared" si="69"/>
        <v/>
      </c>
    </row>
    <row r="845" spans="1:12" x14ac:dyDescent="0.3">
      <c r="A845" s="36" t="str">
        <f xml:space="preserve"> IF( 'From SvanPC++'!A845= "", "", ('From SvanPC++'!A845))</f>
        <v/>
      </c>
      <c r="C845" s="47" t="s">
        <v>10</v>
      </c>
      <c r="G845" s="38" t="str">
        <f t="shared" si="66"/>
        <v/>
      </c>
      <c r="H845" s="36" t="str">
        <f t="shared" si="65"/>
        <v/>
      </c>
      <c r="J845" s="141" t="str">
        <f t="shared" si="67"/>
        <v/>
      </c>
      <c r="K845" s="141" t="str">
        <f t="shared" si="68"/>
        <v/>
      </c>
      <c r="L845" s="141" t="str">
        <f t="shared" si="69"/>
        <v/>
      </c>
    </row>
    <row r="846" spans="1:12" x14ac:dyDescent="0.3">
      <c r="A846" s="36" t="str">
        <f xml:space="preserve"> IF( 'From SvanPC++'!A846= "", "", ('From SvanPC++'!A846))</f>
        <v/>
      </c>
      <c r="C846" s="47" t="s">
        <v>10</v>
      </c>
      <c r="G846" s="38" t="str">
        <f t="shared" si="66"/>
        <v/>
      </c>
      <c r="H846" s="36" t="str">
        <f t="shared" si="65"/>
        <v/>
      </c>
      <c r="J846" s="141" t="str">
        <f t="shared" si="67"/>
        <v/>
      </c>
      <c r="K846" s="141" t="str">
        <f t="shared" si="68"/>
        <v/>
      </c>
      <c r="L846" s="141" t="str">
        <f t="shared" si="69"/>
        <v/>
      </c>
    </row>
    <row r="847" spans="1:12" x14ac:dyDescent="0.3">
      <c r="A847" s="36" t="str">
        <f xml:space="preserve"> IF( 'From SvanPC++'!A847= "", "", ('From SvanPC++'!A847))</f>
        <v/>
      </c>
      <c r="C847" s="47" t="s">
        <v>10</v>
      </c>
      <c r="G847" s="38" t="str">
        <f t="shared" si="66"/>
        <v/>
      </c>
      <c r="H847" s="36" t="str">
        <f t="shared" si="65"/>
        <v/>
      </c>
      <c r="J847" s="141" t="str">
        <f t="shared" si="67"/>
        <v/>
      </c>
      <c r="K847" s="141" t="str">
        <f t="shared" si="68"/>
        <v/>
      </c>
      <c r="L847" s="141" t="str">
        <f t="shared" si="69"/>
        <v/>
      </c>
    </row>
    <row r="848" spans="1:12" x14ac:dyDescent="0.3">
      <c r="A848" s="36" t="str">
        <f xml:space="preserve"> IF( 'From SvanPC++'!A848= "", "", ('From SvanPC++'!A848))</f>
        <v/>
      </c>
      <c r="C848" s="47" t="s">
        <v>10</v>
      </c>
      <c r="G848" s="38" t="str">
        <f t="shared" si="66"/>
        <v/>
      </c>
      <c r="H848" s="36" t="str">
        <f t="shared" si="65"/>
        <v/>
      </c>
      <c r="J848" s="141" t="str">
        <f t="shared" si="67"/>
        <v/>
      </c>
      <c r="K848" s="141" t="str">
        <f t="shared" si="68"/>
        <v/>
      </c>
      <c r="L848" s="141" t="str">
        <f t="shared" si="69"/>
        <v/>
      </c>
    </row>
    <row r="849" spans="1:12" x14ac:dyDescent="0.3">
      <c r="A849" s="36" t="str">
        <f xml:space="preserve"> IF( 'From SvanPC++'!A849= "", "", ('From SvanPC++'!A849))</f>
        <v/>
      </c>
      <c r="C849" s="47" t="s">
        <v>10</v>
      </c>
      <c r="G849" s="38" t="str">
        <f t="shared" si="66"/>
        <v/>
      </c>
      <c r="H849" s="36" t="str">
        <f t="shared" si="65"/>
        <v/>
      </c>
      <c r="J849" s="141" t="str">
        <f t="shared" si="67"/>
        <v/>
      </c>
      <c r="K849" s="141" t="str">
        <f t="shared" si="68"/>
        <v/>
      </c>
      <c r="L849" s="141" t="str">
        <f t="shared" si="69"/>
        <v/>
      </c>
    </row>
    <row r="850" spans="1:12" x14ac:dyDescent="0.3">
      <c r="A850" s="36" t="str">
        <f xml:space="preserve"> IF( 'From SvanPC++'!A850= "", "", ('From SvanPC++'!A850))</f>
        <v/>
      </c>
      <c r="C850" s="47" t="s">
        <v>10</v>
      </c>
      <c r="G850" s="38" t="str">
        <f t="shared" si="66"/>
        <v/>
      </c>
      <c r="H850" s="36" t="str">
        <f t="shared" si="65"/>
        <v/>
      </c>
      <c r="J850" s="141" t="str">
        <f t="shared" si="67"/>
        <v/>
      </c>
      <c r="K850" s="141" t="str">
        <f t="shared" si="68"/>
        <v/>
      </c>
      <c r="L850" s="141" t="str">
        <f t="shared" si="69"/>
        <v/>
      </c>
    </row>
    <row r="851" spans="1:12" x14ac:dyDescent="0.3">
      <c r="A851" s="36" t="str">
        <f xml:space="preserve"> IF( 'From SvanPC++'!A851= "", "", ('From SvanPC++'!A851))</f>
        <v/>
      </c>
      <c r="C851" s="47" t="s">
        <v>10</v>
      </c>
      <c r="G851" s="38" t="str">
        <f t="shared" si="66"/>
        <v/>
      </c>
      <c r="H851" s="36" t="str">
        <f t="shared" si="65"/>
        <v/>
      </c>
      <c r="J851" s="141" t="str">
        <f t="shared" si="67"/>
        <v/>
      </c>
      <c r="K851" s="141" t="str">
        <f t="shared" si="68"/>
        <v/>
      </c>
      <c r="L851" s="141" t="str">
        <f t="shared" si="69"/>
        <v/>
      </c>
    </row>
    <row r="852" spans="1:12" x14ac:dyDescent="0.3">
      <c r="A852" s="36" t="str">
        <f xml:space="preserve"> IF( 'From SvanPC++'!A852= "", "", ('From SvanPC++'!A852))</f>
        <v/>
      </c>
      <c r="C852" s="47" t="s">
        <v>10</v>
      </c>
      <c r="G852" s="38" t="str">
        <f t="shared" si="66"/>
        <v/>
      </c>
      <c r="H852" s="36" t="str">
        <f t="shared" si="65"/>
        <v/>
      </c>
      <c r="J852" s="141" t="str">
        <f t="shared" si="67"/>
        <v/>
      </c>
      <c r="K852" s="141" t="str">
        <f t="shared" si="68"/>
        <v/>
      </c>
      <c r="L852" s="141" t="str">
        <f t="shared" si="69"/>
        <v/>
      </c>
    </row>
    <row r="853" spans="1:12" x14ac:dyDescent="0.3">
      <c r="A853" s="36" t="str">
        <f xml:space="preserve"> IF( 'From SvanPC++'!A853= "", "", ('From SvanPC++'!A853))</f>
        <v/>
      </c>
      <c r="C853" s="47" t="s">
        <v>10</v>
      </c>
      <c r="G853" s="38" t="str">
        <f t="shared" si="66"/>
        <v/>
      </c>
      <c r="H853" s="36" t="str">
        <f t="shared" si="65"/>
        <v/>
      </c>
      <c r="J853" s="141" t="str">
        <f t="shared" si="67"/>
        <v/>
      </c>
      <c r="K853" s="141" t="str">
        <f t="shared" si="68"/>
        <v/>
      </c>
      <c r="L853" s="141" t="str">
        <f t="shared" si="69"/>
        <v/>
      </c>
    </row>
    <row r="854" spans="1:12" x14ac:dyDescent="0.3">
      <c r="A854" s="36" t="str">
        <f xml:space="preserve"> IF( 'From SvanPC++'!A854= "", "", ('From SvanPC++'!A854))</f>
        <v/>
      </c>
      <c r="C854" s="47" t="s">
        <v>10</v>
      </c>
      <c r="G854" s="38" t="str">
        <f t="shared" si="66"/>
        <v/>
      </c>
      <c r="H854" s="36" t="str">
        <f t="shared" si="65"/>
        <v/>
      </c>
      <c r="J854" s="141" t="str">
        <f t="shared" si="67"/>
        <v/>
      </c>
      <c r="K854" s="141" t="str">
        <f t="shared" si="68"/>
        <v/>
      </c>
      <c r="L854" s="141" t="str">
        <f t="shared" si="69"/>
        <v/>
      </c>
    </row>
    <row r="855" spans="1:12" x14ac:dyDescent="0.3">
      <c r="A855" s="36" t="str">
        <f xml:space="preserve"> IF( 'From SvanPC++'!A855= "", "", ('From SvanPC++'!A855))</f>
        <v/>
      </c>
      <c r="C855" s="47" t="s">
        <v>10</v>
      </c>
      <c r="G855" s="38" t="str">
        <f t="shared" si="66"/>
        <v/>
      </c>
      <c r="H855" s="36" t="str">
        <f t="shared" ref="H855:H918" si="70" xml:space="preserve"> IF( D855= "", "", ( IF( AND( D855 &gt;= TIMEVALUE( "07:00:01" ), D855 &lt;= TIMEVALUE( "13:00:00" ), WEEKDAY( C855) =(7+N("Lines 2-17 = saturday day period")) ) = TRUE, "Day",
IF( AND( D855 &gt;= TIMEVALUE( "07:00:01" ), D855 &lt;= TIMEVALUE( "18:00:00" ), WEEKDAY( C855,1+N("Lines 19-38 = weekday day period")) &gt;=2, ( WEEKDAY( C855,1) &lt;=6) ) = TRUE, "Day",
IF( AND( D855 &gt;= TIMEVALUE( "13:00:01" ), D855 &lt;= TIMEVALUE( "22:00:00" ), WEEKDAY( C855) =(7+N("Lines 40-56 = saturday evening period")) ) = TRUE, "Evening",
IF( AND( D855 &gt;= TIMEVALUE( "18:00:01" ), D855 &lt;= TIMEVALUE( "22:00:00" ), WEEKDAY( C855,1+N("Lines 57-77 = weekday evening period")) &gt;=2, ( WEEKDAY( C855,1) &lt;=6) ) = TRUE, "Evening",
IF( AND( D855 &gt;= TIMEVALUE( "07:00:01" ), D855 &lt;= TIMEVALUE( "22:00:00" ), WEEKDAY( C855) =(1+N("Lines 78-94 = sunday evening period")) ) = TRUE, "Evening",
IF( AND( D855 &gt;= TIMEVALUE( "22:00:01" ), D855 &lt;= TIMEVALUE( "23:59:59" ), WEEKDAY( C855) =(7+N("Lines 95-111 = saturday night1 period")) ) = TRUE, "Night",
IF( AND( D855 &gt;= TIMEVALUE( "00:00:00" ), D855 &lt;= TIMEVALUE( "07:00:00" ), WEEKDAY( C855) =(7+N("Lines 112-128 = saturday night2 period")) ) = TRUE, "Night",
IF( AND( D855 &gt;= TIMEVALUE( "22:00:01" ), D855 &lt;= TIMEVALUE( "23:59:59" ), WEEKDAY( C855,1+N("Lines 129-149 = weekday night1 period")) &gt;=2, ( WEEKDAY( C855,1) &lt;=6) ) = TRUE, "Night",
IF( AND( D855 &gt;= TIMEVALUE( "00:00:00" ), D855 &lt;= TIMEVALUE( "07:00:00" ), WEEKDAY( C855,1+N("Lines 150-170 = weekday night2 period")) &gt;=2, ( WEEKDAY( C855,1) &lt;=6) ) = TRUE, "Night",
IF( AND( D855 &gt;= TIMEVALUE( "20:00:01" ), D855 &lt;= TIMEVALUE( "23:59:59" ), WEEKDAY( C855) =(1+N("Lines 171-187 = sunday night1 period")) ) = TRUE, "Night",
IF( AND( D855 &gt;= TIMEVALUE( "00:00:00" ), D855 &lt;= TIMEVALUE( "07:00:00" ), WEEKDAY( C855) =(1+N("Lines 188-204 = sunday night2 period")) ) = TRUE, "Night", )))))))))))))</f>
        <v/>
      </c>
      <c r="J855" s="141" t="str">
        <f t="shared" si="67"/>
        <v/>
      </c>
      <c r="K855" s="141" t="str">
        <f t="shared" si="68"/>
        <v/>
      </c>
      <c r="L855" s="141" t="str">
        <f t="shared" si="69"/>
        <v/>
      </c>
    </row>
    <row r="856" spans="1:12" x14ac:dyDescent="0.3">
      <c r="A856" s="36" t="str">
        <f xml:space="preserve"> IF( 'From SvanPC++'!A856= "", "", ('From SvanPC++'!A856))</f>
        <v/>
      </c>
      <c r="C856" s="47" t="s">
        <v>10</v>
      </c>
      <c r="G856" s="38" t="str">
        <f t="shared" si="66"/>
        <v/>
      </c>
      <c r="H856" s="36" t="str">
        <f t="shared" si="70"/>
        <v/>
      </c>
      <c r="J856" s="141" t="str">
        <f t="shared" si="67"/>
        <v/>
      </c>
      <c r="K856" s="141" t="str">
        <f t="shared" si="68"/>
        <v/>
      </c>
      <c r="L856" s="141" t="str">
        <f t="shared" si="69"/>
        <v/>
      </c>
    </row>
    <row r="857" spans="1:12" x14ac:dyDescent="0.3">
      <c r="A857" s="36" t="str">
        <f xml:space="preserve"> IF( 'From SvanPC++'!A857= "", "", ('From SvanPC++'!A857))</f>
        <v/>
      </c>
      <c r="C857" s="47" t="s">
        <v>10</v>
      </c>
      <c r="G857" s="38" t="str">
        <f t="shared" si="66"/>
        <v/>
      </c>
      <c r="H857" s="36" t="str">
        <f t="shared" si="70"/>
        <v/>
      </c>
      <c r="J857" s="141" t="str">
        <f t="shared" si="67"/>
        <v/>
      </c>
      <c r="K857" s="141" t="str">
        <f t="shared" si="68"/>
        <v/>
      </c>
      <c r="L857" s="141" t="str">
        <f t="shared" si="69"/>
        <v/>
      </c>
    </row>
    <row r="858" spans="1:12" x14ac:dyDescent="0.3">
      <c r="A858" s="36" t="str">
        <f xml:space="preserve"> IF( 'From SvanPC++'!A858= "", "", ('From SvanPC++'!A858))</f>
        <v/>
      </c>
      <c r="C858" s="47" t="s">
        <v>10</v>
      </c>
      <c r="G858" s="38" t="str">
        <f t="shared" si="66"/>
        <v/>
      </c>
      <c r="H858" s="36" t="str">
        <f t="shared" si="70"/>
        <v/>
      </c>
      <c r="J858" s="141" t="str">
        <f t="shared" si="67"/>
        <v/>
      </c>
      <c r="K858" s="141" t="str">
        <f t="shared" si="68"/>
        <v/>
      </c>
      <c r="L858" s="141" t="str">
        <f t="shared" si="69"/>
        <v/>
      </c>
    </row>
    <row r="859" spans="1:12" x14ac:dyDescent="0.3">
      <c r="A859" s="36" t="str">
        <f xml:space="preserve"> IF( 'From SvanPC++'!A859= "", "", ('From SvanPC++'!A859))</f>
        <v/>
      </c>
      <c r="C859" s="47" t="s">
        <v>10</v>
      </c>
      <c r="G859" s="38" t="str">
        <f t="shared" si="66"/>
        <v/>
      </c>
      <c r="H859" s="36" t="str">
        <f t="shared" si="70"/>
        <v/>
      </c>
      <c r="J859" s="141" t="str">
        <f t="shared" si="67"/>
        <v/>
      </c>
      <c r="K859" s="141" t="str">
        <f t="shared" si="68"/>
        <v/>
      </c>
      <c r="L859" s="141" t="str">
        <f t="shared" si="69"/>
        <v/>
      </c>
    </row>
    <row r="860" spans="1:12" x14ac:dyDescent="0.3">
      <c r="A860" s="36" t="str">
        <f xml:space="preserve"> IF( 'From SvanPC++'!A860= "", "", ('From SvanPC++'!A860))</f>
        <v/>
      </c>
      <c r="C860" s="47" t="s">
        <v>10</v>
      </c>
      <c r="G860" s="38" t="str">
        <f t="shared" si="66"/>
        <v/>
      </c>
      <c r="H860" s="36" t="str">
        <f t="shared" si="70"/>
        <v/>
      </c>
      <c r="J860" s="141" t="str">
        <f t="shared" si="67"/>
        <v/>
      </c>
      <c r="K860" s="141" t="str">
        <f t="shared" si="68"/>
        <v/>
      </c>
      <c r="L860" s="141" t="str">
        <f t="shared" si="69"/>
        <v/>
      </c>
    </row>
    <row r="861" spans="1:12" x14ac:dyDescent="0.3">
      <c r="A861" s="36" t="str">
        <f xml:space="preserve"> IF( 'From SvanPC++'!A861= "", "", ('From SvanPC++'!A861))</f>
        <v/>
      </c>
      <c r="C861" s="47" t="s">
        <v>10</v>
      </c>
      <c r="G861" s="38" t="str">
        <f t="shared" si="66"/>
        <v/>
      </c>
      <c r="H861" s="36" t="str">
        <f t="shared" si="70"/>
        <v/>
      </c>
      <c r="J861" s="141" t="str">
        <f t="shared" si="67"/>
        <v/>
      </c>
      <c r="K861" s="141" t="str">
        <f t="shared" si="68"/>
        <v/>
      </c>
      <c r="L861" s="141" t="str">
        <f t="shared" si="69"/>
        <v/>
      </c>
    </row>
    <row r="862" spans="1:12" x14ac:dyDescent="0.3">
      <c r="A862" s="36" t="str">
        <f xml:space="preserve"> IF( 'From SvanPC++'!A862= "", "", ('From SvanPC++'!A862))</f>
        <v/>
      </c>
      <c r="C862" s="47" t="s">
        <v>10</v>
      </c>
      <c r="G862" s="38" t="str">
        <f t="shared" si="66"/>
        <v/>
      </c>
      <c r="H862" s="36" t="str">
        <f t="shared" si="70"/>
        <v/>
      </c>
      <c r="J862" s="141" t="str">
        <f t="shared" si="67"/>
        <v/>
      </c>
      <c r="K862" s="141" t="str">
        <f t="shared" si="68"/>
        <v/>
      </c>
      <c r="L862" s="141" t="str">
        <f t="shared" si="69"/>
        <v/>
      </c>
    </row>
    <row r="863" spans="1:12" x14ac:dyDescent="0.3">
      <c r="A863" s="36" t="str">
        <f xml:space="preserve"> IF( 'From SvanPC++'!A863= "", "", ('From SvanPC++'!A863))</f>
        <v/>
      </c>
      <c r="C863" s="47" t="s">
        <v>10</v>
      </c>
      <c r="G863" s="38" t="str">
        <f t="shared" si="66"/>
        <v/>
      </c>
      <c r="H863" s="36" t="str">
        <f t="shared" si="70"/>
        <v/>
      </c>
      <c r="J863" s="141" t="str">
        <f t="shared" si="67"/>
        <v/>
      </c>
      <c r="K863" s="141" t="str">
        <f t="shared" si="68"/>
        <v/>
      </c>
      <c r="L863" s="141" t="str">
        <f t="shared" si="69"/>
        <v/>
      </c>
    </row>
    <row r="864" spans="1:12" x14ac:dyDescent="0.3">
      <c r="A864" s="36" t="str">
        <f xml:space="preserve"> IF( 'From SvanPC++'!A864= "", "", ('From SvanPC++'!A864))</f>
        <v/>
      </c>
      <c r="C864" s="47" t="s">
        <v>10</v>
      </c>
      <c r="G864" s="38" t="str">
        <f t="shared" si="66"/>
        <v/>
      </c>
      <c r="H864" s="36" t="str">
        <f t="shared" si="70"/>
        <v/>
      </c>
      <c r="J864" s="141" t="str">
        <f t="shared" si="67"/>
        <v/>
      </c>
      <c r="K864" s="141" t="str">
        <f t="shared" si="68"/>
        <v/>
      </c>
      <c r="L864" s="141" t="str">
        <f t="shared" si="69"/>
        <v/>
      </c>
    </row>
    <row r="865" spans="1:12" x14ac:dyDescent="0.3">
      <c r="A865" s="36" t="str">
        <f xml:space="preserve"> IF( 'From SvanPC++'!A865= "", "", ('From SvanPC++'!A865))</f>
        <v/>
      </c>
      <c r="C865" s="47" t="s">
        <v>10</v>
      </c>
      <c r="G865" s="38" t="str">
        <f t="shared" si="66"/>
        <v/>
      </c>
      <c r="H865" s="36" t="str">
        <f t="shared" si="70"/>
        <v/>
      </c>
      <c r="J865" s="141" t="str">
        <f t="shared" si="67"/>
        <v/>
      </c>
      <c r="K865" s="141" t="str">
        <f t="shared" si="68"/>
        <v/>
      </c>
      <c r="L865" s="141" t="str">
        <f t="shared" si="69"/>
        <v/>
      </c>
    </row>
    <row r="866" spans="1:12" x14ac:dyDescent="0.3">
      <c r="A866" s="36" t="str">
        <f xml:space="preserve"> IF( 'From SvanPC++'!A866= "", "", ('From SvanPC++'!A866))</f>
        <v/>
      </c>
      <c r="C866" s="47" t="s">
        <v>10</v>
      </c>
      <c r="G866" s="38" t="str">
        <f t="shared" si="66"/>
        <v/>
      </c>
      <c r="H866" s="36" t="str">
        <f t="shared" si="70"/>
        <v/>
      </c>
      <c r="J866" s="141" t="str">
        <f t="shared" si="67"/>
        <v/>
      </c>
      <c r="K866" s="141" t="str">
        <f t="shared" si="68"/>
        <v/>
      </c>
      <c r="L866" s="141" t="str">
        <f t="shared" si="69"/>
        <v/>
      </c>
    </row>
    <row r="867" spans="1:12" x14ac:dyDescent="0.3">
      <c r="A867" s="36" t="str">
        <f xml:space="preserve"> IF( 'From SvanPC++'!A867= "", "", ('From SvanPC++'!A867))</f>
        <v/>
      </c>
      <c r="C867" s="47" t="s">
        <v>10</v>
      </c>
      <c r="G867" s="38" t="str">
        <f t="shared" si="66"/>
        <v/>
      </c>
      <c r="H867" s="36" t="str">
        <f t="shared" si="70"/>
        <v/>
      </c>
      <c r="J867" s="141" t="str">
        <f t="shared" si="67"/>
        <v/>
      </c>
      <c r="K867" s="141" t="str">
        <f t="shared" si="68"/>
        <v/>
      </c>
      <c r="L867" s="141" t="str">
        <f t="shared" si="69"/>
        <v/>
      </c>
    </row>
    <row r="868" spans="1:12" x14ac:dyDescent="0.3">
      <c r="A868" s="36" t="str">
        <f xml:space="preserve"> IF( 'From SvanPC++'!A868= "", "", ('From SvanPC++'!A868))</f>
        <v/>
      </c>
      <c r="C868" s="47" t="s">
        <v>10</v>
      </c>
      <c r="G868" s="38" t="str">
        <f t="shared" si="66"/>
        <v/>
      </c>
      <c r="H868" s="36" t="str">
        <f t="shared" si="70"/>
        <v/>
      </c>
      <c r="J868" s="141" t="str">
        <f t="shared" si="67"/>
        <v/>
      </c>
      <c r="K868" s="141" t="str">
        <f t="shared" si="68"/>
        <v/>
      </c>
      <c r="L868" s="141" t="str">
        <f t="shared" si="69"/>
        <v/>
      </c>
    </row>
    <row r="869" spans="1:12" x14ac:dyDescent="0.3">
      <c r="A869" s="36" t="str">
        <f xml:space="preserve"> IF( 'From SvanPC++'!A869= "", "", ('From SvanPC++'!A869))</f>
        <v/>
      </c>
      <c r="C869" s="47" t="s">
        <v>10</v>
      </c>
      <c r="G869" s="38" t="str">
        <f t="shared" si="66"/>
        <v/>
      </c>
      <c r="H869" s="36" t="str">
        <f t="shared" si="70"/>
        <v/>
      </c>
      <c r="J869" s="141" t="str">
        <f t="shared" si="67"/>
        <v/>
      </c>
      <c r="K869" s="141" t="str">
        <f t="shared" si="68"/>
        <v/>
      </c>
      <c r="L869" s="141" t="str">
        <f t="shared" si="69"/>
        <v/>
      </c>
    </row>
    <row r="870" spans="1:12" x14ac:dyDescent="0.3">
      <c r="A870" s="36" t="str">
        <f xml:space="preserve"> IF( 'From SvanPC++'!A870= "", "", ('From SvanPC++'!A870))</f>
        <v/>
      </c>
      <c r="C870" s="47" t="s">
        <v>10</v>
      </c>
      <c r="G870" s="38" t="str">
        <f t="shared" si="66"/>
        <v/>
      </c>
      <c r="H870" s="36" t="str">
        <f t="shared" si="70"/>
        <v/>
      </c>
      <c r="J870" s="141" t="str">
        <f t="shared" si="67"/>
        <v/>
      </c>
      <c r="K870" s="141" t="str">
        <f t="shared" si="68"/>
        <v/>
      </c>
      <c r="L870" s="141" t="str">
        <f t="shared" si="69"/>
        <v/>
      </c>
    </row>
    <row r="871" spans="1:12" x14ac:dyDescent="0.3">
      <c r="A871" s="36" t="str">
        <f xml:space="preserve"> IF( 'From SvanPC++'!A871= "", "", ('From SvanPC++'!A871))</f>
        <v/>
      </c>
      <c r="C871" s="47" t="s">
        <v>10</v>
      </c>
      <c r="G871" s="38" t="str">
        <f t="shared" si="66"/>
        <v/>
      </c>
      <c r="H871" s="36" t="str">
        <f t="shared" si="70"/>
        <v/>
      </c>
      <c r="J871" s="141" t="str">
        <f t="shared" si="67"/>
        <v/>
      </c>
      <c r="K871" s="141" t="str">
        <f t="shared" si="68"/>
        <v/>
      </c>
      <c r="L871" s="141" t="str">
        <f t="shared" si="69"/>
        <v/>
      </c>
    </row>
    <row r="872" spans="1:12" x14ac:dyDescent="0.3">
      <c r="A872" s="36" t="str">
        <f xml:space="preserve"> IF( 'From SvanPC++'!A872= "", "", ('From SvanPC++'!A872))</f>
        <v/>
      </c>
      <c r="C872" s="47" t="s">
        <v>10</v>
      </c>
      <c r="G872" s="38" t="str">
        <f t="shared" si="66"/>
        <v/>
      </c>
      <c r="H872" s="36" t="str">
        <f t="shared" si="70"/>
        <v/>
      </c>
      <c r="J872" s="141" t="str">
        <f t="shared" si="67"/>
        <v/>
      </c>
      <c r="K872" s="141" t="str">
        <f t="shared" si="68"/>
        <v/>
      </c>
      <c r="L872" s="141" t="str">
        <f t="shared" si="69"/>
        <v/>
      </c>
    </row>
    <row r="873" spans="1:12" x14ac:dyDescent="0.3">
      <c r="A873" s="36" t="str">
        <f xml:space="preserve"> IF( 'From SvanPC++'!A873= "", "", ('From SvanPC++'!A873))</f>
        <v/>
      </c>
      <c r="C873" s="47" t="s">
        <v>10</v>
      </c>
      <c r="G873" s="38" t="str">
        <f t="shared" si="66"/>
        <v/>
      </c>
      <c r="H873" s="36" t="str">
        <f t="shared" si="70"/>
        <v/>
      </c>
      <c r="J873" s="141" t="str">
        <f t="shared" si="67"/>
        <v/>
      </c>
      <c r="K873" s="141" t="str">
        <f t="shared" si="68"/>
        <v/>
      </c>
      <c r="L873" s="141" t="str">
        <f t="shared" si="69"/>
        <v/>
      </c>
    </row>
    <row r="874" spans="1:12" x14ac:dyDescent="0.3">
      <c r="A874" s="36" t="str">
        <f xml:space="preserve"> IF( 'From SvanPC++'!A874= "", "", ('From SvanPC++'!A874))</f>
        <v/>
      </c>
      <c r="C874" s="47" t="s">
        <v>10</v>
      </c>
      <c r="G874" s="38" t="str">
        <f t="shared" si="66"/>
        <v/>
      </c>
      <c r="H874" s="36" t="str">
        <f t="shared" si="70"/>
        <v/>
      </c>
      <c r="J874" s="141" t="str">
        <f t="shared" si="67"/>
        <v/>
      </c>
      <c r="K874" s="141" t="str">
        <f t="shared" si="68"/>
        <v/>
      </c>
      <c r="L874" s="141" t="str">
        <f t="shared" si="69"/>
        <v/>
      </c>
    </row>
    <row r="875" spans="1:12" x14ac:dyDescent="0.3">
      <c r="A875" s="36" t="str">
        <f xml:space="preserve"> IF( 'From SvanPC++'!A875= "", "", ('From SvanPC++'!A875))</f>
        <v/>
      </c>
      <c r="C875" s="47" t="s">
        <v>10</v>
      </c>
      <c r="G875" s="38" t="str">
        <f t="shared" si="66"/>
        <v/>
      </c>
      <c r="H875" s="36" t="str">
        <f t="shared" si="70"/>
        <v/>
      </c>
      <c r="J875" s="141" t="str">
        <f t="shared" si="67"/>
        <v/>
      </c>
      <c r="K875" s="141" t="str">
        <f t="shared" si="68"/>
        <v/>
      </c>
      <c r="L875" s="141" t="str">
        <f t="shared" si="69"/>
        <v/>
      </c>
    </row>
    <row r="876" spans="1:12" x14ac:dyDescent="0.3">
      <c r="A876" s="36" t="str">
        <f xml:space="preserve"> IF( 'From SvanPC++'!A876= "", "", ('From SvanPC++'!A876))</f>
        <v/>
      </c>
      <c r="C876" s="47" t="s">
        <v>10</v>
      </c>
      <c r="G876" s="38" t="str">
        <f t="shared" si="66"/>
        <v/>
      </c>
      <c r="H876" s="36" t="str">
        <f t="shared" si="70"/>
        <v/>
      </c>
      <c r="J876" s="141" t="str">
        <f t="shared" si="67"/>
        <v/>
      </c>
      <c r="K876" s="141" t="str">
        <f t="shared" si="68"/>
        <v/>
      </c>
      <c r="L876" s="141" t="str">
        <f t="shared" si="69"/>
        <v/>
      </c>
    </row>
    <row r="877" spans="1:12" x14ac:dyDescent="0.3">
      <c r="A877" s="36" t="str">
        <f xml:space="preserve"> IF( 'From SvanPC++'!A877= "", "", ('From SvanPC++'!A877))</f>
        <v/>
      </c>
      <c r="C877" s="47" t="s">
        <v>10</v>
      </c>
      <c r="G877" s="38" t="str">
        <f t="shared" si="66"/>
        <v/>
      </c>
      <c r="H877" s="36" t="str">
        <f t="shared" si="70"/>
        <v/>
      </c>
      <c r="J877" s="141" t="str">
        <f t="shared" si="67"/>
        <v/>
      </c>
      <c r="K877" s="141" t="str">
        <f t="shared" si="68"/>
        <v/>
      </c>
      <c r="L877" s="141" t="str">
        <f t="shared" si="69"/>
        <v/>
      </c>
    </row>
    <row r="878" spans="1:12" x14ac:dyDescent="0.3">
      <c r="A878" s="36" t="str">
        <f xml:space="preserve"> IF( 'From SvanPC++'!A878= "", "", ('From SvanPC++'!A878))</f>
        <v/>
      </c>
      <c r="C878" s="47" t="s">
        <v>10</v>
      </c>
      <c r="G878" s="38" t="str">
        <f t="shared" si="66"/>
        <v/>
      </c>
      <c r="H878" s="36" t="str">
        <f t="shared" si="70"/>
        <v/>
      </c>
      <c r="J878" s="141" t="str">
        <f t="shared" si="67"/>
        <v/>
      </c>
      <c r="K878" s="141" t="str">
        <f t="shared" si="68"/>
        <v/>
      </c>
      <c r="L878" s="141" t="str">
        <f t="shared" si="69"/>
        <v/>
      </c>
    </row>
    <row r="879" spans="1:12" x14ac:dyDescent="0.3">
      <c r="A879" s="36" t="str">
        <f xml:space="preserve"> IF( 'From SvanPC++'!A879= "", "", ('From SvanPC++'!A879))</f>
        <v/>
      </c>
      <c r="C879" s="47" t="s">
        <v>10</v>
      </c>
      <c r="G879" s="38" t="str">
        <f t="shared" si="66"/>
        <v/>
      </c>
      <c r="H879" s="36" t="str">
        <f t="shared" si="70"/>
        <v/>
      </c>
      <c r="J879" s="141" t="str">
        <f t="shared" si="67"/>
        <v/>
      </c>
      <c r="K879" s="141" t="str">
        <f t="shared" si="68"/>
        <v/>
      </c>
      <c r="L879" s="141" t="str">
        <f t="shared" si="69"/>
        <v/>
      </c>
    </row>
    <row r="880" spans="1:12" x14ac:dyDescent="0.3">
      <c r="A880" s="36" t="str">
        <f xml:space="preserve"> IF( 'From SvanPC++'!A880= "", "", ('From SvanPC++'!A880))</f>
        <v/>
      </c>
      <c r="C880" s="47" t="s">
        <v>10</v>
      </c>
      <c r="G880" s="38" t="str">
        <f t="shared" si="66"/>
        <v/>
      </c>
      <c r="H880" s="36" t="str">
        <f t="shared" si="70"/>
        <v/>
      </c>
      <c r="J880" s="141" t="str">
        <f t="shared" si="67"/>
        <v/>
      </c>
      <c r="K880" s="141" t="str">
        <f t="shared" si="68"/>
        <v/>
      </c>
      <c r="L880" s="141" t="str">
        <f t="shared" si="69"/>
        <v/>
      </c>
    </row>
    <row r="881" spans="1:12" x14ac:dyDescent="0.3">
      <c r="A881" s="36" t="str">
        <f xml:space="preserve"> IF( 'From SvanPC++'!A881= "", "", ('From SvanPC++'!A881))</f>
        <v/>
      </c>
      <c r="C881" s="47" t="s">
        <v>10</v>
      </c>
      <c r="G881" s="38" t="str">
        <f t="shared" si="66"/>
        <v/>
      </c>
      <c r="H881" s="36" t="str">
        <f t="shared" si="70"/>
        <v/>
      </c>
      <c r="J881" s="141" t="str">
        <f t="shared" si="67"/>
        <v/>
      </c>
      <c r="K881" s="141" t="str">
        <f t="shared" si="68"/>
        <v/>
      </c>
      <c r="L881" s="141" t="str">
        <f t="shared" si="69"/>
        <v/>
      </c>
    </row>
    <row r="882" spans="1:12" x14ac:dyDescent="0.3">
      <c r="A882" s="36" t="str">
        <f xml:space="preserve"> IF( 'From SvanPC++'!A882= "", "", ('From SvanPC++'!A882))</f>
        <v/>
      </c>
      <c r="C882" s="47" t="s">
        <v>10</v>
      </c>
      <c r="G882" s="38" t="str">
        <f t="shared" si="66"/>
        <v/>
      </c>
      <c r="H882" s="36" t="str">
        <f t="shared" si="70"/>
        <v/>
      </c>
      <c r="J882" s="141" t="str">
        <f t="shared" si="67"/>
        <v/>
      </c>
      <c r="K882" s="141" t="str">
        <f t="shared" si="68"/>
        <v/>
      </c>
      <c r="L882" s="141" t="str">
        <f t="shared" si="69"/>
        <v/>
      </c>
    </row>
    <row r="883" spans="1:12" x14ac:dyDescent="0.3">
      <c r="A883" s="36" t="str">
        <f xml:space="preserve"> IF( 'From SvanPC++'!A883= "", "", ('From SvanPC++'!A883))</f>
        <v/>
      </c>
      <c r="C883" s="47" t="s">
        <v>10</v>
      </c>
      <c r="G883" s="38" t="str">
        <f t="shared" si="66"/>
        <v/>
      </c>
      <c r="H883" s="36" t="str">
        <f t="shared" si="70"/>
        <v/>
      </c>
      <c r="J883" s="141" t="str">
        <f t="shared" si="67"/>
        <v/>
      </c>
      <c r="K883" s="141" t="str">
        <f t="shared" si="68"/>
        <v/>
      </c>
      <c r="L883" s="141" t="str">
        <f t="shared" si="69"/>
        <v/>
      </c>
    </row>
    <row r="884" spans="1:12" x14ac:dyDescent="0.3">
      <c r="A884" s="36" t="str">
        <f xml:space="preserve"> IF( 'From SvanPC++'!A884= "", "", ('From SvanPC++'!A884))</f>
        <v/>
      </c>
      <c r="C884" s="47" t="s">
        <v>10</v>
      </c>
      <c r="G884" s="38" t="str">
        <f t="shared" si="66"/>
        <v/>
      </c>
      <c r="H884" s="36" t="str">
        <f t="shared" si="70"/>
        <v/>
      </c>
      <c r="J884" s="141" t="str">
        <f t="shared" si="67"/>
        <v/>
      </c>
      <c r="K884" s="141" t="str">
        <f t="shared" si="68"/>
        <v/>
      </c>
      <c r="L884" s="141" t="str">
        <f t="shared" si="69"/>
        <v/>
      </c>
    </row>
    <row r="885" spans="1:12" x14ac:dyDescent="0.3">
      <c r="A885" s="36" t="str">
        <f xml:space="preserve"> IF( 'From SvanPC++'!A885= "", "", ('From SvanPC++'!A885))</f>
        <v/>
      </c>
      <c r="C885" s="47" t="s">
        <v>10</v>
      </c>
      <c r="G885" s="38" t="str">
        <f t="shared" si="66"/>
        <v/>
      </c>
      <c r="H885" s="36" t="str">
        <f t="shared" si="70"/>
        <v/>
      </c>
      <c r="J885" s="141" t="str">
        <f t="shared" si="67"/>
        <v/>
      </c>
      <c r="K885" s="141" t="str">
        <f t="shared" si="68"/>
        <v/>
      </c>
      <c r="L885" s="141" t="str">
        <f t="shared" si="69"/>
        <v/>
      </c>
    </row>
    <row r="886" spans="1:12" x14ac:dyDescent="0.3">
      <c r="A886" s="36" t="str">
        <f xml:space="preserve"> IF( 'From SvanPC++'!A886= "", "", ('From SvanPC++'!A886))</f>
        <v/>
      </c>
      <c r="C886" s="47" t="s">
        <v>10</v>
      </c>
      <c r="G886" s="38" t="str">
        <f t="shared" si="66"/>
        <v/>
      </c>
      <c r="H886" s="36" t="str">
        <f t="shared" si="70"/>
        <v/>
      </c>
      <c r="J886" s="141" t="str">
        <f t="shared" si="67"/>
        <v/>
      </c>
      <c r="K886" s="141" t="str">
        <f t="shared" si="68"/>
        <v/>
      </c>
      <c r="L886" s="141" t="str">
        <f t="shared" si="69"/>
        <v/>
      </c>
    </row>
    <row r="887" spans="1:12" x14ac:dyDescent="0.3">
      <c r="A887" s="36" t="str">
        <f xml:space="preserve"> IF( 'From SvanPC++'!A887= "", "", ('From SvanPC++'!A887))</f>
        <v/>
      </c>
      <c r="C887" s="47" t="s">
        <v>10</v>
      </c>
      <c r="G887" s="38" t="str">
        <f t="shared" si="66"/>
        <v/>
      </c>
      <c r="H887" s="36" t="str">
        <f t="shared" si="70"/>
        <v/>
      </c>
      <c r="J887" s="141" t="str">
        <f t="shared" si="67"/>
        <v/>
      </c>
      <c r="K887" s="141" t="str">
        <f t="shared" si="68"/>
        <v/>
      </c>
      <c r="L887" s="141" t="str">
        <f t="shared" si="69"/>
        <v/>
      </c>
    </row>
    <row r="888" spans="1:12" x14ac:dyDescent="0.3">
      <c r="A888" s="36" t="str">
        <f xml:space="preserve"> IF( 'From SvanPC++'!A888= "", "", ('From SvanPC++'!A888))</f>
        <v/>
      </c>
      <c r="C888" s="47" t="s">
        <v>10</v>
      </c>
      <c r="G888" s="38" t="str">
        <f t="shared" si="66"/>
        <v/>
      </c>
      <c r="H888" s="36" t="str">
        <f t="shared" si="70"/>
        <v/>
      </c>
      <c r="J888" s="141" t="str">
        <f t="shared" si="67"/>
        <v/>
      </c>
      <c r="K888" s="141" t="str">
        <f t="shared" si="68"/>
        <v/>
      </c>
      <c r="L888" s="141" t="str">
        <f t="shared" si="69"/>
        <v/>
      </c>
    </row>
    <row r="889" spans="1:12" x14ac:dyDescent="0.3">
      <c r="A889" s="36" t="str">
        <f xml:space="preserve"> IF( 'From SvanPC++'!A889= "", "", ('From SvanPC++'!A889))</f>
        <v/>
      </c>
      <c r="C889" s="47" t="s">
        <v>10</v>
      </c>
      <c r="G889" s="38" t="str">
        <f t="shared" si="66"/>
        <v/>
      </c>
      <c r="H889" s="36" t="str">
        <f t="shared" si="70"/>
        <v/>
      </c>
      <c r="J889" s="141" t="str">
        <f t="shared" si="67"/>
        <v/>
      </c>
      <c r="K889" s="141" t="str">
        <f t="shared" si="68"/>
        <v/>
      </c>
      <c r="L889" s="141" t="str">
        <f t="shared" si="69"/>
        <v/>
      </c>
    </row>
    <row r="890" spans="1:12" x14ac:dyDescent="0.3">
      <c r="A890" s="36" t="str">
        <f xml:space="preserve"> IF( 'From SvanPC++'!A890= "", "", ('From SvanPC++'!A890))</f>
        <v/>
      </c>
      <c r="C890" s="47" t="s">
        <v>10</v>
      </c>
      <c r="G890" s="38" t="str">
        <f t="shared" si="66"/>
        <v/>
      </c>
      <c r="H890" s="36" t="str">
        <f t="shared" si="70"/>
        <v/>
      </c>
      <c r="J890" s="141" t="str">
        <f t="shared" si="67"/>
        <v/>
      </c>
      <c r="K890" s="141" t="str">
        <f t="shared" si="68"/>
        <v/>
      </c>
      <c r="L890" s="141" t="str">
        <f t="shared" si="69"/>
        <v/>
      </c>
    </row>
    <row r="891" spans="1:12" x14ac:dyDescent="0.3">
      <c r="A891" s="36" t="str">
        <f xml:space="preserve"> IF( 'From SvanPC++'!A891= "", "", ('From SvanPC++'!A891))</f>
        <v/>
      </c>
      <c r="C891" s="47" t="s">
        <v>10</v>
      </c>
      <c r="G891" s="38" t="str">
        <f t="shared" si="66"/>
        <v/>
      </c>
      <c r="H891" s="36" t="str">
        <f t="shared" si="70"/>
        <v/>
      </c>
      <c r="J891" s="141" t="str">
        <f t="shared" si="67"/>
        <v/>
      </c>
      <c r="K891" s="141" t="str">
        <f t="shared" si="68"/>
        <v/>
      </c>
      <c r="L891" s="141" t="str">
        <f t="shared" si="69"/>
        <v/>
      </c>
    </row>
    <row r="892" spans="1:12" x14ac:dyDescent="0.3">
      <c r="A892" s="36" t="str">
        <f xml:space="preserve"> IF( 'From SvanPC++'!A892= "", "", ('From SvanPC++'!A892))</f>
        <v/>
      </c>
      <c r="C892" s="47" t="s">
        <v>10</v>
      </c>
      <c r="G892" s="38" t="str">
        <f t="shared" si="66"/>
        <v/>
      </c>
      <c r="H892" s="36" t="str">
        <f t="shared" si="70"/>
        <v/>
      </c>
      <c r="J892" s="141" t="str">
        <f t="shared" si="67"/>
        <v/>
      </c>
      <c r="K892" s="141" t="str">
        <f t="shared" si="68"/>
        <v/>
      </c>
      <c r="L892" s="141" t="str">
        <f t="shared" si="69"/>
        <v/>
      </c>
    </row>
    <row r="893" spans="1:12" x14ac:dyDescent="0.3">
      <c r="A893" s="36" t="str">
        <f xml:space="preserve"> IF( 'From SvanPC++'!A893= "", "", ('From SvanPC++'!A893))</f>
        <v/>
      </c>
      <c r="C893" s="47" t="s">
        <v>10</v>
      </c>
      <c r="G893" s="38" t="str">
        <f t="shared" si="66"/>
        <v/>
      </c>
      <c r="H893" s="36" t="str">
        <f t="shared" si="70"/>
        <v/>
      </c>
      <c r="J893" s="141" t="str">
        <f t="shared" si="67"/>
        <v/>
      </c>
      <c r="K893" s="141" t="str">
        <f t="shared" si="68"/>
        <v/>
      </c>
      <c r="L893" s="141" t="str">
        <f t="shared" si="69"/>
        <v/>
      </c>
    </row>
    <row r="894" spans="1:12" x14ac:dyDescent="0.3">
      <c r="A894" s="36" t="str">
        <f xml:space="preserve"> IF( 'From SvanPC++'!A894= "", "", ('From SvanPC++'!A894))</f>
        <v/>
      </c>
      <c r="C894" s="47" t="s">
        <v>10</v>
      </c>
      <c r="G894" s="38" t="str">
        <f t="shared" si="66"/>
        <v/>
      </c>
      <c r="H894" s="36" t="str">
        <f t="shared" si="70"/>
        <v/>
      </c>
      <c r="J894" s="141" t="str">
        <f t="shared" si="67"/>
        <v/>
      </c>
      <c r="K894" s="141" t="str">
        <f t="shared" si="68"/>
        <v/>
      </c>
      <c r="L894" s="141" t="str">
        <f t="shared" si="69"/>
        <v/>
      </c>
    </row>
    <row r="895" spans="1:12" x14ac:dyDescent="0.3">
      <c r="A895" s="36" t="str">
        <f xml:space="preserve"> IF( 'From SvanPC++'!A895= "", "", ('From SvanPC++'!A895))</f>
        <v/>
      </c>
      <c r="C895" s="47" t="s">
        <v>10</v>
      </c>
      <c r="G895" s="38" t="str">
        <f t="shared" si="66"/>
        <v/>
      </c>
      <c r="H895" s="36" t="str">
        <f t="shared" si="70"/>
        <v/>
      </c>
      <c r="J895" s="141" t="str">
        <f t="shared" si="67"/>
        <v/>
      </c>
      <c r="K895" s="141" t="str">
        <f t="shared" si="68"/>
        <v/>
      </c>
      <c r="L895" s="141" t="str">
        <f t="shared" si="69"/>
        <v/>
      </c>
    </row>
    <row r="896" spans="1:12" x14ac:dyDescent="0.3">
      <c r="A896" s="36" t="str">
        <f xml:space="preserve"> IF( 'From SvanPC++'!A896= "", "", ('From SvanPC++'!A896))</f>
        <v/>
      </c>
      <c r="C896" s="47" t="s">
        <v>10</v>
      </c>
      <c r="G896" s="38" t="str">
        <f t="shared" si="66"/>
        <v/>
      </c>
      <c r="H896" s="36" t="str">
        <f t="shared" si="70"/>
        <v/>
      </c>
      <c r="J896" s="141" t="str">
        <f t="shared" si="67"/>
        <v/>
      </c>
      <c r="K896" s="141" t="str">
        <f t="shared" si="68"/>
        <v/>
      </c>
      <c r="L896" s="141" t="str">
        <f t="shared" si="69"/>
        <v/>
      </c>
    </row>
    <row r="897" spans="1:12" x14ac:dyDescent="0.3">
      <c r="A897" s="36" t="str">
        <f xml:space="preserve"> IF( 'From SvanPC++'!A897= "", "", ('From SvanPC++'!A897))</f>
        <v/>
      </c>
      <c r="C897" s="47" t="s">
        <v>10</v>
      </c>
      <c r="G897" s="38" t="str">
        <f t="shared" si="66"/>
        <v/>
      </c>
      <c r="H897" s="36" t="str">
        <f t="shared" si="70"/>
        <v/>
      </c>
      <c r="J897" s="141" t="str">
        <f t="shared" si="67"/>
        <v/>
      </c>
      <c r="K897" s="141" t="str">
        <f t="shared" si="68"/>
        <v/>
      </c>
      <c r="L897" s="141" t="str">
        <f t="shared" si="69"/>
        <v/>
      </c>
    </row>
    <row r="898" spans="1:12" x14ac:dyDescent="0.3">
      <c r="A898" s="36" t="str">
        <f xml:space="preserve"> IF( 'From SvanPC++'!A898= "", "", ('From SvanPC++'!A898))</f>
        <v/>
      </c>
      <c r="C898" s="47" t="s">
        <v>10</v>
      </c>
      <c r="G898" s="38" t="str">
        <f t="shared" si="66"/>
        <v/>
      </c>
      <c r="H898" s="36" t="str">
        <f t="shared" si="70"/>
        <v/>
      </c>
      <c r="J898" s="141" t="str">
        <f t="shared" si="67"/>
        <v/>
      </c>
      <c r="K898" s="141" t="str">
        <f t="shared" si="68"/>
        <v/>
      </c>
      <c r="L898" s="141" t="str">
        <f t="shared" si="69"/>
        <v/>
      </c>
    </row>
    <row r="899" spans="1:12" x14ac:dyDescent="0.3">
      <c r="A899" s="36" t="str">
        <f xml:space="preserve"> IF( 'From SvanPC++'!A899= "", "", ('From SvanPC++'!A899))</f>
        <v/>
      </c>
      <c r="C899" s="47" t="s">
        <v>10</v>
      </c>
      <c r="G899" s="38" t="str">
        <f t="shared" si="66"/>
        <v/>
      </c>
      <c r="H899" s="36" t="str">
        <f t="shared" si="70"/>
        <v/>
      </c>
      <c r="J899" s="141" t="str">
        <f t="shared" si="67"/>
        <v/>
      </c>
      <c r="K899" s="141" t="str">
        <f t="shared" si="68"/>
        <v/>
      </c>
      <c r="L899" s="141" t="str">
        <f t="shared" si="69"/>
        <v/>
      </c>
    </row>
    <row r="900" spans="1:12" x14ac:dyDescent="0.3">
      <c r="A900" s="36" t="str">
        <f xml:space="preserve"> IF( 'From SvanPC++'!A900= "", "", ('From SvanPC++'!A900))</f>
        <v/>
      </c>
      <c r="C900" s="47" t="s">
        <v>10</v>
      </c>
      <c r="G900" s="38" t="str">
        <f t="shared" si="66"/>
        <v/>
      </c>
      <c r="H900" s="36" t="str">
        <f t="shared" si="70"/>
        <v/>
      </c>
      <c r="J900" s="141" t="str">
        <f t="shared" si="67"/>
        <v/>
      </c>
      <c r="K900" s="141" t="str">
        <f t="shared" si="68"/>
        <v/>
      </c>
      <c r="L900" s="141" t="str">
        <f t="shared" si="69"/>
        <v/>
      </c>
    </row>
    <row r="901" spans="1:12" x14ac:dyDescent="0.3">
      <c r="A901" s="36" t="str">
        <f xml:space="preserve"> IF( 'From SvanPC++'!A901= "", "", ('From SvanPC++'!A901))</f>
        <v/>
      </c>
      <c r="C901" s="47" t="s">
        <v>10</v>
      </c>
      <c r="G901" s="38" t="str">
        <f t="shared" si="66"/>
        <v/>
      </c>
      <c r="H901" s="36" t="str">
        <f t="shared" si="70"/>
        <v/>
      </c>
      <c r="J901" s="141" t="str">
        <f t="shared" si="67"/>
        <v/>
      </c>
      <c r="K901" s="141" t="str">
        <f t="shared" si="68"/>
        <v/>
      </c>
      <c r="L901" s="141" t="str">
        <f t="shared" si="69"/>
        <v/>
      </c>
    </row>
    <row r="902" spans="1:12" x14ac:dyDescent="0.3">
      <c r="A902" s="36" t="str">
        <f xml:space="preserve"> IF( 'From SvanPC++'!A902= "", "", ('From SvanPC++'!A902))</f>
        <v/>
      </c>
      <c r="C902" s="47" t="s">
        <v>10</v>
      </c>
      <c r="G902" s="38" t="str">
        <f t="shared" si="66"/>
        <v/>
      </c>
      <c r="H902" s="36" t="str">
        <f t="shared" si="70"/>
        <v/>
      </c>
      <c r="J902" s="141" t="str">
        <f t="shared" si="67"/>
        <v/>
      </c>
      <c r="K902" s="141" t="str">
        <f t="shared" si="68"/>
        <v/>
      </c>
      <c r="L902" s="141" t="str">
        <f t="shared" si="69"/>
        <v/>
      </c>
    </row>
    <row r="903" spans="1:12" x14ac:dyDescent="0.3">
      <c r="A903" s="36" t="str">
        <f xml:space="preserve"> IF( 'From SvanPC++'!A903= "", "", ('From SvanPC++'!A903))</f>
        <v/>
      </c>
      <c r="C903" s="47" t="s">
        <v>10</v>
      </c>
      <c r="G903" s="38" t="str">
        <f t="shared" ref="G903:G966" si="71" xml:space="preserve"> IF( D903= "", "", ( IF( AND( D903 &gt;= TIMEVALUE( "07:00:01" ), D903 &lt; TIMEVALUE( "08:00:01" ) ) = TRUE, (G902+1), (G902+0) )))</f>
        <v/>
      </c>
      <c r="H903" s="36" t="str">
        <f t="shared" si="70"/>
        <v/>
      </c>
      <c r="J903" s="141" t="str">
        <f t="shared" si="67"/>
        <v/>
      </c>
      <c r="K903" s="141" t="str">
        <f t="shared" si="68"/>
        <v/>
      </c>
      <c r="L903" s="141" t="str">
        <f t="shared" si="69"/>
        <v/>
      </c>
    </row>
    <row r="904" spans="1:12" x14ac:dyDescent="0.3">
      <c r="A904" s="36" t="str">
        <f xml:space="preserve"> IF( 'From SvanPC++'!A904= "", "", ('From SvanPC++'!A904))</f>
        <v/>
      </c>
      <c r="C904" s="47" t="s">
        <v>10</v>
      </c>
      <c r="G904" s="38" t="str">
        <f t="shared" si="71"/>
        <v/>
      </c>
      <c r="H904" s="36" t="str">
        <f t="shared" si="70"/>
        <v/>
      </c>
      <c r="J904" s="141" t="str">
        <f t="shared" ref="J904:J967" si="72" xml:space="preserve"> IF( ISERROR( IF( D904= "", "", ( IF( G904= (G903+1), ( AVERAGEIFS( E904:E1048, G904:G1048, G904, H904:H1048, "Day" )), "" )))), "",( IF( D904= "", "", ( IF( G904= (G903+1), ( AVERAGEIFS( E904:E1048, G904:G1048, G904, H904:H1048, "Day" )), "" )))))</f>
        <v/>
      </c>
      <c r="K904" s="141" t="str">
        <f t="shared" ref="K904:K967" si="73" xml:space="preserve"> IF( ISERROR( IF( D904= "", "", ( IF( G904= (G903+1), ( AVERAGEIFS( E904:E1048, G904:G1048, G904, H904:H1048, "Evening" )), "" )))), "",( IF( D904= "", "", ( IF( G904= (G903+1), ( AVERAGEIFS( E904:E1048, G904:G1048, G904, H904:H1048, "Evening" )), "" )))))</f>
        <v/>
      </c>
      <c r="L904" s="141" t="str">
        <f t="shared" ref="L904:L967" si="74" xml:space="preserve"> IF( ISERROR( IF( D904= "", "", ( IF( G904= (G903+1), ( AVERAGEIFS( E904:E1048, G904:G1048, G904, H904:H1048, "Night" )), "" )))), "",( IF( D904= "", "", ( IF( G904= (G903+1), ( AVERAGEIFS( E904:E1048, G904:G1048, G904, H904:H1048, "Night" )), "" )))))</f>
        <v/>
      </c>
    </row>
    <row r="905" spans="1:12" x14ac:dyDescent="0.3">
      <c r="A905" s="36" t="str">
        <f xml:space="preserve"> IF( 'From SvanPC++'!A905= "", "", ('From SvanPC++'!A905))</f>
        <v/>
      </c>
      <c r="C905" s="47" t="s">
        <v>10</v>
      </c>
      <c r="G905" s="38" t="str">
        <f t="shared" si="71"/>
        <v/>
      </c>
      <c r="H905" s="36" t="str">
        <f t="shared" si="70"/>
        <v/>
      </c>
      <c r="J905" s="141" t="str">
        <f t="shared" si="72"/>
        <v/>
      </c>
      <c r="K905" s="141" t="str">
        <f t="shared" si="73"/>
        <v/>
      </c>
      <c r="L905" s="141" t="str">
        <f t="shared" si="74"/>
        <v/>
      </c>
    </row>
    <row r="906" spans="1:12" x14ac:dyDescent="0.3">
      <c r="A906" s="36" t="str">
        <f xml:space="preserve"> IF( 'From SvanPC++'!A906= "", "", ('From SvanPC++'!A906))</f>
        <v/>
      </c>
      <c r="C906" s="47" t="s">
        <v>10</v>
      </c>
      <c r="G906" s="38" t="str">
        <f t="shared" si="71"/>
        <v/>
      </c>
      <c r="H906" s="36" t="str">
        <f t="shared" si="70"/>
        <v/>
      </c>
      <c r="J906" s="141" t="str">
        <f t="shared" si="72"/>
        <v/>
      </c>
      <c r="K906" s="141" t="str">
        <f t="shared" si="73"/>
        <v/>
      </c>
      <c r="L906" s="141" t="str">
        <f t="shared" si="74"/>
        <v/>
      </c>
    </row>
    <row r="907" spans="1:12" x14ac:dyDescent="0.3">
      <c r="A907" s="36" t="str">
        <f xml:space="preserve"> IF( 'From SvanPC++'!A907= "", "", ('From SvanPC++'!A907))</f>
        <v/>
      </c>
      <c r="C907" s="47" t="s">
        <v>10</v>
      </c>
      <c r="G907" s="38" t="str">
        <f t="shared" si="71"/>
        <v/>
      </c>
      <c r="H907" s="36" t="str">
        <f t="shared" si="70"/>
        <v/>
      </c>
      <c r="J907" s="141" t="str">
        <f t="shared" si="72"/>
        <v/>
      </c>
      <c r="K907" s="141" t="str">
        <f t="shared" si="73"/>
        <v/>
      </c>
      <c r="L907" s="141" t="str">
        <f t="shared" si="74"/>
        <v/>
      </c>
    </row>
    <row r="908" spans="1:12" x14ac:dyDescent="0.3">
      <c r="A908" s="36" t="str">
        <f xml:space="preserve"> IF( 'From SvanPC++'!A908= "", "", ('From SvanPC++'!A908))</f>
        <v/>
      </c>
      <c r="C908" s="47" t="s">
        <v>10</v>
      </c>
      <c r="G908" s="38" t="str">
        <f t="shared" si="71"/>
        <v/>
      </c>
      <c r="H908" s="36" t="str">
        <f t="shared" si="70"/>
        <v/>
      </c>
      <c r="J908" s="141" t="str">
        <f t="shared" si="72"/>
        <v/>
      </c>
      <c r="K908" s="141" t="str">
        <f t="shared" si="73"/>
        <v/>
      </c>
      <c r="L908" s="141" t="str">
        <f t="shared" si="74"/>
        <v/>
      </c>
    </row>
    <row r="909" spans="1:12" x14ac:dyDescent="0.3">
      <c r="A909" s="36" t="str">
        <f xml:space="preserve"> IF( 'From SvanPC++'!A909= "", "", ('From SvanPC++'!A909))</f>
        <v/>
      </c>
      <c r="C909" s="47" t="s">
        <v>10</v>
      </c>
      <c r="G909" s="38" t="str">
        <f t="shared" si="71"/>
        <v/>
      </c>
      <c r="H909" s="36" t="str">
        <f t="shared" si="70"/>
        <v/>
      </c>
      <c r="J909" s="141" t="str">
        <f t="shared" si="72"/>
        <v/>
      </c>
      <c r="K909" s="141" t="str">
        <f t="shared" si="73"/>
        <v/>
      </c>
      <c r="L909" s="141" t="str">
        <f t="shared" si="74"/>
        <v/>
      </c>
    </row>
    <row r="910" spans="1:12" x14ac:dyDescent="0.3">
      <c r="A910" s="36" t="str">
        <f xml:space="preserve"> IF( 'From SvanPC++'!A910= "", "", ('From SvanPC++'!A910))</f>
        <v/>
      </c>
      <c r="C910" s="47" t="s">
        <v>10</v>
      </c>
      <c r="G910" s="38" t="str">
        <f t="shared" si="71"/>
        <v/>
      </c>
      <c r="H910" s="36" t="str">
        <f t="shared" si="70"/>
        <v/>
      </c>
      <c r="J910" s="141" t="str">
        <f t="shared" si="72"/>
        <v/>
      </c>
      <c r="K910" s="141" t="str">
        <f t="shared" si="73"/>
        <v/>
      </c>
      <c r="L910" s="141" t="str">
        <f t="shared" si="74"/>
        <v/>
      </c>
    </row>
    <row r="911" spans="1:12" x14ac:dyDescent="0.3">
      <c r="A911" s="36" t="str">
        <f xml:space="preserve"> IF( 'From SvanPC++'!A911= "", "", ('From SvanPC++'!A911))</f>
        <v/>
      </c>
      <c r="C911" s="47" t="s">
        <v>10</v>
      </c>
      <c r="G911" s="38" t="str">
        <f t="shared" si="71"/>
        <v/>
      </c>
      <c r="H911" s="36" t="str">
        <f t="shared" si="70"/>
        <v/>
      </c>
      <c r="J911" s="141" t="str">
        <f t="shared" si="72"/>
        <v/>
      </c>
      <c r="K911" s="141" t="str">
        <f t="shared" si="73"/>
        <v/>
      </c>
      <c r="L911" s="141" t="str">
        <f t="shared" si="74"/>
        <v/>
      </c>
    </row>
    <row r="912" spans="1:12" x14ac:dyDescent="0.3">
      <c r="A912" s="36" t="str">
        <f xml:space="preserve"> IF( 'From SvanPC++'!A912= "", "", ('From SvanPC++'!A912))</f>
        <v/>
      </c>
      <c r="C912" s="47" t="s">
        <v>10</v>
      </c>
      <c r="G912" s="38" t="str">
        <f t="shared" si="71"/>
        <v/>
      </c>
      <c r="H912" s="36" t="str">
        <f t="shared" si="70"/>
        <v/>
      </c>
      <c r="J912" s="141" t="str">
        <f t="shared" si="72"/>
        <v/>
      </c>
      <c r="K912" s="141" t="str">
        <f t="shared" si="73"/>
        <v/>
      </c>
      <c r="L912" s="141" t="str">
        <f t="shared" si="74"/>
        <v/>
      </c>
    </row>
    <row r="913" spans="1:12" x14ac:dyDescent="0.3">
      <c r="A913" s="36" t="str">
        <f xml:space="preserve"> IF( 'From SvanPC++'!A913= "", "", ('From SvanPC++'!A913))</f>
        <v/>
      </c>
      <c r="C913" s="47" t="s">
        <v>10</v>
      </c>
      <c r="G913" s="38" t="str">
        <f t="shared" si="71"/>
        <v/>
      </c>
      <c r="H913" s="36" t="str">
        <f t="shared" si="70"/>
        <v/>
      </c>
      <c r="J913" s="141" t="str">
        <f t="shared" si="72"/>
        <v/>
      </c>
      <c r="K913" s="141" t="str">
        <f t="shared" si="73"/>
        <v/>
      </c>
      <c r="L913" s="141" t="str">
        <f t="shared" si="74"/>
        <v/>
      </c>
    </row>
    <row r="914" spans="1:12" x14ac:dyDescent="0.3">
      <c r="A914" s="36" t="str">
        <f xml:space="preserve"> IF( 'From SvanPC++'!A914= "", "", ('From SvanPC++'!A914))</f>
        <v/>
      </c>
      <c r="C914" s="47" t="s">
        <v>10</v>
      </c>
      <c r="G914" s="38" t="str">
        <f t="shared" si="71"/>
        <v/>
      </c>
      <c r="H914" s="36" t="str">
        <f t="shared" si="70"/>
        <v/>
      </c>
      <c r="J914" s="141" t="str">
        <f t="shared" si="72"/>
        <v/>
      </c>
      <c r="K914" s="141" t="str">
        <f t="shared" si="73"/>
        <v/>
      </c>
      <c r="L914" s="141" t="str">
        <f t="shared" si="74"/>
        <v/>
      </c>
    </row>
    <row r="915" spans="1:12" x14ac:dyDescent="0.3">
      <c r="A915" s="36" t="str">
        <f xml:space="preserve"> IF( 'From SvanPC++'!A915= "", "", ('From SvanPC++'!A915))</f>
        <v/>
      </c>
      <c r="C915" s="47" t="s">
        <v>10</v>
      </c>
      <c r="G915" s="38" t="str">
        <f t="shared" si="71"/>
        <v/>
      </c>
      <c r="H915" s="36" t="str">
        <f t="shared" si="70"/>
        <v/>
      </c>
      <c r="J915" s="141" t="str">
        <f t="shared" si="72"/>
        <v/>
      </c>
      <c r="K915" s="141" t="str">
        <f t="shared" si="73"/>
        <v/>
      </c>
      <c r="L915" s="141" t="str">
        <f t="shared" si="74"/>
        <v/>
      </c>
    </row>
    <row r="916" spans="1:12" x14ac:dyDescent="0.3">
      <c r="A916" s="36" t="str">
        <f xml:space="preserve"> IF( 'From SvanPC++'!A916= "", "", ('From SvanPC++'!A916))</f>
        <v/>
      </c>
      <c r="C916" s="47" t="s">
        <v>10</v>
      </c>
      <c r="G916" s="38" t="str">
        <f t="shared" si="71"/>
        <v/>
      </c>
      <c r="H916" s="36" t="str">
        <f t="shared" si="70"/>
        <v/>
      </c>
      <c r="J916" s="141" t="str">
        <f t="shared" si="72"/>
        <v/>
      </c>
      <c r="K916" s="141" t="str">
        <f t="shared" si="73"/>
        <v/>
      </c>
      <c r="L916" s="141" t="str">
        <f t="shared" si="74"/>
        <v/>
      </c>
    </row>
    <row r="917" spans="1:12" x14ac:dyDescent="0.3">
      <c r="A917" s="36" t="str">
        <f xml:space="preserve"> IF( 'From SvanPC++'!A917= "", "", ('From SvanPC++'!A917))</f>
        <v/>
      </c>
      <c r="C917" s="47" t="s">
        <v>10</v>
      </c>
      <c r="G917" s="38" t="str">
        <f t="shared" si="71"/>
        <v/>
      </c>
      <c r="H917" s="36" t="str">
        <f t="shared" si="70"/>
        <v/>
      </c>
      <c r="J917" s="141" t="str">
        <f t="shared" si="72"/>
        <v/>
      </c>
      <c r="K917" s="141" t="str">
        <f t="shared" si="73"/>
        <v/>
      </c>
      <c r="L917" s="141" t="str">
        <f t="shared" si="74"/>
        <v/>
      </c>
    </row>
    <row r="918" spans="1:12" x14ac:dyDescent="0.3">
      <c r="A918" s="36" t="str">
        <f xml:space="preserve"> IF( 'From SvanPC++'!A918= "", "", ('From SvanPC++'!A918))</f>
        <v/>
      </c>
      <c r="C918" s="47" t="s">
        <v>10</v>
      </c>
      <c r="G918" s="38" t="str">
        <f t="shared" si="71"/>
        <v/>
      </c>
      <c r="H918" s="36" t="str">
        <f t="shared" si="70"/>
        <v/>
      </c>
      <c r="J918" s="141" t="str">
        <f t="shared" si="72"/>
        <v/>
      </c>
      <c r="K918" s="141" t="str">
        <f t="shared" si="73"/>
        <v/>
      </c>
      <c r="L918" s="141" t="str">
        <f t="shared" si="74"/>
        <v/>
      </c>
    </row>
    <row r="919" spans="1:12" x14ac:dyDescent="0.3">
      <c r="A919" s="36" t="str">
        <f xml:space="preserve"> IF( 'From SvanPC++'!A919= "", "", ('From SvanPC++'!A919))</f>
        <v/>
      </c>
      <c r="C919" s="47" t="s">
        <v>10</v>
      </c>
      <c r="G919" s="38" t="str">
        <f t="shared" si="71"/>
        <v/>
      </c>
      <c r="H919" s="36" t="str">
        <f t="shared" ref="H919:H982" si="75" xml:space="preserve"> IF( D919= "", "", ( IF( AND( D919 &gt;= TIMEVALUE( "07:00:01" ), D919 &lt;= TIMEVALUE( "13:00:00" ), WEEKDAY( C919) =(7+N("Lines 2-17 = saturday day period")) ) = TRUE, "Day",
IF( AND( D919 &gt;= TIMEVALUE( "07:00:01" ), D919 &lt;= TIMEVALUE( "18:00:00" ), WEEKDAY( C919,1+N("Lines 19-38 = weekday day period")) &gt;=2, ( WEEKDAY( C919,1) &lt;=6) ) = TRUE, "Day",
IF( AND( D919 &gt;= TIMEVALUE( "13:00:01" ), D919 &lt;= TIMEVALUE( "22:00:00" ), WEEKDAY( C919) =(7+N("Lines 40-56 = saturday evening period")) ) = TRUE, "Evening",
IF( AND( D919 &gt;= TIMEVALUE( "18:00:01" ), D919 &lt;= TIMEVALUE( "22:00:00" ), WEEKDAY( C919,1+N("Lines 57-77 = weekday evening period")) &gt;=2, ( WEEKDAY( C919,1) &lt;=6) ) = TRUE, "Evening",
IF( AND( D919 &gt;= TIMEVALUE( "07:00:01" ), D919 &lt;= TIMEVALUE( "22:00:00" ), WEEKDAY( C919) =(1+N("Lines 78-94 = sunday evening period")) ) = TRUE, "Evening",
IF( AND( D919 &gt;= TIMEVALUE( "22:00:01" ), D919 &lt;= TIMEVALUE( "23:59:59" ), WEEKDAY( C919) =(7+N("Lines 95-111 = saturday night1 period")) ) = TRUE, "Night",
IF( AND( D919 &gt;= TIMEVALUE( "00:00:00" ), D919 &lt;= TIMEVALUE( "07:00:00" ), WEEKDAY( C919) =(7+N("Lines 112-128 = saturday night2 period")) ) = TRUE, "Night",
IF( AND( D919 &gt;= TIMEVALUE( "22:00:01" ), D919 &lt;= TIMEVALUE( "23:59:59" ), WEEKDAY( C919,1+N("Lines 129-149 = weekday night1 period")) &gt;=2, ( WEEKDAY( C919,1) &lt;=6) ) = TRUE, "Night",
IF( AND( D919 &gt;= TIMEVALUE( "00:00:00" ), D919 &lt;= TIMEVALUE( "07:00:00" ), WEEKDAY( C919,1+N("Lines 150-170 = weekday night2 period")) &gt;=2, ( WEEKDAY( C919,1) &lt;=6) ) = TRUE, "Night",
IF( AND( D919 &gt;= TIMEVALUE( "20:00:01" ), D919 &lt;= TIMEVALUE( "23:59:59" ), WEEKDAY( C919) =(1+N("Lines 171-187 = sunday night1 period")) ) = TRUE, "Night",
IF( AND( D919 &gt;= TIMEVALUE( "00:00:00" ), D919 &lt;= TIMEVALUE( "07:00:00" ), WEEKDAY( C919) =(1+N("Lines 188-204 = sunday night2 period")) ) = TRUE, "Night", )))))))))))))</f>
        <v/>
      </c>
      <c r="J919" s="141" t="str">
        <f t="shared" si="72"/>
        <v/>
      </c>
      <c r="K919" s="141" t="str">
        <f t="shared" si="73"/>
        <v/>
      </c>
      <c r="L919" s="141" t="str">
        <f t="shared" si="74"/>
        <v/>
      </c>
    </row>
    <row r="920" spans="1:12" x14ac:dyDescent="0.3">
      <c r="A920" s="36" t="str">
        <f xml:space="preserve"> IF( 'From SvanPC++'!A920= "", "", ('From SvanPC++'!A920))</f>
        <v/>
      </c>
      <c r="C920" s="47" t="s">
        <v>10</v>
      </c>
      <c r="G920" s="38" t="str">
        <f t="shared" si="71"/>
        <v/>
      </c>
      <c r="H920" s="36" t="str">
        <f t="shared" si="75"/>
        <v/>
      </c>
      <c r="J920" s="141" t="str">
        <f t="shared" si="72"/>
        <v/>
      </c>
      <c r="K920" s="141" t="str">
        <f t="shared" si="73"/>
        <v/>
      </c>
      <c r="L920" s="141" t="str">
        <f t="shared" si="74"/>
        <v/>
      </c>
    </row>
    <row r="921" spans="1:12" x14ac:dyDescent="0.3">
      <c r="A921" s="36" t="str">
        <f xml:space="preserve"> IF( 'From SvanPC++'!A921= "", "", ('From SvanPC++'!A921))</f>
        <v/>
      </c>
      <c r="C921" s="47" t="s">
        <v>10</v>
      </c>
      <c r="G921" s="38" t="str">
        <f t="shared" si="71"/>
        <v/>
      </c>
      <c r="H921" s="36" t="str">
        <f t="shared" si="75"/>
        <v/>
      </c>
      <c r="J921" s="141" t="str">
        <f t="shared" si="72"/>
        <v/>
      </c>
      <c r="K921" s="141" t="str">
        <f t="shared" si="73"/>
        <v/>
      </c>
      <c r="L921" s="141" t="str">
        <f t="shared" si="74"/>
        <v/>
      </c>
    </row>
    <row r="922" spans="1:12" x14ac:dyDescent="0.3">
      <c r="A922" s="36" t="str">
        <f xml:space="preserve"> IF( 'From SvanPC++'!A922= "", "", ('From SvanPC++'!A922))</f>
        <v/>
      </c>
      <c r="C922" s="47" t="s">
        <v>10</v>
      </c>
      <c r="G922" s="38" t="str">
        <f t="shared" si="71"/>
        <v/>
      </c>
      <c r="H922" s="36" t="str">
        <f t="shared" si="75"/>
        <v/>
      </c>
      <c r="J922" s="141" t="str">
        <f t="shared" si="72"/>
        <v/>
      </c>
      <c r="K922" s="141" t="str">
        <f t="shared" si="73"/>
        <v/>
      </c>
      <c r="L922" s="141" t="str">
        <f t="shared" si="74"/>
        <v/>
      </c>
    </row>
    <row r="923" spans="1:12" x14ac:dyDescent="0.3">
      <c r="A923" s="36" t="str">
        <f xml:space="preserve"> IF( 'From SvanPC++'!A923= "", "", ('From SvanPC++'!A923))</f>
        <v/>
      </c>
      <c r="C923" s="47" t="s">
        <v>10</v>
      </c>
      <c r="G923" s="38" t="str">
        <f t="shared" si="71"/>
        <v/>
      </c>
      <c r="H923" s="36" t="str">
        <f t="shared" si="75"/>
        <v/>
      </c>
      <c r="J923" s="141" t="str">
        <f t="shared" si="72"/>
        <v/>
      </c>
      <c r="K923" s="141" t="str">
        <f t="shared" si="73"/>
        <v/>
      </c>
      <c r="L923" s="141" t="str">
        <f t="shared" si="74"/>
        <v/>
      </c>
    </row>
    <row r="924" spans="1:12" x14ac:dyDescent="0.3">
      <c r="A924" s="36" t="str">
        <f xml:space="preserve"> IF( 'From SvanPC++'!A924= "", "", ('From SvanPC++'!A924))</f>
        <v/>
      </c>
      <c r="C924" s="47" t="s">
        <v>10</v>
      </c>
      <c r="G924" s="38" t="str">
        <f t="shared" si="71"/>
        <v/>
      </c>
      <c r="H924" s="36" t="str">
        <f t="shared" si="75"/>
        <v/>
      </c>
      <c r="J924" s="141" t="str">
        <f t="shared" si="72"/>
        <v/>
      </c>
      <c r="K924" s="141" t="str">
        <f t="shared" si="73"/>
        <v/>
      </c>
      <c r="L924" s="141" t="str">
        <f t="shared" si="74"/>
        <v/>
      </c>
    </row>
    <row r="925" spans="1:12" x14ac:dyDescent="0.3">
      <c r="A925" s="36" t="str">
        <f xml:space="preserve"> IF( 'From SvanPC++'!A925= "", "", ('From SvanPC++'!A925))</f>
        <v/>
      </c>
      <c r="C925" s="47" t="s">
        <v>10</v>
      </c>
      <c r="G925" s="38" t="str">
        <f t="shared" si="71"/>
        <v/>
      </c>
      <c r="H925" s="36" t="str">
        <f t="shared" si="75"/>
        <v/>
      </c>
      <c r="J925" s="141" t="str">
        <f t="shared" si="72"/>
        <v/>
      </c>
      <c r="K925" s="141" t="str">
        <f t="shared" si="73"/>
        <v/>
      </c>
      <c r="L925" s="141" t="str">
        <f t="shared" si="74"/>
        <v/>
      </c>
    </row>
    <row r="926" spans="1:12" x14ac:dyDescent="0.3">
      <c r="A926" s="36" t="str">
        <f xml:space="preserve"> IF( 'From SvanPC++'!A926= "", "", ('From SvanPC++'!A926))</f>
        <v/>
      </c>
      <c r="C926" s="47" t="s">
        <v>10</v>
      </c>
      <c r="G926" s="38" t="str">
        <f t="shared" si="71"/>
        <v/>
      </c>
      <c r="H926" s="36" t="str">
        <f t="shared" si="75"/>
        <v/>
      </c>
      <c r="J926" s="141" t="str">
        <f t="shared" si="72"/>
        <v/>
      </c>
      <c r="K926" s="141" t="str">
        <f t="shared" si="73"/>
        <v/>
      </c>
      <c r="L926" s="141" t="str">
        <f t="shared" si="74"/>
        <v/>
      </c>
    </row>
    <row r="927" spans="1:12" x14ac:dyDescent="0.3">
      <c r="A927" s="36" t="str">
        <f xml:space="preserve"> IF( 'From SvanPC++'!A927= "", "", ('From SvanPC++'!A927))</f>
        <v/>
      </c>
      <c r="C927" s="47" t="s">
        <v>10</v>
      </c>
      <c r="G927" s="38" t="str">
        <f t="shared" si="71"/>
        <v/>
      </c>
      <c r="H927" s="36" t="str">
        <f t="shared" si="75"/>
        <v/>
      </c>
      <c r="J927" s="141" t="str">
        <f t="shared" si="72"/>
        <v/>
      </c>
      <c r="K927" s="141" t="str">
        <f t="shared" si="73"/>
        <v/>
      </c>
      <c r="L927" s="141" t="str">
        <f t="shared" si="74"/>
        <v/>
      </c>
    </row>
    <row r="928" spans="1:12" x14ac:dyDescent="0.3">
      <c r="A928" s="36" t="str">
        <f xml:space="preserve"> IF( 'From SvanPC++'!A928= "", "", ('From SvanPC++'!A928))</f>
        <v/>
      </c>
      <c r="C928" s="47" t="s">
        <v>10</v>
      </c>
      <c r="G928" s="38" t="str">
        <f t="shared" si="71"/>
        <v/>
      </c>
      <c r="H928" s="36" t="str">
        <f t="shared" si="75"/>
        <v/>
      </c>
      <c r="J928" s="141" t="str">
        <f t="shared" si="72"/>
        <v/>
      </c>
      <c r="K928" s="141" t="str">
        <f t="shared" si="73"/>
        <v/>
      </c>
      <c r="L928" s="141" t="str">
        <f t="shared" si="74"/>
        <v/>
      </c>
    </row>
    <row r="929" spans="1:12" x14ac:dyDescent="0.3">
      <c r="A929" s="36" t="str">
        <f xml:space="preserve"> IF( 'From SvanPC++'!A929= "", "", ('From SvanPC++'!A929))</f>
        <v/>
      </c>
      <c r="C929" s="47" t="s">
        <v>10</v>
      </c>
      <c r="G929" s="38" t="str">
        <f t="shared" si="71"/>
        <v/>
      </c>
      <c r="H929" s="36" t="str">
        <f t="shared" si="75"/>
        <v/>
      </c>
      <c r="J929" s="141" t="str">
        <f t="shared" si="72"/>
        <v/>
      </c>
      <c r="K929" s="141" t="str">
        <f t="shared" si="73"/>
        <v/>
      </c>
      <c r="L929" s="141" t="str">
        <f t="shared" si="74"/>
        <v/>
      </c>
    </row>
    <row r="930" spans="1:12" x14ac:dyDescent="0.3">
      <c r="A930" s="36" t="str">
        <f xml:space="preserve"> IF( 'From SvanPC++'!A930= "", "", ('From SvanPC++'!A930))</f>
        <v/>
      </c>
      <c r="C930" s="47" t="s">
        <v>10</v>
      </c>
      <c r="G930" s="38" t="str">
        <f t="shared" si="71"/>
        <v/>
      </c>
      <c r="H930" s="36" t="str">
        <f t="shared" si="75"/>
        <v/>
      </c>
      <c r="J930" s="141" t="str">
        <f t="shared" si="72"/>
        <v/>
      </c>
      <c r="K930" s="141" t="str">
        <f t="shared" si="73"/>
        <v/>
      </c>
      <c r="L930" s="141" t="str">
        <f t="shared" si="74"/>
        <v/>
      </c>
    </row>
    <row r="931" spans="1:12" x14ac:dyDescent="0.3">
      <c r="A931" s="36" t="str">
        <f xml:space="preserve"> IF( 'From SvanPC++'!A931= "", "", ('From SvanPC++'!A931))</f>
        <v/>
      </c>
      <c r="C931" s="47" t="s">
        <v>10</v>
      </c>
      <c r="G931" s="38" t="str">
        <f t="shared" si="71"/>
        <v/>
      </c>
      <c r="H931" s="36" t="str">
        <f t="shared" si="75"/>
        <v/>
      </c>
      <c r="J931" s="141" t="str">
        <f t="shared" si="72"/>
        <v/>
      </c>
      <c r="K931" s="141" t="str">
        <f t="shared" si="73"/>
        <v/>
      </c>
      <c r="L931" s="141" t="str">
        <f t="shared" si="74"/>
        <v/>
      </c>
    </row>
    <row r="932" spans="1:12" x14ac:dyDescent="0.3">
      <c r="A932" s="36" t="str">
        <f xml:space="preserve"> IF( 'From SvanPC++'!A932= "", "", ('From SvanPC++'!A932))</f>
        <v/>
      </c>
      <c r="C932" s="47" t="s">
        <v>10</v>
      </c>
      <c r="G932" s="38" t="str">
        <f t="shared" si="71"/>
        <v/>
      </c>
      <c r="H932" s="36" t="str">
        <f t="shared" si="75"/>
        <v/>
      </c>
      <c r="J932" s="141" t="str">
        <f t="shared" si="72"/>
        <v/>
      </c>
      <c r="K932" s="141" t="str">
        <f t="shared" si="73"/>
        <v/>
      </c>
      <c r="L932" s="141" t="str">
        <f t="shared" si="74"/>
        <v/>
      </c>
    </row>
    <row r="933" spans="1:12" x14ac:dyDescent="0.3">
      <c r="A933" s="36" t="str">
        <f xml:space="preserve"> IF( 'From SvanPC++'!A933= "", "", ('From SvanPC++'!A933))</f>
        <v/>
      </c>
      <c r="C933" s="47" t="s">
        <v>10</v>
      </c>
      <c r="G933" s="38" t="str">
        <f t="shared" si="71"/>
        <v/>
      </c>
      <c r="H933" s="36" t="str">
        <f t="shared" si="75"/>
        <v/>
      </c>
      <c r="J933" s="141" t="str">
        <f t="shared" si="72"/>
        <v/>
      </c>
      <c r="K933" s="141" t="str">
        <f t="shared" si="73"/>
        <v/>
      </c>
      <c r="L933" s="141" t="str">
        <f t="shared" si="74"/>
        <v/>
      </c>
    </row>
    <row r="934" spans="1:12" x14ac:dyDescent="0.3">
      <c r="A934" s="36" t="str">
        <f xml:space="preserve"> IF( 'From SvanPC++'!A934= "", "", ('From SvanPC++'!A934))</f>
        <v/>
      </c>
      <c r="C934" s="47" t="s">
        <v>10</v>
      </c>
      <c r="G934" s="38" t="str">
        <f t="shared" si="71"/>
        <v/>
      </c>
      <c r="H934" s="36" t="str">
        <f t="shared" si="75"/>
        <v/>
      </c>
      <c r="J934" s="141" t="str">
        <f t="shared" si="72"/>
        <v/>
      </c>
      <c r="K934" s="141" t="str">
        <f t="shared" si="73"/>
        <v/>
      </c>
      <c r="L934" s="141" t="str">
        <f t="shared" si="74"/>
        <v/>
      </c>
    </row>
    <row r="935" spans="1:12" x14ac:dyDescent="0.3">
      <c r="A935" s="36" t="str">
        <f xml:space="preserve"> IF( 'From SvanPC++'!A935= "", "", ('From SvanPC++'!A935))</f>
        <v/>
      </c>
      <c r="C935" s="47" t="s">
        <v>10</v>
      </c>
      <c r="G935" s="38" t="str">
        <f t="shared" si="71"/>
        <v/>
      </c>
      <c r="H935" s="36" t="str">
        <f t="shared" si="75"/>
        <v/>
      </c>
      <c r="J935" s="141" t="str">
        <f t="shared" si="72"/>
        <v/>
      </c>
      <c r="K935" s="141" t="str">
        <f t="shared" si="73"/>
        <v/>
      </c>
      <c r="L935" s="141" t="str">
        <f t="shared" si="74"/>
        <v/>
      </c>
    </row>
    <row r="936" spans="1:12" x14ac:dyDescent="0.3">
      <c r="A936" s="36" t="str">
        <f xml:space="preserve"> IF( 'From SvanPC++'!A936= "", "", ('From SvanPC++'!A936))</f>
        <v/>
      </c>
      <c r="C936" s="47" t="s">
        <v>10</v>
      </c>
      <c r="G936" s="38" t="str">
        <f t="shared" si="71"/>
        <v/>
      </c>
      <c r="H936" s="36" t="str">
        <f t="shared" si="75"/>
        <v/>
      </c>
      <c r="J936" s="141" t="str">
        <f t="shared" si="72"/>
        <v/>
      </c>
      <c r="K936" s="141" t="str">
        <f t="shared" si="73"/>
        <v/>
      </c>
      <c r="L936" s="141" t="str">
        <f t="shared" si="74"/>
        <v/>
      </c>
    </row>
    <row r="937" spans="1:12" x14ac:dyDescent="0.3">
      <c r="A937" s="36" t="str">
        <f xml:space="preserve"> IF( 'From SvanPC++'!A937= "", "", ('From SvanPC++'!A937))</f>
        <v/>
      </c>
      <c r="C937" s="47" t="s">
        <v>10</v>
      </c>
      <c r="G937" s="38" t="str">
        <f t="shared" si="71"/>
        <v/>
      </c>
      <c r="H937" s="36" t="str">
        <f t="shared" si="75"/>
        <v/>
      </c>
      <c r="J937" s="141" t="str">
        <f t="shared" si="72"/>
        <v/>
      </c>
      <c r="K937" s="141" t="str">
        <f t="shared" si="73"/>
        <v/>
      </c>
      <c r="L937" s="141" t="str">
        <f t="shared" si="74"/>
        <v/>
      </c>
    </row>
    <row r="938" spans="1:12" x14ac:dyDescent="0.3">
      <c r="A938" s="36" t="str">
        <f xml:space="preserve"> IF( 'From SvanPC++'!A938= "", "", ('From SvanPC++'!A938))</f>
        <v/>
      </c>
      <c r="C938" s="47" t="s">
        <v>10</v>
      </c>
      <c r="G938" s="38" t="str">
        <f t="shared" si="71"/>
        <v/>
      </c>
      <c r="H938" s="36" t="str">
        <f t="shared" si="75"/>
        <v/>
      </c>
      <c r="J938" s="141" t="str">
        <f t="shared" si="72"/>
        <v/>
      </c>
      <c r="K938" s="141" t="str">
        <f t="shared" si="73"/>
        <v/>
      </c>
      <c r="L938" s="141" t="str">
        <f t="shared" si="74"/>
        <v/>
      </c>
    </row>
    <row r="939" spans="1:12" x14ac:dyDescent="0.3">
      <c r="A939" s="36" t="str">
        <f xml:space="preserve"> IF( 'From SvanPC++'!A939= "", "", ('From SvanPC++'!A939))</f>
        <v/>
      </c>
      <c r="C939" s="47" t="s">
        <v>10</v>
      </c>
      <c r="G939" s="38" t="str">
        <f t="shared" si="71"/>
        <v/>
      </c>
      <c r="H939" s="36" t="str">
        <f t="shared" si="75"/>
        <v/>
      </c>
      <c r="J939" s="141" t="str">
        <f t="shared" si="72"/>
        <v/>
      </c>
      <c r="K939" s="141" t="str">
        <f t="shared" si="73"/>
        <v/>
      </c>
      <c r="L939" s="141" t="str">
        <f t="shared" si="74"/>
        <v/>
      </c>
    </row>
    <row r="940" spans="1:12" x14ac:dyDescent="0.3">
      <c r="A940" s="36" t="str">
        <f xml:space="preserve"> IF( 'From SvanPC++'!A940= "", "", ('From SvanPC++'!A940))</f>
        <v/>
      </c>
      <c r="C940" s="47" t="s">
        <v>10</v>
      </c>
      <c r="G940" s="38" t="str">
        <f t="shared" si="71"/>
        <v/>
      </c>
      <c r="H940" s="36" t="str">
        <f t="shared" si="75"/>
        <v/>
      </c>
      <c r="J940" s="141" t="str">
        <f t="shared" si="72"/>
        <v/>
      </c>
      <c r="K940" s="141" t="str">
        <f t="shared" si="73"/>
        <v/>
      </c>
      <c r="L940" s="141" t="str">
        <f t="shared" si="74"/>
        <v/>
      </c>
    </row>
    <row r="941" spans="1:12" x14ac:dyDescent="0.3">
      <c r="A941" s="36" t="str">
        <f xml:space="preserve"> IF( 'From SvanPC++'!A941= "", "", ('From SvanPC++'!A941))</f>
        <v/>
      </c>
      <c r="C941" s="47" t="s">
        <v>10</v>
      </c>
      <c r="G941" s="38" t="str">
        <f t="shared" si="71"/>
        <v/>
      </c>
      <c r="H941" s="36" t="str">
        <f t="shared" si="75"/>
        <v/>
      </c>
      <c r="J941" s="141" t="str">
        <f t="shared" si="72"/>
        <v/>
      </c>
      <c r="K941" s="141" t="str">
        <f t="shared" si="73"/>
        <v/>
      </c>
      <c r="L941" s="141" t="str">
        <f t="shared" si="74"/>
        <v/>
      </c>
    </row>
    <row r="942" spans="1:12" x14ac:dyDescent="0.3">
      <c r="A942" s="36" t="str">
        <f xml:space="preserve"> IF( 'From SvanPC++'!A942= "", "", ('From SvanPC++'!A942))</f>
        <v/>
      </c>
      <c r="C942" s="47" t="s">
        <v>10</v>
      </c>
      <c r="G942" s="38" t="str">
        <f t="shared" si="71"/>
        <v/>
      </c>
      <c r="H942" s="36" t="str">
        <f t="shared" si="75"/>
        <v/>
      </c>
      <c r="J942" s="141" t="str">
        <f t="shared" si="72"/>
        <v/>
      </c>
      <c r="K942" s="141" t="str">
        <f t="shared" si="73"/>
        <v/>
      </c>
      <c r="L942" s="141" t="str">
        <f t="shared" si="74"/>
        <v/>
      </c>
    </row>
    <row r="943" spans="1:12" x14ac:dyDescent="0.3">
      <c r="A943" s="36" t="str">
        <f xml:space="preserve"> IF( 'From SvanPC++'!A943= "", "", ('From SvanPC++'!A943))</f>
        <v/>
      </c>
      <c r="C943" s="47" t="s">
        <v>10</v>
      </c>
      <c r="G943" s="38" t="str">
        <f t="shared" si="71"/>
        <v/>
      </c>
      <c r="H943" s="36" t="str">
        <f t="shared" si="75"/>
        <v/>
      </c>
      <c r="J943" s="141" t="str">
        <f t="shared" si="72"/>
        <v/>
      </c>
      <c r="K943" s="141" t="str">
        <f t="shared" si="73"/>
        <v/>
      </c>
      <c r="L943" s="141" t="str">
        <f t="shared" si="74"/>
        <v/>
      </c>
    </row>
    <row r="944" spans="1:12" x14ac:dyDescent="0.3">
      <c r="A944" s="36" t="str">
        <f xml:space="preserve"> IF( 'From SvanPC++'!A944= "", "", ('From SvanPC++'!A944))</f>
        <v/>
      </c>
      <c r="C944" s="47" t="s">
        <v>10</v>
      </c>
      <c r="G944" s="38" t="str">
        <f t="shared" si="71"/>
        <v/>
      </c>
      <c r="H944" s="36" t="str">
        <f t="shared" si="75"/>
        <v/>
      </c>
      <c r="J944" s="141" t="str">
        <f t="shared" si="72"/>
        <v/>
      </c>
      <c r="K944" s="141" t="str">
        <f t="shared" si="73"/>
        <v/>
      </c>
      <c r="L944" s="141" t="str">
        <f t="shared" si="74"/>
        <v/>
      </c>
    </row>
    <row r="945" spans="1:12" x14ac:dyDescent="0.3">
      <c r="A945" s="36" t="str">
        <f xml:space="preserve"> IF( 'From SvanPC++'!A945= "", "", ('From SvanPC++'!A945))</f>
        <v/>
      </c>
      <c r="C945" s="47" t="s">
        <v>10</v>
      </c>
      <c r="G945" s="38" t="str">
        <f t="shared" si="71"/>
        <v/>
      </c>
      <c r="H945" s="36" t="str">
        <f t="shared" si="75"/>
        <v/>
      </c>
      <c r="J945" s="141" t="str">
        <f t="shared" si="72"/>
        <v/>
      </c>
      <c r="K945" s="141" t="str">
        <f t="shared" si="73"/>
        <v/>
      </c>
      <c r="L945" s="141" t="str">
        <f t="shared" si="74"/>
        <v/>
      </c>
    </row>
    <row r="946" spans="1:12" x14ac:dyDescent="0.3">
      <c r="A946" s="36" t="str">
        <f xml:space="preserve"> IF( 'From SvanPC++'!A946= "", "", ('From SvanPC++'!A946))</f>
        <v/>
      </c>
      <c r="C946" s="47" t="s">
        <v>10</v>
      </c>
      <c r="G946" s="38" t="str">
        <f t="shared" si="71"/>
        <v/>
      </c>
      <c r="H946" s="36" t="str">
        <f t="shared" si="75"/>
        <v/>
      </c>
      <c r="J946" s="141" t="str">
        <f t="shared" si="72"/>
        <v/>
      </c>
      <c r="K946" s="141" t="str">
        <f t="shared" si="73"/>
        <v/>
      </c>
      <c r="L946" s="141" t="str">
        <f t="shared" si="74"/>
        <v/>
      </c>
    </row>
    <row r="947" spans="1:12" x14ac:dyDescent="0.3">
      <c r="A947" s="36" t="str">
        <f xml:space="preserve"> IF( 'From SvanPC++'!A947= "", "", ('From SvanPC++'!A947))</f>
        <v/>
      </c>
      <c r="C947" s="47" t="s">
        <v>10</v>
      </c>
      <c r="G947" s="38" t="str">
        <f t="shared" si="71"/>
        <v/>
      </c>
      <c r="H947" s="36" t="str">
        <f t="shared" si="75"/>
        <v/>
      </c>
      <c r="J947" s="141" t="str">
        <f t="shared" si="72"/>
        <v/>
      </c>
      <c r="K947" s="141" t="str">
        <f t="shared" si="73"/>
        <v/>
      </c>
      <c r="L947" s="141" t="str">
        <f t="shared" si="74"/>
        <v/>
      </c>
    </row>
    <row r="948" spans="1:12" x14ac:dyDescent="0.3">
      <c r="A948" s="36" t="str">
        <f xml:space="preserve"> IF( 'From SvanPC++'!A948= "", "", ('From SvanPC++'!A948))</f>
        <v/>
      </c>
      <c r="C948" s="47" t="s">
        <v>10</v>
      </c>
      <c r="G948" s="38" t="str">
        <f t="shared" si="71"/>
        <v/>
      </c>
      <c r="H948" s="36" t="str">
        <f t="shared" si="75"/>
        <v/>
      </c>
      <c r="J948" s="141" t="str">
        <f t="shared" si="72"/>
        <v/>
      </c>
      <c r="K948" s="141" t="str">
        <f t="shared" si="73"/>
        <v/>
      </c>
      <c r="L948" s="141" t="str">
        <f t="shared" si="74"/>
        <v/>
      </c>
    </row>
    <row r="949" spans="1:12" x14ac:dyDescent="0.3">
      <c r="A949" s="36" t="str">
        <f xml:space="preserve"> IF( 'From SvanPC++'!A949= "", "", ('From SvanPC++'!A949))</f>
        <v/>
      </c>
      <c r="C949" s="47" t="s">
        <v>10</v>
      </c>
      <c r="G949" s="38" t="str">
        <f t="shared" si="71"/>
        <v/>
      </c>
      <c r="H949" s="36" t="str">
        <f t="shared" si="75"/>
        <v/>
      </c>
      <c r="J949" s="141" t="str">
        <f t="shared" si="72"/>
        <v/>
      </c>
      <c r="K949" s="141" t="str">
        <f t="shared" si="73"/>
        <v/>
      </c>
      <c r="L949" s="141" t="str">
        <f t="shared" si="74"/>
        <v/>
      </c>
    </row>
    <row r="950" spans="1:12" x14ac:dyDescent="0.3">
      <c r="A950" s="36" t="str">
        <f xml:space="preserve"> IF( 'From SvanPC++'!A950= "", "", ('From SvanPC++'!A950))</f>
        <v/>
      </c>
      <c r="C950" s="47" t="s">
        <v>10</v>
      </c>
      <c r="G950" s="38" t="str">
        <f t="shared" si="71"/>
        <v/>
      </c>
      <c r="H950" s="36" t="str">
        <f t="shared" si="75"/>
        <v/>
      </c>
      <c r="J950" s="141" t="str">
        <f t="shared" si="72"/>
        <v/>
      </c>
      <c r="K950" s="141" t="str">
        <f t="shared" si="73"/>
        <v/>
      </c>
      <c r="L950" s="141" t="str">
        <f t="shared" si="74"/>
        <v/>
      </c>
    </row>
    <row r="951" spans="1:12" x14ac:dyDescent="0.3">
      <c r="A951" s="36" t="str">
        <f xml:space="preserve"> IF( 'From SvanPC++'!A951= "", "", ('From SvanPC++'!A951))</f>
        <v/>
      </c>
      <c r="C951" s="47" t="s">
        <v>10</v>
      </c>
      <c r="G951" s="38" t="str">
        <f t="shared" si="71"/>
        <v/>
      </c>
      <c r="H951" s="36" t="str">
        <f t="shared" si="75"/>
        <v/>
      </c>
      <c r="J951" s="141" t="str">
        <f t="shared" si="72"/>
        <v/>
      </c>
      <c r="K951" s="141" t="str">
        <f t="shared" si="73"/>
        <v/>
      </c>
      <c r="L951" s="141" t="str">
        <f t="shared" si="74"/>
        <v/>
      </c>
    </row>
    <row r="952" spans="1:12" x14ac:dyDescent="0.3">
      <c r="A952" s="36" t="str">
        <f xml:space="preserve"> IF( 'From SvanPC++'!A952= "", "", ('From SvanPC++'!A952))</f>
        <v/>
      </c>
      <c r="C952" s="47" t="s">
        <v>10</v>
      </c>
      <c r="G952" s="38" t="str">
        <f t="shared" si="71"/>
        <v/>
      </c>
      <c r="H952" s="36" t="str">
        <f t="shared" si="75"/>
        <v/>
      </c>
      <c r="J952" s="141" t="str">
        <f t="shared" si="72"/>
        <v/>
      </c>
      <c r="K952" s="141" t="str">
        <f t="shared" si="73"/>
        <v/>
      </c>
      <c r="L952" s="141" t="str">
        <f t="shared" si="74"/>
        <v/>
      </c>
    </row>
    <row r="953" spans="1:12" x14ac:dyDescent="0.3">
      <c r="A953" s="36" t="str">
        <f xml:space="preserve"> IF( 'From SvanPC++'!A953= "", "", ('From SvanPC++'!A953))</f>
        <v/>
      </c>
      <c r="C953" s="47" t="s">
        <v>10</v>
      </c>
      <c r="G953" s="38" t="str">
        <f t="shared" si="71"/>
        <v/>
      </c>
      <c r="H953" s="36" t="str">
        <f t="shared" si="75"/>
        <v/>
      </c>
      <c r="J953" s="141" t="str">
        <f t="shared" si="72"/>
        <v/>
      </c>
      <c r="K953" s="141" t="str">
        <f t="shared" si="73"/>
        <v/>
      </c>
      <c r="L953" s="141" t="str">
        <f t="shared" si="74"/>
        <v/>
      </c>
    </row>
    <row r="954" spans="1:12" x14ac:dyDescent="0.3">
      <c r="A954" s="36" t="str">
        <f xml:space="preserve"> IF( 'From SvanPC++'!A954= "", "", ('From SvanPC++'!A954))</f>
        <v/>
      </c>
      <c r="C954" s="47" t="s">
        <v>10</v>
      </c>
      <c r="G954" s="38" t="str">
        <f t="shared" si="71"/>
        <v/>
      </c>
      <c r="H954" s="36" t="str">
        <f t="shared" si="75"/>
        <v/>
      </c>
      <c r="J954" s="141" t="str">
        <f t="shared" si="72"/>
        <v/>
      </c>
      <c r="K954" s="141" t="str">
        <f t="shared" si="73"/>
        <v/>
      </c>
      <c r="L954" s="141" t="str">
        <f t="shared" si="74"/>
        <v/>
      </c>
    </row>
    <row r="955" spans="1:12" x14ac:dyDescent="0.3">
      <c r="A955" s="36" t="str">
        <f xml:space="preserve"> IF( 'From SvanPC++'!A955= "", "", ('From SvanPC++'!A955))</f>
        <v/>
      </c>
      <c r="C955" s="47" t="s">
        <v>10</v>
      </c>
      <c r="G955" s="38" t="str">
        <f t="shared" si="71"/>
        <v/>
      </c>
      <c r="H955" s="36" t="str">
        <f t="shared" si="75"/>
        <v/>
      </c>
      <c r="J955" s="141" t="str">
        <f t="shared" si="72"/>
        <v/>
      </c>
      <c r="K955" s="141" t="str">
        <f t="shared" si="73"/>
        <v/>
      </c>
      <c r="L955" s="141" t="str">
        <f t="shared" si="74"/>
        <v/>
      </c>
    </row>
    <row r="956" spans="1:12" x14ac:dyDescent="0.3">
      <c r="A956" s="36" t="str">
        <f xml:space="preserve"> IF( 'From SvanPC++'!A956= "", "", ('From SvanPC++'!A956))</f>
        <v/>
      </c>
      <c r="C956" s="47" t="s">
        <v>10</v>
      </c>
      <c r="G956" s="38" t="str">
        <f t="shared" si="71"/>
        <v/>
      </c>
      <c r="H956" s="36" t="str">
        <f t="shared" si="75"/>
        <v/>
      </c>
      <c r="J956" s="141" t="str">
        <f t="shared" si="72"/>
        <v/>
      </c>
      <c r="K956" s="141" t="str">
        <f t="shared" si="73"/>
        <v/>
      </c>
      <c r="L956" s="141" t="str">
        <f t="shared" si="74"/>
        <v/>
      </c>
    </row>
    <row r="957" spans="1:12" x14ac:dyDescent="0.3">
      <c r="A957" s="36" t="str">
        <f xml:space="preserve"> IF( 'From SvanPC++'!A957= "", "", ('From SvanPC++'!A957))</f>
        <v/>
      </c>
      <c r="C957" s="47" t="s">
        <v>10</v>
      </c>
      <c r="G957" s="38" t="str">
        <f t="shared" si="71"/>
        <v/>
      </c>
      <c r="H957" s="36" t="str">
        <f t="shared" si="75"/>
        <v/>
      </c>
      <c r="J957" s="141" t="str">
        <f t="shared" si="72"/>
        <v/>
      </c>
      <c r="K957" s="141" t="str">
        <f t="shared" si="73"/>
        <v/>
      </c>
      <c r="L957" s="141" t="str">
        <f t="shared" si="74"/>
        <v/>
      </c>
    </row>
    <row r="958" spans="1:12" x14ac:dyDescent="0.3">
      <c r="A958" s="36" t="str">
        <f xml:space="preserve"> IF( 'From SvanPC++'!A958= "", "", ('From SvanPC++'!A958))</f>
        <v/>
      </c>
      <c r="C958" s="47" t="s">
        <v>10</v>
      </c>
      <c r="G958" s="38" t="str">
        <f t="shared" si="71"/>
        <v/>
      </c>
      <c r="H958" s="36" t="str">
        <f t="shared" si="75"/>
        <v/>
      </c>
      <c r="J958" s="141" t="str">
        <f t="shared" si="72"/>
        <v/>
      </c>
      <c r="K958" s="141" t="str">
        <f t="shared" si="73"/>
        <v/>
      </c>
      <c r="L958" s="141" t="str">
        <f t="shared" si="74"/>
        <v/>
      </c>
    </row>
    <row r="959" spans="1:12" x14ac:dyDescent="0.3">
      <c r="A959" s="36" t="str">
        <f xml:space="preserve"> IF( 'From SvanPC++'!A959= "", "", ('From SvanPC++'!A959))</f>
        <v/>
      </c>
      <c r="C959" s="47" t="s">
        <v>10</v>
      </c>
      <c r="G959" s="38" t="str">
        <f t="shared" si="71"/>
        <v/>
      </c>
      <c r="H959" s="36" t="str">
        <f t="shared" si="75"/>
        <v/>
      </c>
      <c r="J959" s="141" t="str">
        <f t="shared" si="72"/>
        <v/>
      </c>
      <c r="K959" s="141" t="str">
        <f t="shared" si="73"/>
        <v/>
      </c>
      <c r="L959" s="141" t="str">
        <f t="shared" si="74"/>
        <v/>
      </c>
    </row>
    <row r="960" spans="1:12" x14ac:dyDescent="0.3">
      <c r="A960" s="36" t="str">
        <f xml:space="preserve"> IF( 'From SvanPC++'!A960= "", "", ('From SvanPC++'!A960))</f>
        <v/>
      </c>
      <c r="C960" s="47" t="s">
        <v>10</v>
      </c>
      <c r="G960" s="38" t="str">
        <f t="shared" si="71"/>
        <v/>
      </c>
      <c r="H960" s="36" t="str">
        <f t="shared" si="75"/>
        <v/>
      </c>
      <c r="J960" s="141" t="str">
        <f t="shared" si="72"/>
        <v/>
      </c>
      <c r="K960" s="141" t="str">
        <f t="shared" si="73"/>
        <v/>
      </c>
      <c r="L960" s="141" t="str">
        <f t="shared" si="74"/>
        <v/>
      </c>
    </row>
    <row r="961" spans="1:12" x14ac:dyDescent="0.3">
      <c r="A961" s="36" t="str">
        <f xml:space="preserve"> IF( 'From SvanPC++'!A961= "", "", ('From SvanPC++'!A961))</f>
        <v/>
      </c>
      <c r="C961" s="47" t="s">
        <v>10</v>
      </c>
      <c r="G961" s="38" t="str">
        <f t="shared" si="71"/>
        <v/>
      </c>
      <c r="H961" s="36" t="str">
        <f t="shared" si="75"/>
        <v/>
      </c>
      <c r="J961" s="141" t="str">
        <f t="shared" si="72"/>
        <v/>
      </c>
      <c r="K961" s="141" t="str">
        <f t="shared" si="73"/>
        <v/>
      </c>
      <c r="L961" s="141" t="str">
        <f t="shared" si="74"/>
        <v/>
      </c>
    </row>
    <row r="962" spans="1:12" x14ac:dyDescent="0.3">
      <c r="A962" s="36" t="str">
        <f xml:space="preserve"> IF( 'From SvanPC++'!A962= "", "", ('From SvanPC++'!A962))</f>
        <v/>
      </c>
      <c r="C962" s="47" t="s">
        <v>10</v>
      </c>
      <c r="G962" s="38" t="str">
        <f t="shared" si="71"/>
        <v/>
      </c>
      <c r="H962" s="36" t="str">
        <f t="shared" si="75"/>
        <v/>
      </c>
      <c r="J962" s="141" t="str">
        <f t="shared" si="72"/>
        <v/>
      </c>
      <c r="K962" s="141" t="str">
        <f t="shared" si="73"/>
        <v/>
      </c>
      <c r="L962" s="141" t="str">
        <f t="shared" si="74"/>
        <v/>
      </c>
    </row>
    <row r="963" spans="1:12" x14ac:dyDescent="0.3">
      <c r="A963" s="36" t="str">
        <f xml:space="preserve"> IF( 'From SvanPC++'!A963= "", "", ('From SvanPC++'!A963))</f>
        <v/>
      </c>
      <c r="C963" s="47" t="s">
        <v>10</v>
      </c>
      <c r="G963" s="38" t="str">
        <f t="shared" si="71"/>
        <v/>
      </c>
      <c r="H963" s="36" t="str">
        <f t="shared" si="75"/>
        <v/>
      </c>
      <c r="J963" s="141" t="str">
        <f t="shared" si="72"/>
        <v/>
      </c>
      <c r="K963" s="141" t="str">
        <f t="shared" si="73"/>
        <v/>
      </c>
      <c r="L963" s="141" t="str">
        <f t="shared" si="74"/>
        <v/>
      </c>
    </row>
    <row r="964" spans="1:12" x14ac:dyDescent="0.3">
      <c r="A964" s="36" t="str">
        <f xml:space="preserve"> IF( 'From SvanPC++'!A964= "", "", ('From SvanPC++'!A964))</f>
        <v/>
      </c>
      <c r="C964" s="47" t="s">
        <v>10</v>
      </c>
      <c r="G964" s="38" t="str">
        <f t="shared" si="71"/>
        <v/>
      </c>
      <c r="H964" s="36" t="str">
        <f t="shared" si="75"/>
        <v/>
      </c>
      <c r="J964" s="141" t="str">
        <f t="shared" si="72"/>
        <v/>
      </c>
      <c r="K964" s="141" t="str">
        <f t="shared" si="73"/>
        <v/>
      </c>
      <c r="L964" s="141" t="str">
        <f t="shared" si="74"/>
        <v/>
      </c>
    </row>
    <row r="965" spans="1:12" x14ac:dyDescent="0.3">
      <c r="A965" s="36" t="str">
        <f xml:space="preserve"> IF( 'From SvanPC++'!A965= "", "", ('From SvanPC++'!A965))</f>
        <v/>
      </c>
      <c r="C965" s="47" t="s">
        <v>10</v>
      </c>
      <c r="G965" s="38" t="str">
        <f t="shared" si="71"/>
        <v/>
      </c>
      <c r="H965" s="36" t="str">
        <f t="shared" si="75"/>
        <v/>
      </c>
      <c r="J965" s="141" t="str">
        <f t="shared" si="72"/>
        <v/>
      </c>
      <c r="K965" s="141" t="str">
        <f t="shared" si="73"/>
        <v/>
      </c>
      <c r="L965" s="141" t="str">
        <f t="shared" si="74"/>
        <v/>
      </c>
    </row>
    <row r="966" spans="1:12" x14ac:dyDescent="0.3">
      <c r="A966" s="36" t="str">
        <f xml:space="preserve"> IF( 'From SvanPC++'!A966= "", "", ('From SvanPC++'!A966))</f>
        <v/>
      </c>
      <c r="C966" s="47" t="s">
        <v>10</v>
      </c>
      <c r="G966" s="38" t="str">
        <f t="shared" si="71"/>
        <v/>
      </c>
      <c r="H966" s="36" t="str">
        <f t="shared" si="75"/>
        <v/>
      </c>
      <c r="J966" s="141" t="str">
        <f t="shared" si="72"/>
        <v/>
      </c>
      <c r="K966" s="141" t="str">
        <f t="shared" si="73"/>
        <v/>
      </c>
      <c r="L966" s="141" t="str">
        <f t="shared" si="74"/>
        <v/>
      </c>
    </row>
    <row r="967" spans="1:12" x14ac:dyDescent="0.3">
      <c r="A967" s="36" t="str">
        <f xml:space="preserve"> IF( 'From SvanPC++'!A967= "", "", ('From SvanPC++'!A967))</f>
        <v/>
      </c>
      <c r="C967" s="47" t="s">
        <v>10</v>
      </c>
      <c r="G967" s="38" t="str">
        <f t="shared" ref="G967:G1030" si="76" xml:space="preserve"> IF( D967= "", "", ( IF( AND( D967 &gt;= TIMEVALUE( "07:00:01" ), D967 &lt; TIMEVALUE( "08:00:01" ) ) = TRUE, (G966+1), (G966+0) )))</f>
        <v/>
      </c>
      <c r="H967" s="36" t="str">
        <f t="shared" si="75"/>
        <v/>
      </c>
      <c r="J967" s="141" t="str">
        <f t="shared" si="72"/>
        <v/>
      </c>
      <c r="K967" s="141" t="str">
        <f t="shared" si="73"/>
        <v/>
      </c>
      <c r="L967" s="141" t="str">
        <f t="shared" si="74"/>
        <v/>
      </c>
    </row>
    <row r="968" spans="1:12" x14ac:dyDescent="0.3">
      <c r="A968" s="36" t="str">
        <f xml:space="preserve"> IF( 'From SvanPC++'!A968= "", "", ('From SvanPC++'!A968))</f>
        <v/>
      </c>
      <c r="C968" s="47" t="s">
        <v>10</v>
      </c>
      <c r="G968" s="38" t="str">
        <f t="shared" si="76"/>
        <v/>
      </c>
      <c r="H968" s="36" t="str">
        <f t="shared" si="75"/>
        <v/>
      </c>
      <c r="J968" s="141" t="str">
        <f t="shared" ref="J968:J1031" si="77" xml:space="preserve"> IF( ISERROR( IF( D968= "", "", ( IF( G968= (G967+1), ( AVERAGEIFS( E968:E1112, G968:G1112, G968, H968:H1112, "Day" )), "" )))), "",( IF( D968= "", "", ( IF( G968= (G967+1), ( AVERAGEIFS( E968:E1112, G968:G1112, G968, H968:H1112, "Day" )), "" )))))</f>
        <v/>
      </c>
      <c r="K968" s="141" t="str">
        <f t="shared" ref="K968:K1031" si="78" xml:space="preserve"> IF( ISERROR( IF( D968= "", "", ( IF( G968= (G967+1), ( AVERAGEIFS( E968:E1112, G968:G1112, G968, H968:H1112, "Evening" )), "" )))), "",( IF( D968= "", "", ( IF( G968= (G967+1), ( AVERAGEIFS( E968:E1112, G968:G1112, G968, H968:H1112, "Evening" )), "" )))))</f>
        <v/>
      </c>
      <c r="L968" s="141" t="str">
        <f t="shared" ref="L968:L1031" si="79" xml:space="preserve"> IF( ISERROR( IF( D968= "", "", ( IF( G968= (G967+1), ( AVERAGEIFS( E968:E1112, G968:G1112, G968, H968:H1112, "Night" )), "" )))), "",( IF( D968= "", "", ( IF( G968= (G967+1), ( AVERAGEIFS( E968:E1112, G968:G1112, G968, H968:H1112, "Night" )), "" )))))</f>
        <v/>
      </c>
    </row>
    <row r="969" spans="1:12" x14ac:dyDescent="0.3">
      <c r="A969" s="36" t="str">
        <f xml:space="preserve"> IF( 'From SvanPC++'!A969= "", "", ('From SvanPC++'!A969))</f>
        <v/>
      </c>
      <c r="C969" s="47" t="s">
        <v>10</v>
      </c>
      <c r="G969" s="38" t="str">
        <f t="shared" si="76"/>
        <v/>
      </c>
      <c r="H969" s="36" t="str">
        <f t="shared" si="75"/>
        <v/>
      </c>
      <c r="J969" s="141" t="str">
        <f t="shared" si="77"/>
        <v/>
      </c>
      <c r="K969" s="141" t="str">
        <f t="shared" si="78"/>
        <v/>
      </c>
      <c r="L969" s="141" t="str">
        <f t="shared" si="79"/>
        <v/>
      </c>
    </row>
    <row r="970" spans="1:12" x14ac:dyDescent="0.3">
      <c r="A970" s="36" t="str">
        <f xml:space="preserve"> IF( 'From SvanPC++'!A970= "", "", ('From SvanPC++'!A970))</f>
        <v/>
      </c>
      <c r="C970" s="47" t="s">
        <v>10</v>
      </c>
      <c r="G970" s="38" t="str">
        <f t="shared" si="76"/>
        <v/>
      </c>
      <c r="H970" s="36" t="str">
        <f t="shared" si="75"/>
        <v/>
      </c>
      <c r="J970" s="141" t="str">
        <f t="shared" si="77"/>
        <v/>
      </c>
      <c r="K970" s="141" t="str">
        <f t="shared" si="78"/>
        <v/>
      </c>
      <c r="L970" s="141" t="str">
        <f t="shared" si="79"/>
        <v/>
      </c>
    </row>
    <row r="971" spans="1:12" x14ac:dyDescent="0.3">
      <c r="A971" s="36" t="str">
        <f xml:space="preserve"> IF( 'From SvanPC++'!A971= "", "", ('From SvanPC++'!A971))</f>
        <v/>
      </c>
      <c r="C971" s="47" t="s">
        <v>10</v>
      </c>
      <c r="G971" s="38" t="str">
        <f t="shared" si="76"/>
        <v/>
      </c>
      <c r="H971" s="36" t="str">
        <f t="shared" si="75"/>
        <v/>
      </c>
      <c r="J971" s="141" t="str">
        <f t="shared" si="77"/>
        <v/>
      </c>
      <c r="K971" s="141" t="str">
        <f t="shared" si="78"/>
        <v/>
      </c>
      <c r="L971" s="141" t="str">
        <f t="shared" si="79"/>
        <v/>
      </c>
    </row>
    <row r="972" spans="1:12" x14ac:dyDescent="0.3">
      <c r="A972" s="36" t="str">
        <f xml:space="preserve"> IF( 'From SvanPC++'!A972= "", "", ('From SvanPC++'!A972))</f>
        <v/>
      </c>
      <c r="C972" s="47" t="s">
        <v>10</v>
      </c>
      <c r="G972" s="38" t="str">
        <f t="shared" si="76"/>
        <v/>
      </c>
      <c r="H972" s="36" t="str">
        <f t="shared" si="75"/>
        <v/>
      </c>
      <c r="J972" s="141" t="str">
        <f t="shared" si="77"/>
        <v/>
      </c>
      <c r="K972" s="141" t="str">
        <f t="shared" si="78"/>
        <v/>
      </c>
      <c r="L972" s="141" t="str">
        <f t="shared" si="79"/>
        <v/>
      </c>
    </row>
    <row r="973" spans="1:12" x14ac:dyDescent="0.3">
      <c r="A973" s="36" t="str">
        <f xml:space="preserve"> IF( 'From SvanPC++'!A973= "", "", ('From SvanPC++'!A973))</f>
        <v/>
      </c>
      <c r="C973" s="47" t="s">
        <v>10</v>
      </c>
      <c r="G973" s="38" t="str">
        <f t="shared" si="76"/>
        <v/>
      </c>
      <c r="H973" s="36" t="str">
        <f t="shared" si="75"/>
        <v/>
      </c>
      <c r="J973" s="141" t="str">
        <f t="shared" si="77"/>
        <v/>
      </c>
      <c r="K973" s="141" t="str">
        <f t="shared" si="78"/>
        <v/>
      </c>
      <c r="L973" s="141" t="str">
        <f t="shared" si="79"/>
        <v/>
      </c>
    </row>
    <row r="974" spans="1:12" x14ac:dyDescent="0.3">
      <c r="A974" s="36" t="str">
        <f xml:space="preserve"> IF( 'From SvanPC++'!A974= "", "", ('From SvanPC++'!A974))</f>
        <v/>
      </c>
      <c r="C974" s="47" t="s">
        <v>10</v>
      </c>
      <c r="G974" s="38" t="str">
        <f t="shared" si="76"/>
        <v/>
      </c>
      <c r="H974" s="36" t="str">
        <f t="shared" si="75"/>
        <v/>
      </c>
      <c r="J974" s="141" t="str">
        <f t="shared" si="77"/>
        <v/>
      </c>
      <c r="K974" s="141" t="str">
        <f t="shared" si="78"/>
        <v/>
      </c>
      <c r="L974" s="141" t="str">
        <f t="shared" si="79"/>
        <v/>
      </c>
    </row>
    <row r="975" spans="1:12" x14ac:dyDescent="0.3">
      <c r="A975" s="36" t="str">
        <f xml:space="preserve"> IF( 'From SvanPC++'!A975= "", "", ('From SvanPC++'!A975))</f>
        <v/>
      </c>
      <c r="C975" s="47" t="s">
        <v>10</v>
      </c>
      <c r="G975" s="38" t="str">
        <f t="shared" si="76"/>
        <v/>
      </c>
      <c r="H975" s="36" t="str">
        <f t="shared" si="75"/>
        <v/>
      </c>
      <c r="J975" s="141" t="str">
        <f t="shared" si="77"/>
        <v/>
      </c>
      <c r="K975" s="141" t="str">
        <f t="shared" si="78"/>
        <v/>
      </c>
      <c r="L975" s="141" t="str">
        <f t="shared" si="79"/>
        <v/>
      </c>
    </row>
    <row r="976" spans="1:12" x14ac:dyDescent="0.3">
      <c r="A976" s="36" t="str">
        <f xml:space="preserve"> IF( 'From SvanPC++'!A976= "", "", ('From SvanPC++'!A976))</f>
        <v/>
      </c>
      <c r="C976" s="47" t="s">
        <v>10</v>
      </c>
      <c r="G976" s="38" t="str">
        <f t="shared" si="76"/>
        <v/>
      </c>
      <c r="H976" s="36" t="str">
        <f t="shared" si="75"/>
        <v/>
      </c>
      <c r="J976" s="141" t="str">
        <f t="shared" si="77"/>
        <v/>
      </c>
      <c r="K976" s="141" t="str">
        <f t="shared" si="78"/>
        <v/>
      </c>
      <c r="L976" s="141" t="str">
        <f t="shared" si="79"/>
        <v/>
      </c>
    </row>
    <row r="977" spans="1:12" x14ac:dyDescent="0.3">
      <c r="A977" s="36" t="str">
        <f xml:space="preserve"> IF( 'From SvanPC++'!A977= "", "", ('From SvanPC++'!A977))</f>
        <v/>
      </c>
      <c r="C977" s="47" t="s">
        <v>10</v>
      </c>
      <c r="G977" s="38" t="str">
        <f t="shared" si="76"/>
        <v/>
      </c>
      <c r="H977" s="36" t="str">
        <f t="shared" si="75"/>
        <v/>
      </c>
      <c r="J977" s="141" t="str">
        <f t="shared" si="77"/>
        <v/>
      </c>
      <c r="K977" s="141" t="str">
        <f t="shared" si="78"/>
        <v/>
      </c>
      <c r="L977" s="141" t="str">
        <f t="shared" si="79"/>
        <v/>
      </c>
    </row>
    <row r="978" spans="1:12" x14ac:dyDescent="0.3">
      <c r="A978" s="36" t="str">
        <f xml:space="preserve"> IF( 'From SvanPC++'!A978= "", "", ('From SvanPC++'!A978))</f>
        <v/>
      </c>
      <c r="C978" s="47" t="s">
        <v>10</v>
      </c>
      <c r="G978" s="38" t="str">
        <f t="shared" si="76"/>
        <v/>
      </c>
      <c r="H978" s="36" t="str">
        <f t="shared" si="75"/>
        <v/>
      </c>
      <c r="J978" s="141" t="str">
        <f t="shared" si="77"/>
        <v/>
      </c>
      <c r="K978" s="141" t="str">
        <f t="shared" si="78"/>
        <v/>
      </c>
      <c r="L978" s="141" t="str">
        <f t="shared" si="79"/>
        <v/>
      </c>
    </row>
    <row r="979" spans="1:12" x14ac:dyDescent="0.3">
      <c r="A979" s="36" t="str">
        <f xml:space="preserve"> IF( 'From SvanPC++'!A979= "", "", ('From SvanPC++'!A979))</f>
        <v/>
      </c>
      <c r="C979" s="47" t="s">
        <v>10</v>
      </c>
      <c r="G979" s="38" t="str">
        <f t="shared" si="76"/>
        <v/>
      </c>
      <c r="H979" s="36" t="str">
        <f t="shared" si="75"/>
        <v/>
      </c>
      <c r="J979" s="141" t="str">
        <f t="shared" si="77"/>
        <v/>
      </c>
      <c r="K979" s="141" t="str">
        <f t="shared" si="78"/>
        <v/>
      </c>
      <c r="L979" s="141" t="str">
        <f t="shared" si="79"/>
        <v/>
      </c>
    </row>
    <row r="980" spans="1:12" x14ac:dyDescent="0.3">
      <c r="A980" s="36" t="str">
        <f xml:space="preserve"> IF( 'From SvanPC++'!A980= "", "", ('From SvanPC++'!A980))</f>
        <v/>
      </c>
      <c r="C980" s="47" t="s">
        <v>10</v>
      </c>
      <c r="G980" s="38" t="str">
        <f t="shared" si="76"/>
        <v/>
      </c>
      <c r="H980" s="36" t="str">
        <f t="shared" si="75"/>
        <v/>
      </c>
      <c r="J980" s="141" t="str">
        <f t="shared" si="77"/>
        <v/>
      </c>
      <c r="K980" s="141" t="str">
        <f t="shared" si="78"/>
        <v/>
      </c>
      <c r="L980" s="141" t="str">
        <f t="shared" si="79"/>
        <v/>
      </c>
    </row>
    <row r="981" spans="1:12" x14ac:dyDescent="0.3">
      <c r="A981" s="36" t="str">
        <f xml:space="preserve"> IF( 'From SvanPC++'!A981= "", "", ('From SvanPC++'!A981))</f>
        <v/>
      </c>
      <c r="C981" s="47" t="s">
        <v>10</v>
      </c>
      <c r="G981" s="38" t="str">
        <f t="shared" si="76"/>
        <v/>
      </c>
      <c r="H981" s="36" t="str">
        <f t="shared" si="75"/>
        <v/>
      </c>
      <c r="J981" s="141" t="str">
        <f t="shared" si="77"/>
        <v/>
      </c>
      <c r="K981" s="141" t="str">
        <f t="shared" si="78"/>
        <v/>
      </c>
      <c r="L981" s="141" t="str">
        <f t="shared" si="79"/>
        <v/>
      </c>
    </row>
    <row r="982" spans="1:12" x14ac:dyDescent="0.3">
      <c r="A982" s="36" t="str">
        <f xml:space="preserve"> IF( 'From SvanPC++'!A982= "", "", ('From SvanPC++'!A982))</f>
        <v/>
      </c>
      <c r="C982" s="47" t="s">
        <v>10</v>
      </c>
      <c r="G982" s="38" t="str">
        <f t="shared" si="76"/>
        <v/>
      </c>
      <c r="H982" s="36" t="str">
        <f t="shared" si="75"/>
        <v/>
      </c>
      <c r="J982" s="141" t="str">
        <f t="shared" si="77"/>
        <v/>
      </c>
      <c r="K982" s="141" t="str">
        <f t="shared" si="78"/>
        <v/>
      </c>
      <c r="L982" s="141" t="str">
        <f t="shared" si="79"/>
        <v/>
      </c>
    </row>
    <row r="983" spans="1:12" x14ac:dyDescent="0.3">
      <c r="A983" s="36" t="str">
        <f xml:space="preserve"> IF( 'From SvanPC++'!A983= "", "", ('From SvanPC++'!A983))</f>
        <v/>
      </c>
      <c r="C983" s="47" t="s">
        <v>10</v>
      </c>
      <c r="G983" s="38" t="str">
        <f t="shared" si="76"/>
        <v/>
      </c>
      <c r="H983" s="36" t="str">
        <f t="shared" ref="H983:H1046" si="80" xml:space="preserve"> IF( D983= "", "", ( IF( AND( D983 &gt;= TIMEVALUE( "07:00:01" ), D983 &lt;= TIMEVALUE( "13:00:00" ), WEEKDAY( C983) =(7+N("Lines 2-17 = saturday day period")) ) = TRUE, "Day",
IF( AND( D983 &gt;= TIMEVALUE( "07:00:01" ), D983 &lt;= TIMEVALUE( "18:00:00" ), WEEKDAY( C983,1+N("Lines 19-38 = weekday day period")) &gt;=2, ( WEEKDAY( C983,1) &lt;=6) ) = TRUE, "Day",
IF( AND( D983 &gt;= TIMEVALUE( "13:00:01" ), D983 &lt;= TIMEVALUE( "22:00:00" ), WEEKDAY( C983) =(7+N("Lines 40-56 = saturday evening period")) ) = TRUE, "Evening",
IF( AND( D983 &gt;= TIMEVALUE( "18:00:01" ), D983 &lt;= TIMEVALUE( "22:00:00" ), WEEKDAY( C983,1+N("Lines 57-77 = weekday evening period")) &gt;=2, ( WEEKDAY( C983,1) &lt;=6) ) = TRUE, "Evening",
IF( AND( D983 &gt;= TIMEVALUE( "07:00:01" ), D983 &lt;= TIMEVALUE( "22:00:00" ), WEEKDAY( C983) =(1+N("Lines 78-94 = sunday evening period")) ) = TRUE, "Evening",
IF( AND( D983 &gt;= TIMEVALUE( "22:00:01" ), D983 &lt;= TIMEVALUE( "23:59:59" ), WEEKDAY( C983) =(7+N("Lines 95-111 = saturday night1 period")) ) = TRUE, "Night",
IF( AND( D983 &gt;= TIMEVALUE( "00:00:00" ), D983 &lt;= TIMEVALUE( "07:00:00" ), WEEKDAY( C983) =(7+N("Lines 112-128 = saturday night2 period")) ) = TRUE, "Night",
IF( AND( D983 &gt;= TIMEVALUE( "22:00:01" ), D983 &lt;= TIMEVALUE( "23:59:59" ), WEEKDAY( C983,1+N("Lines 129-149 = weekday night1 period")) &gt;=2, ( WEEKDAY( C983,1) &lt;=6) ) = TRUE, "Night",
IF( AND( D983 &gt;= TIMEVALUE( "00:00:00" ), D983 &lt;= TIMEVALUE( "07:00:00" ), WEEKDAY( C983,1+N("Lines 150-170 = weekday night2 period")) &gt;=2, ( WEEKDAY( C983,1) &lt;=6) ) = TRUE, "Night",
IF( AND( D983 &gt;= TIMEVALUE( "20:00:01" ), D983 &lt;= TIMEVALUE( "23:59:59" ), WEEKDAY( C983) =(1+N("Lines 171-187 = sunday night1 period")) ) = TRUE, "Night",
IF( AND( D983 &gt;= TIMEVALUE( "00:00:00" ), D983 &lt;= TIMEVALUE( "07:00:00" ), WEEKDAY( C983) =(1+N("Lines 188-204 = sunday night2 period")) ) = TRUE, "Night", )))))))))))))</f>
        <v/>
      </c>
      <c r="J983" s="141" t="str">
        <f t="shared" si="77"/>
        <v/>
      </c>
      <c r="K983" s="141" t="str">
        <f t="shared" si="78"/>
        <v/>
      </c>
      <c r="L983" s="141" t="str">
        <f t="shared" si="79"/>
        <v/>
      </c>
    </row>
    <row r="984" spans="1:12" x14ac:dyDescent="0.3">
      <c r="A984" s="36" t="str">
        <f xml:space="preserve"> IF( 'From SvanPC++'!A984= "", "", ('From SvanPC++'!A984))</f>
        <v/>
      </c>
      <c r="C984" s="47" t="s">
        <v>10</v>
      </c>
      <c r="G984" s="38" t="str">
        <f t="shared" si="76"/>
        <v/>
      </c>
      <c r="H984" s="36" t="str">
        <f t="shared" si="80"/>
        <v/>
      </c>
      <c r="J984" s="141" t="str">
        <f t="shared" si="77"/>
        <v/>
      </c>
      <c r="K984" s="141" t="str">
        <f t="shared" si="78"/>
        <v/>
      </c>
      <c r="L984" s="141" t="str">
        <f t="shared" si="79"/>
        <v/>
      </c>
    </row>
    <row r="985" spans="1:12" x14ac:dyDescent="0.3">
      <c r="A985" s="36" t="str">
        <f xml:space="preserve"> IF( 'From SvanPC++'!A985= "", "", ('From SvanPC++'!A985))</f>
        <v/>
      </c>
      <c r="C985" s="47" t="s">
        <v>10</v>
      </c>
      <c r="G985" s="38" t="str">
        <f t="shared" si="76"/>
        <v/>
      </c>
      <c r="H985" s="36" t="str">
        <f t="shared" si="80"/>
        <v/>
      </c>
      <c r="J985" s="141" t="str">
        <f t="shared" si="77"/>
        <v/>
      </c>
      <c r="K985" s="141" t="str">
        <f t="shared" si="78"/>
        <v/>
      </c>
      <c r="L985" s="141" t="str">
        <f t="shared" si="79"/>
        <v/>
      </c>
    </row>
    <row r="986" spans="1:12" x14ac:dyDescent="0.3">
      <c r="A986" s="36" t="str">
        <f xml:space="preserve"> IF( 'From SvanPC++'!A986= "", "", ('From SvanPC++'!A986))</f>
        <v/>
      </c>
      <c r="C986" s="47" t="s">
        <v>10</v>
      </c>
      <c r="G986" s="38" t="str">
        <f t="shared" si="76"/>
        <v/>
      </c>
      <c r="H986" s="36" t="str">
        <f t="shared" si="80"/>
        <v/>
      </c>
      <c r="J986" s="141" t="str">
        <f t="shared" si="77"/>
        <v/>
      </c>
      <c r="K986" s="141" t="str">
        <f t="shared" si="78"/>
        <v/>
      </c>
      <c r="L986" s="141" t="str">
        <f t="shared" si="79"/>
        <v/>
      </c>
    </row>
    <row r="987" spans="1:12" x14ac:dyDescent="0.3">
      <c r="A987" s="36" t="str">
        <f xml:space="preserve"> IF( 'From SvanPC++'!A987= "", "", ('From SvanPC++'!A987))</f>
        <v/>
      </c>
      <c r="C987" s="47" t="s">
        <v>10</v>
      </c>
      <c r="G987" s="38" t="str">
        <f t="shared" si="76"/>
        <v/>
      </c>
      <c r="H987" s="36" t="str">
        <f t="shared" si="80"/>
        <v/>
      </c>
      <c r="J987" s="141" t="str">
        <f t="shared" si="77"/>
        <v/>
      </c>
      <c r="K987" s="141" t="str">
        <f t="shared" si="78"/>
        <v/>
      </c>
      <c r="L987" s="141" t="str">
        <f t="shared" si="79"/>
        <v/>
      </c>
    </row>
    <row r="988" spans="1:12" x14ac:dyDescent="0.3">
      <c r="A988" s="36" t="str">
        <f xml:space="preserve"> IF( 'From SvanPC++'!A988= "", "", ('From SvanPC++'!A988))</f>
        <v/>
      </c>
      <c r="C988" s="47" t="s">
        <v>10</v>
      </c>
      <c r="G988" s="38" t="str">
        <f t="shared" si="76"/>
        <v/>
      </c>
      <c r="H988" s="36" t="str">
        <f t="shared" si="80"/>
        <v/>
      </c>
      <c r="J988" s="141" t="str">
        <f t="shared" si="77"/>
        <v/>
      </c>
      <c r="K988" s="141" t="str">
        <f t="shared" si="78"/>
        <v/>
      </c>
      <c r="L988" s="141" t="str">
        <f t="shared" si="79"/>
        <v/>
      </c>
    </row>
    <row r="989" spans="1:12" x14ac:dyDescent="0.3">
      <c r="A989" s="36" t="str">
        <f xml:space="preserve"> IF( 'From SvanPC++'!A989= "", "", ('From SvanPC++'!A989))</f>
        <v/>
      </c>
      <c r="C989" s="47" t="s">
        <v>10</v>
      </c>
      <c r="G989" s="38" t="str">
        <f t="shared" si="76"/>
        <v/>
      </c>
      <c r="H989" s="36" t="str">
        <f t="shared" si="80"/>
        <v/>
      </c>
      <c r="J989" s="141" t="str">
        <f t="shared" si="77"/>
        <v/>
      </c>
      <c r="K989" s="141" t="str">
        <f t="shared" si="78"/>
        <v/>
      </c>
      <c r="L989" s="141" t="str">
        <f t="shared" si="79"/>
        <v/>
      </c>
    </row>
    <row r="990" spans="1:12" x14ac:dyDescent="0.3">
      <c r="A990" s="36" t="str">
        <f xml:space="preserve"> IF( 'From SvanPC++'!A990= "", "", ('From SvanPC++'!A990))</f>
        <v/>
      </c>
      <c r="C990" s="47" t="s">
        <v>10</v>
      </c>
      <c r="G990" s="38" t="str">
        <f t="shared" si="76"/>
        <v/>
      </c>
      <c r="H990" s="36" t="str">
        <f t="shared" si="80"/>
        <v/>
      </c>
      <c r="J990" s="141" t="str">
        <f t="shared" si="77"/>
        <v/>
      </c>
      <c r="K990" s="141" t="str">
        <f t="shared" si="78"/>
        <v/>
      </c>
      <c r="L990" s="141" t="str">
        <f t="shared" si="79"/>
        <v/>
      </c>
    </row>
    <row r="991" spans="1:12" x14ac:dyDescent="0.3">
      <c r="A991" s="36" t="str">
        <f xml:space="preserve"> IF( 'From SvanPC++'!A991= "", "", ('From SvanPC++'!A991))</f>
        <v/>
      </c>
      <c r="C991" s="47" t="s">
        <v>10</v>
      </c>
      <c r="G991" s="38" t="str">
        <f t="shared" si="76"/>
        <v/>
      </c>
      <c r="H991" s="36" t="str">
        <f t="shared" si="80"/>
        <v/>
      </c>
      <c r="J991" s="141" t="str">
        <f t="shared" si="77"/>
        <v/>
      </c>
      <c r="K991" s="141" t="str">
        <f t="shared" si="78"/>
        <v/>
      </c>
      <c r="L991" s="141" t="str">
        <f t="shared" si="79"/>
        <v/>
      </c>
    </row>
    <row r="992" spans="1:12" x14ac:dyDescent="0.3">
      <c r="A992" s="36" t="str">
        <f xml:space="preserve"> IF( 'From SvanPC++'!A992= "", "", ('From SvanPC++'!A992))</f>
        <v/>
      </c>
      <c r="C992" s="47" t="s">
        <v>10</v>
      </c>
      <c r="G992" s="38" t="str">
        <f t="shared" si="76"/>
        <v/>
      </c>
      <c r="H992" s="36" t="str">
        <f t="shared" si="80"/>
        <v/>
      </c>
      <c r="J992" s="141" t="str">
        <f t="shared" si="77"/>
        <v/>
      </c>
      <c r="K992" s="141" t="str">
        <f t="shared" si="78"/>
        <v/>
      </c>
      <c r="L992" s="141" t="str">
        <f t="shared" si="79"/>
        <v/>
      </c>
    </row>
    <row r="993" spans="1:12" x14ac:dyDescent="0.3">
      <c r="A993" s="36" t="str">
        <f xml:space="preserve"> IF( 'From SvanPC++'!A993= "", "", ('From SvanPC++'!A993))</f>
        <v/>
      </c>
      <c r="C993" s="47" t="s">
        <v>10</v>
      </c>
      <c r="G993" s="38" t="str">
        <f t="shared" si="76"/>
        <v/>
      </c>
      <c r="H993" s="36" t="str">
        <f t="shared" si="80"/>
        <v/>
      </c>
      <c r="J993" s="141" t="str">
        <f t="shared" si="77"/>
        <v/>
      </c>
      <c r="K993" s="141" t="str">
        <f t="shared" si="78"/>
        <v/>
      </c>
      <c r="L993" s="141" t="str">
        <f t="shared" si="79"/>
        <v/>
      </c>
    </row>
    <row r="994" spans="1:12" x14ac:dyDescent="0.3">
      <c r="A994" s="36" t="str">
        <f xml:space="preserve"> IF( 'From SvanPC++'!A994= "", "", ('From SvanPC++'!A994))</f>
        <v/>
      </c>
      <c r="C994" s="47" t="s">
        <v>10</v>
      </c>
      <c r="G994" s="38" t="str">
        <f t="shared" si="76"/>
        <v/>
      </c>
      <c r="H994" s="36" t="str">
        <f t="shared" si="80"/>
        <v/>
      </c>
      <c r="J994" s="141" t="str">
        <f t="shared" si="77"/>
        <v/>
      </c>
      <c r="K994" s="141" t="str">
        <f t="shared" si="78"/>
        <v/>
      </c>
      <c r="L994" s="141" t="str">
        <f t="shared" si="79"/>
        <v/>
      </c>
    </row>
    <row r="995" spans="1:12" x14ac:dyDescent="0.3">
      <c r="A995" s="36" t="str">
        <f xml:space="preserve"> IF( 'From SvanPC++'!A995= "", "", ('From SvanPC++'!A995))</f>
        <v/>
      </c>
      <c r="C995" s="47" t="s">
        <v>10</v>
      </c>
      <c r="G995" s="38" t="str">
        <f t="shared" si="76"/>
        <v/>
      </c>
      <c r="H995" s="36" t="str">
        <f t="shared" si="80"/>
        <v/>
      </c>
      <c r="J995" s="141" t="str">
        <f t="shared" si="77"/>
        <v/>
      </c>
      <c r="K995" s="141" t="str">
        <f t="shared" si="78"/>
        <v/>
      </c>
      <c r="L995" s="141" t="str">
        <f t="shared" si="79"/>
        <v/>
      </c>
    </row>
    <row r="996" spans="1:12" x14ac:dyDescent="0.3">
      <c r="A996" s="36" t="str">
        <f xml:space="preserve"> IF( 'From SvanPC++'!A996= "", "", ('From SvanPC++'!A996))</f>
        <v/>
      </c>
      <c r="C996" s="47" t="s">
        <v>10</v>
      </c>
      <c r="G996" s="38" t="str">
        <f t="shared" si="76"/>
        <v/>
      </c>
      <c r="H996" s="36" t="str">
        <f t="shared" si="80"/>
        <v/>
      </c>
      <c r="J996" s="141" t="str">
        <f t="shared" si="77"/>
        <v/>
      </c>
      <c r="K996" s="141" t="str">
        <f t="shared" si="78"/>
        <v/>
      </c>
      <c r="L996" s="141" t="str">
        <f t="shared" si="79"/>
        <v/>
      </c>
    </row>
    <row r="997" spans="1:12" x14ac:dyDescent="0.3">
      <c r="A997" s="36" t="str">
        <f xml:space="preserve"> IF( 'From SvanPC++'!A997= "", "", ('From SvanPC++'!A997))</f>
        <v/>
      </c>
      <c r="C997" s="47" t="s">
        <v>10</v>
      </c>
      <c r="G997" s="38" t="str">
        <f t="shared" si="76"/>
        <v/>
      </c>
      <c r="H997" s="36" t="str">
        <f t="shared" si="80"/>
        <v/>
      </c>
      <c r="J997" s="141" t="str">
        <f t="shared" si="77"/>
        <v/>
      </c>
      <c r="K997" s="141" t="str">
        <f t="shared" si="78"/>
        <v/>
      </c>
      <c r="L997" s="141" t="str">
        <f t="shared" si="79"/>
        <v/>
      </c>
    </row>
    <row r="998" spans="1:12" x14ac:dyDescent="0.3">
      <c r="A998" s="36" t="str">
        <f xml:space="preserve"> IF( 'From SvanPC++'!A998= "", "", ('From SvanPC++'!A998))</f>
        <v/>
      </c>
      <c r="C998" s="47" t="s">
        <v>10</v>
      </c>
      <c r="G998" s="38" t="str">
        <f t="shared" si="76"/>
        <v/>
      </c>
      <c r="H998" s="36" t="str">
        <f t="shared" si="80"/>
        <v/>
      </c>
      <c r="J998" s="141" t="str">
        <f t="shared" si="77"/>
        <v/>
      </c>
      <c r="K998" s="141" t="str">
        <f t="shared" si="78"/>
        <v/>
      </c>
      <c r="L998" s="141" t="str">
        <f t="shared" si="79"/>
        <v/>
      </c>
    </row>
    <row r="999" spans="1:12" x14ac:dyDescent="0.3">
      <c r="A999" s="36" t="str">
        <f xml:space="preserve"> IF( 'From SvanPC++'!A999= "", "", ('From SvanPC++'!A999))</f>
        <v/>
      </c>
      <c r="C999" s="47" t="s">
        <v>10</v>
      </c>
      <c r="G999" s="38" t="str">
        <f t="shared" si="76"/>
        <v/>
      </c>
      <c r="H999" s="36" t="str">
        <f t="shared" si="80"/>
        <v/>
      </c>
      <c r="J999" s="141" t="str">
        <f t="shared" si="77"/>
        <v/>
      </c>
      <c r="K999" s="141" t="str">
        <f t="shared" si="78"/>
        <v/>
      </c>
      <c r="L999" s="141" t="str">
        <f t="shared" si="79"/>
        <v/>
      </c>
    </row>
    <row r="1000" spans="1:12" x14ac:dyDescent="0.3">
      <c r="A1000" s="36" t="str">
        <f xml:space="preserve"> IF( 'From SvanPC++'!A1000= "", "", ('From SvanPC++'!A1000))</f>
        <v/>
      </c>
      <c r="C1000" s="47" t="s">
        <v>10</v>
      </c>
      <c r="G1000" s="38" t="str">
        <f t="shared" si="76"/>
        <v/>
      </c>
      <c r="H1000" s="36" t="str">
        <f t="shared" si="80"/>
        <v/>
      </c>
      <c r="J1000" s="141" t="str">
        <f t="shared" si="77"/>
        <v/>
      </c>
      <c r="K1000" s="141" t="str">
        <f t="shared" si="78"/>
        <v/>
      </c>
      <c r="L1000" s="141" t="str">
        <f t="shared" si="79"/>
        <v/>
      </c>
    </row>
    <row r="1001" spans="1:12" x14ac:dyDescent="0.3">
      <c r="A1001" s="36" t="str">
        <f xml:space="preserve"> IF( 'From SvanPC++'!A1001= "", "", ('From SvanPC++'!A1001))</f>
        <v/>
      </c>
      <c r="C1001" s="47" t="s">
        <v>10</v>
      </c>
      <c r="G1001" s="38" t="str">
        <f t="shared" si="76"/>
        <v/>
      </c>
      <c r="H1001" s="36" t="str">
        <f t="shared" si="80"/>
        <v/>
      </c>
      <c r="J1001" s="141" t="str">
        <f t="shared" si="77"/>
        <v/>
      </c>
      <c r="K1001" s="141" t="str">
        <f t="shared" si="78"/>
        <v/>
      </c>
      <c r="L1001" s="141" t="str">
        <f t="shared" si="79"/>
        <v/>
      </c>
    </row>
    <row r="1002" spans="1:12" x14ac:dyDescent="0.3">
      <c r="A1002" s="36" t="str">
        <f xml:space="preserve"> IF( 'From SvanPC++'!A1002= "", "", ('From SvanPC++'!A1002))</f>
        <v/>
      </c>
      <c r="C1002" s="47" t="s">
        <v>10</v>
      </c>
      <c r="G1002" s="38" t="str">
        <f t="shared" si="76"/>
        <v/>
      </c>
      <c r="H1002" s="36" t="str">
        <f t="shared" si="80"/>
        <v/>
      </c>
      <c r="J1002" s="141" t="str">
        <f t="shared" si="77"/>
        <v/>
      </c>
      <c r="K1002" s="141" t="str">
        <f t="shared" si="78"/>
        <v/>
      </c>
      <c r="L1002" s="141" t="str">
        <f t="shared" si="79"/>
        <v/>
      </c>
    </row>
    <row r="1003" spans="1:12" x14ac:dyDescent="0.3">
      <c r="A1003" s="36" t="str">
        <f xml:space="preserve"> IF( 'From SvanPC++'!A1003= "", "", ('From SvanPC++'!A1003))</f>
        <v/>
      </c>
      <c r="C1003" s="47" t="s">
        <v>10</v>
      </c>
      <c r="G1003" s="38" t="str">
        <f t="shared" si="76"/>
        <v/>
      </c>
      <c r="H1003" s="36" t="str">
        <f t="shared" si="80"/>
        <v/>
      </c>
      <c r="J1003" s="141" t="str">
        <f t="shared" si="77"/>
        <v/>
      </c>
      <c r="K1003" s="141" t="str">
        <f t="shared" si="78"/>
        <v/>
      </c>
      <c r="L1003" s="141" t="str">
        <f t="shared" si="79"/>
        <v/>
      </c>
    </row>
    <row r="1004" spans="1:12" x14ac:dyDescent="0.3">
      <c r="A1004" s="36" t="str">
        <f xml:space="preserve"> IF( 'From SvanPC++'!A1004= "", "", ('From SvanPC++'!A1004))</f>
        <v/>
      </c>
      <c r="C1004" s="47" t="s">
        <v>10</v>
      </c>
      <c r="G1004" s="38" t="str">
        <f t="shared" si="76"/>
        <v/>
      </c>
      <c r="H1004" s="36" t="str">
        <f t="shared" si="80"/>
        <v/>
      </c>
      <c r="J1004" s="141" t="str">
        <f t="shared" si="77"/>
        <v/>
      </c>
      <c r="K1004" s="141" t="str">
        <f t="shared" si="78"/>
        <v/>
      </c>
      <c r="L1004" s="141" t="str">
        <f t="shared" si="79"/>
        <v/>
      </c>
    </row>
    <row r="1005" spans="1:12" x14ac:dyDescent="0.3">
      <c r="A1005" s="36" t="str">
        <f xml:space="preserve"> IF( 'From SvanPC++'!A1005= "", "", ('From SvanPC++'!A1005))</f>
        <v/>
      </c>
      <c r="C1005" s="47" t="s">
        <v>10</v>
      </c>
      <c r="G1005" s="38" t="str">
        <f t="shared" si="76"/>
        <v/>
      </c>
      <c r="H1005" s="36" t="str">
        <f t="shared" si="80"/>
        <v/>
      </c>
      <c r="J1005" s="141" t="str">
        <f t="shared" si="77"/>
        <v/>
      </c>
      <c r="K1005" s="141" t="str">
        <f t="shared" si="78"/>
        <v/>
      </c>
      <c r="L1005" s="141" t="str">
        <f t="shared" si="79"/>
        <v/>
      </c>
    </row>
    <row r="1006" spans="1:12" x14ac:dyDescent="0.3">
      <c r="A1006" s="36" t="str">
        <f xml:space="preserve"> IF( 'From SvanPC++'!A1006= "", "", ('From SvanPC++'!A1006))</f>
        <v/>
      </c>
      <c r="C1006" s="47" t="s">
        <v>10</v>
      </c>
      <c r="G1006" s="38" t="str">
        <f t="shared" si="76"/>
        <v/>
      </c>
      <c r="H1006" s="36" t="str">
        <f t="shared" si="80"/>
        <v/>
      </c>
      <c r="J1006" s="141" t="str">
        <f t="shared" si="77"/>
        <v/>
      </c>
      <c r="K1006" s="141" t="str">
        <f t="shared" si="78"/>
        <v/>
      </c>
      <c r="L1006" s="141" t="str">
        <f t="shared" si="79"/>
        <v/>
      </c>
    </row>
    <row r="1007" spans="1:12" x14ac:dyDescent="0.3">
      <c r="A1007" s="36" t="str">
        <f xml:space="preserve"> IF( 'From SvanPC++'!A1007= "", "", ('From SvanPC++'!A1007))</f>
        <v/>
      </c>
      <c r="C1007" s="47" t="s">
        <v>10</v>
      </c>
      <c r="G1007" s="38" t="str">
        <f t="shared" si="76"/>
        <v/>
      </c>
      <c r="H1007" s="36" t="str">
        <f t="shared" si="80"/>
        <v/>
      </c>
      <c r="J1007" s="141" t="str">
        <f t="shared" si="77"/>
        <v/>
      </c>
      <c r="K1007" s="141" t="str">
        <f t="shared" si="78"/>
        <v/>
      </c>
      <c r="L1007" s="141" t="str">
        <f t="shared" si="79"/>
        <v/>
      </c>
    </row>
    <row r="1008" spans="1:12" x14ac:dyDescent="0.3">
      <c r="A1008" s="36" t="str">
        <f xml:space="preserve"> IF( 'From SvanPC++'!A1008= "", "", ('From SvanPC++'!A1008))</f>
        <v/>
      </c>
      <c r="C1008" s="47" t="s">
        <v>10</v>
      </c>
      <c r="G1008" s="38" t="str">
        <f t="shared" si="76"/>
        <v/>
      </c>
      <c r="H1008" s="36" t="str">
        <f t="shared" si="80"/>
        <v/>
      </c>
      <c r="J1008" s="141" t="str">
        <f t="shared" si="77"/>
        <v/>
      </c>
      <c r="K1008" s="141" t="str">
        <f t="shared" si="78"/>
        <v/>
      </c>
      <c r="L1008" s="141" t="str">
        <f t="shared" si="79"/>
        <v/>
      </c>
    </row>
    <row r="1009" spans="1:12" x14ac:dyDescent="0.3">
      <c r="A1009" s="36" t="str">
        <f xml:space="preserve"> IF( 'From SvanPC++'!A1009= "", "", ('From SvanPC++'!A1009))</f>
        <v/>
      </c>
      <c r="C1009" s="47" t="s">
        <v>10</v>
      </c>
      <c r="G1009" s="38" t="str">
        <f t="shared" si="76"/>
        <v/>
      </c>
      <c r="H1009" s="36" t="str">
        <f t="shared" si="80"/>
        <v/>
      </c>
      <c r="J1009" s="141" t="str">
        <f t="shared" si="77"/>
        <v/>
      </c>
      <c r="K1009" s="141" t="str">
        <f t="shared" si="78"/>
        <v/>
      </c>
      <c r="L1009" s="141" t="str">
        <f t="shared" si="79"/>
        <v/>
      </c>
    </row>
    <row r="1010" spans="1:12" x14ac:dyDescent="0.3">
      <c r="A1010" s="36" t="str">
        <f xml:space="preserve"> IF( 'From SvanPC++'!A1010= "", "", ('From SvanPC++'!A1010))</f>
        <v/>
      </c>
      <c r="C1010" s="47" t="s">
        <v>10</v>
      </c>
      <c r="G1010" s="38" t="str">
        <f t="shared" si="76"/>
        <v/>
      </c>
      <c r="H1010" s="36" t="str">
        <f t="shared" si="80"/>
        <v/>
      </c>
      <c r="J1010" s="141" t="str">
        <f t="shared" si="77"/>
        <v/>
      </c>
      <c r="K1010" s="141" t="str">
        <f t="shared" si="78"/>
        <v/>
      </c>
      <c r="L1010" s="141" t="str">
        <f t="shared" si="79"/>
        <v/>
      </c>
    </row>
    <row r="1011" spans="1:12" x14ac:dyDescent="0.3">
      <c r="A1011" s="36" t="str">
        <f xml:space="preserve"> IF( 'From SvanPC++'!A1011= "", "", ('From SvanPC++'!A1011))</f>
        <v/>
      </c>
      <c r="C1011" s="47" t="s">
        <v>10</v>
      </c>
      <c r="G1011" s="38" t="str">
        <f t="shared" si="76"/>
        <v/>
      </c>
      <c r="H1011" s="36" t="str">
        <f t="shared" si="80"/>
        <v/>
      </c>
      <c r="J1011" s="141" t="str">
        <f t="shared" si="77"/>
        <v/>
      </c>
      <c r="K1011" s="141" t="str">
        <f t="shared" si="78"/>
        <v/>
      </c>
      <c r="L1011" s="141" t="str">
        <f t="shared" si="79"/>
        <v/>
      </c>
    </row>
    <row r="1012" spans="1:12" x14ac:dyDescent="0.3">
      <c r="A1012" s="36" t="str">
        <f xml:space="preserve"> IF( 'From SvanPC++'!A1012= "", "", ('From SvanPC++'!A1012))</f>
        <v/>
      </c>
      <c r="C1012" s="47" t="s">
        <v>10</v>
      </c>
      <c r="G1012" s="38" t="str">
        <f t="shared" si="76"/>
        <v/>
      </c>
      <c r="H1012" s="36" t="str">
        <f t="shared" si="80"/>
        <v/>
      </c>
      <c r="J1012" s="141" t="str">
        <f t="shared" si="77"/>
        <v/>
      </c>
      <c r="K1012" s="141" t="str">
        <f t="shared" si="78"/>
        <v/>
      </c>
      <c r="L1012" s="141" t="str">
        <f t="shared" si="79"/>
        <v/>
      </c>
    </row>
    <row r="1013" spans="1:12" x14ac:dyDescent="0.3">
      <c r="A1013" s="36" t="str">
        <f xml:space="preserve"> IF( 'From SvanPC++'!A1013= "", "", ('From SvanPC++'!A1013))</f>
        <v/>
      </c>
      <c r="C1013" s="47" t="s">
        <v>10</v>
      </c>
      <c r="G1013" s="38" t="str">
        <f t="shared" si="76"/>
        <v/>
      </c>
      <c r="H1013" s="36" t="str">
        <f t="shared" si="80"/>
        <v/>
      </c>
      <c r="J1013" s="141" t="str">
        <f t="shared" si="77"/>
        <v/>
      </c>
      <c r="K1013" s="141" t="str">
        <f t="shared" si="78"/>
        <v/>
      </c>
      <c r="L1013" s="141" t="str">
        <f t="shared" si="79"/>
        <v/>
      </c>
    </row>
    <row r="1014" spans="1:12" x14ac:dyDescent="0.3">
      <c r="A1014" s="36" t="str">
        <f xml:space="preserve"> IF( 'From SvanPC++'!A1014= "", "", ('From SvanPC++'!A1014))</f>
        <v/>
      </c>
      <c r="C1014" s="47" t="s">
        <v>10</v>
      </c>
      <c r="G1014" s="38" t="str">
        <f t="shared" si="76"/>
        <v/>
      </c>
      <c r="H1014" s="36" t="str">
        <f t="shared" si="80"/>
        <v/>
      </c>
      <c r="J1014" s="141" t="str">
        <f t="shared" si="77"/>
        <v/>
      </c>
      <c r="K1014" s="141" t="str">
        <f t="shared" si="78"/>
        <v/>
      </c>
      <c r="L1014" s="141" t="str">
        <f t="shared" si="79"/>
        <v/>
      </c>
    </row>
    <row r="1015" spans="1:12" x14ac:dyDescent="0.3">
      <c r="A1015" s="36" t="str">
        <f xml:space="preserve"> IF( 'From SvanPC++'!A1015= "", "", ('From SvanPC++'!A1015))</f>
        <v/>
      </c>
      <c r="C1015" s="47" t="s">
        <v>10</v>
      </c>
      <c r="G1015" s="38" t="str">
        <f t="shared" si="76"/>
        <v/>
      </c>
      <c r="H1015" s="36" t="str">
        <f t="shared" si="80"/>
        <v/>
      </c>
      <c r="J1015" s="141" t="str">
        <f t="shared" si="77"/>
        <v/>
      </c>
      <c r="K1015" s="141" t="str">
        <f t="shared" si="78"/>
        <v/>
      </c>
      <c r="L1015" s="141" t="str">
        <f t="shared" si="79"/>
        <v/>
      </c>
    </row>
    <row r="1016" spans="1:12" x14ac:dyDescent="0.3">
      <c r="A1016" s="36" t="str">
        <f xml:space="preserve"> IF( 'From SvanPC++'!A1016= "", "", ('From SvanPC++'!A1016))</f>
        <v/>
      </c>
      <c r="C1016" s="47" t="s">
        <v>10</v>
      </c>
      <c r="G1016" s="38" t="str">
        <f t="shared" si="76"/>
        <v/>
      </c>
      <c r="H1016" s="36" t="str">
        <f t="shared" si="80"/>
        <v/>
      </c>
      <c r="J1016" s="141" t="str">
        <f t="shared" si="77"/>
        <v/>
      </c>
      <c r="K1016" s="141" t="str">
        <f t="shared" si="78"/>
        <v/>
      </c>
      <c r="L1016" s="141" t="str">
        <f t="shared" si="79"/>
        <v/>
      </c>
    </row>
    <row r="1017" spans="1:12" x14ac:dyDescent="0.3">
      <c r="A1017" s="36" t="str">
        <f xml:space="preserve"> IF( 'From SvanPC++'!A1017= "", "", ('From SvanPC++'!A1017))</f>
        <v/>
      </c>
      <c r="C1017" s="47" t="s">
        <v>10</v>
      </c>
      <c r="G1017" s="38" t="str">
        <f t="shared" si="76"/>
        <v/>
      </c>
      <c r="H1017" s="36" t="str">
        <f t="shared" si="80"/>
        <v/>
      </c>
      <c r="J1017" s="141" t="str">
        <f t="shared" si="77"/>
        <v/>
      </c>
      <c r="K1017" s="141" t="str">
        <f t="shared" si="78"/>
        <v/>
      </c>
      <c r="L1017" s="141" t="str">
        <f t="shared" si="79"/>
        <v/>
      </c>
    </row>
    <row r="1018" spans="1:12" x14ac:dyDescent="0.3">
      <c r="A1018" s="36" t="str">
        <f xml:space="preserve"> IF( 'From SvanPC++'!A1018= "", "", ('From SvanPC++'!A1018))</f>
        <v/>
      </c>
      <c r="C1018" s="47" t="s">
        <v>10</v>
      </c>
      <c r="G1018" s="38" t="str">
        <f t="shared" si="76"/>
        <v/>
      </c>
      <c r="H1018" s="36" t="str">
        <f t="shared" si="80"/>
        <v/>
      </c>
      <c r="J1018" s="141" t="str">
        <f t="shared" si="77"/>
        <v/>
      </c>
      <c r="K1018" s="141" t="str">
        <f t="shared" si="78"/>
        <v/>
      </c>
      <c r="L1018" s="141" t="str">
        <f t="shared" si="79"/>
        <v/>
      </c>
    </row>
    <row r="1019" spans="1:12" x14ac:dyDescent="0.3">
      <c r="A1019" s="36" t="str">
        <f xml:space="preserve"> IF( 'From SvanPC++'!A1019= "", "", ('From SvanPC++'!A1019))</f>
        <v/>
      </c>
      <c r="C1019" s="47" t="s">
        <v>10</v>
      </c>
      <c r="G1019" s="38" t="str">
        <f t="shared" si="76"/>
        <v/>
      </c>
      <c r="H1019" s="36" t="str">
        <f t="shared" si="80"/>
        <v/>
      </c>
      <c r="J1019" s="141" t="str">
        <f t="shared" si="77"/>
        <v/>
      </c>
      <c r="K1019" s="141" t="str">
        <f t="shared" si="78"/>
        <v/>
      </c>
      <c r="L1019" s="141" t="str">
        <f t="shared" si="79"/>
        <v/>
      </c>
    </row>
    <row r="1020" spans="1:12" x14ac:dyDescent="0.3">
      <c r="A1020" s="36" t="str">
        <f xml:space="preserve"> IF( 'From SvanPC++'!A1020= "", "", ('From SvanPC++'!A1020))</f>
        <v/>
      </c>
      <c r="C1020" s="47" t="s">
        <v>10</v>
      </c>
      <c r="G1020" s="38" t="str">
        <f t="shared" si="76"/>
        <v/>
      </c>
      <c r="H1020" s="36" t="str">
        <f t="shared" si="80"/>
        <v/>
      </c>
      <c r="J1020" s="141" t="str">
        <f t="shared" si="77"/>
        <v/>
      </c>
      <c r="K1020" s="141" t="str">
        <f t="shared" si="78"/>
        <v/>
      </c>
      <c r="L1020" s="141" t="str">
        <f t="shared" si="79"/>
        <v/>
      </c>
    </row>
    <row r="1021" spans="1:12" x14ac:dyDescent="0.3">
      <c r="A1021" s="36" t="str">
        <f xml:space="preserve"> IF( 'From SvanPC++'!A1021= "", "", ('From SvanPC++'!A1021))</f>
        <v/>
      </c>
      <c r="C1021" s="47" t="s">
        <v>10</v>
      </c>
      <c r="G1021" s="38" t="str">
        <f t="shared" si="76"/>
        <v/>
      </c>
      <c r="H1021" s="36" t="str">
        <f t="shared" si="80"/>
        <v/>
      </c>
      <c r="J1021" s="141" t="str">
        <f t="shared" si="77"/>
        <v/>
      </c>
      <c r="K1021" s="141" t="str">
        <f t="shared" si="78"/>
        <v/>
      </c>
      <c r="L1021" s="141" t="str">
        <f t="shared" si="79"/>
        <v/>
      </c>
    </row>
    <row r="1022" spans="1:12" x14ac:dyDescent="0.3">
      <c r="A1022" s="36" t="str">
        <f xml:space="preserve"> IF( 'From SvanPC++'!A1022= "", "", ('From SvanPC++'!A1022))</f>
        <v/>
      </c>
      <c r="C1022" s="47" t="s">
        <v>10</v>
      </c>
      <c r="G1022" s="38" t="str">
        <f t="shared" si="76"/>
        <v/>
      </c>
      <c r="H1022" s="36" t="str">
        <f t="shared" si="80"/>
        <v/>
      </c>
      <c r="J1022" s="141" t="str">
        <f t="shared" si="77"/>
        <v/>
      </c>
      <c r="K1022" s="141" t="str">
        <f t="shared" si="78"/>
        <v/>
      </c>
      <c r="L1022" s="141" t="str">
        <f t="shared" si="79"/>
        <v/>
      </c>
    </row>
    <row r="1023" spans="1:12" x14ac:dyDescent="0.3">
      <c r="A1023" s="36" t="str">
        <f xml:space="preserve"> IF( 'From SvanPC++'!A1023= "", "", ('From SvanPC++'!A1023))</f>
        <v/>
      </c>
      <c r="C1023" s="47" t="s">
        <v>10</v>
      </c>
      <c r="G1023" s="38" t="str">
        <f t="shared" si="76"/>
        <v/>
      </c>
      <c r="H1023" s="36" t="str">
        <f t="shared" si="80"/>
        <v/>
      </c>
      <c r="J1023" s="141" t="str">
        <f t="shared" si="77"/>
        <v/>
      </c>
      <c r="K1023" s="141" t="str">
        <f t="shared" si="78"/>
        <v/>
      </c>
      <c r="L1023" s="141" t="str">
        <f t="shared" si="79"/>
        <v/>
      </c>
    </row>
    <row r="1024" spans="1:12" x14ac:dyDescent="0.3">
      <c r="A1024" s="36" t="str">
        <f xml:space="preserve"> IF( 'From SvanPC++'!A1024= "", "", ('From SvanPC++'!A1024))</f>
        <v/>
      </c>
      <c r="C1024" s="47" t="s">
        <v>10</v>
      </c>
      <c r="G1024" s="38" t="str">
        <f t="shared" si="76"/>
        <v/>
      </c>
      <c r="H1024" s="36" t="str">
        <f t="shared" si="80"/>
        <v/>
      </c>
      <c r="J1024" s="141" t="str">
        <f t="shared" si="77"/>
        <v/>
      </c>
      <c r="K1024" s="141" t="str">
        <f t="shared" si="78"/>
        <v/>
      </c>
      <c r="L1024" s="141" t="str">
        <f t="shared" si="79"/>
        <v/>
      </c>
    </row>
    <row r="1025" spans="1:12" x14ac:dyDescent="0.3">
      <c r="A1025" s="36" t="str">
        <f xml:space="preserve"> IF( 'From SvanPC++'!A1025= "", "", ('From SvanPC++'!A1025))</f>
        <v/>
      </c>
      <c r="C1025" s="47" t="s">
        <v>10</v>
      </c>
      <c r="G1025" s="38" t="str">
        <f t="shared" si="76"/>
        <v/>
      </c>
      <c r="H1025" s="36" t="str">
        <f t="shared" si="80"/>
        <v/>
      </c>
      <c r="J1025" s="141" t="str">
        <f t="shared" si="77"/>
        <v/>
      </c>
      <c r="K1025" s="141" t="str">
        <f t="shared" si="78"/>
        <v/>
      </c>
      <c r="L1025" s="141" t="str">
        <f t="shared" si="79"/>
        <v/>
      </c>
    </row>
    <row r="1026" spans="1:12" x14ac:dyDescent="0.3">
      <c r="A1026" s="36" t="str">
        <f xml:space="preserve"> IF( 'From SvanPC++'!A1026= "", "", ('From SvanPC++'!A1026))</f>
        <v/>
      </c>
      <c r="C1026" s="47" t="s">
        <v>10</v>
      </c>
      <c r="G1026" s="38" t="str">
        <f t="shared" si="76"/>
        <v/>
      </c>
      <c r="H1026" s="36" t="str">
        <f t="shared" si="80"/>
        <v/>
      </c>
      <c r="J1026" s="141" t="str">
        <f t="shared" si="77"/>
        <v/>
      </c>
      <c r="K1026" s="141" t="str">
        <f t="shared" si="78"/>
        <v/>
      </c>
      <c r="L1026" s="141" t="str">
        <f t="shared" si="79"/>
        <v/>
      </c>
    </row>
    <row r="1027" spans="1:12" x14ac:dyDescent="0.3">
      <c r="A1027" s="36" t="str">
        <f xml:space="preserve"> IF( 'From SvanPC++'!A1027= "", "", ('From SvanPC++'!A1027))</f>
        <v/>
      </c>
      <c r="C1027" s="47" t="s">
        <v>10</v>
      </c>
      <c r="G1027" s="38" t="str">
        <f t="shared" si="76"/>
        <v/>
      </c>
      <c r="H1027" s="36" t="str">
        <f t="shared" si="80"/>
        <v/>
      </c>
      <c r="J1027" s="141" t="str">
        <f t="shared" si="77"/>
        <v/>
      </c>
      <c r="K1027" s="141" t="str">
        <f t="shared" si="78"/>
        <v/>
      </c>
      <c r="L1027" s="141" t="str">
        <f t="shared" si="79"/>
        <v/>
      </c>
    </row>
    <row r="1028" spans="1:12" x14ac:dyDescent="0.3">
      <c r="A1028" s="36" t="str">
        <f xml:space="preserve"> IF( 'From SvanPC++'!A1028= "", "", ('From SvanPC++'!A1028))</f>
        <v/>
      </c>
      <c r="C1028" s="47" t="s">
        <v>10</v>
      </c>
      <c r="G1028" s="38" t="str">
        <f t="shared" si="76"/>
        <v/>
      </c>
      <c r="H1028" s="36" t="str">
        <f t="shared" si="80"/>
        <v/>
      </c>
      <c r="J1028" s="141" t="str">
        <f t="shared" si="77"/>
        <v/>
      </c>
      <c r="K1028" s="141" t="str">
        <f t="shared" si="78"/>
        <v/>
      </c>
      <c r="L1028" s="141" t="str">
        <f t="shared" si="79"/>
        <v/>
      </c>
    </row>
    <row r="1029" spans="1:12" x14ac:dyDescent="0.3">
      <c r="A1029" s="36" t="str">
        <f xml:space="preserve"> IF( 'From SvanPC++'!A1029= "", "", ('From SvanPC++'!A1029))</f>
        <v/>
      </c>
      <c r="C1029" s="47" t="s">
        <v>10</v>
      </c>
      <c r="G1029" s="38" t="str">
        <f t="shared" si="76"/>
        <v/>
      </c>
      <c r="H1029" s="36" t="str">
        <f t="shared" si="80"/>
        <v/>
      </c>
      <c r="J1029" s="141" t="str">
        <f t="shared" si="77"/>
        <v/>
      </c>
      <c r="K1029" s="141" t="str">
        <f t="shared" si="78"/>
        <v/>
      </c>
      <c r="L1029" s="141" t="str">
        <f t="shared" si="79"/>
        <v/>
      </c>
    </row>
    <row r="1030" spans="1:12" x14ac:dyDescent="0.3">
      <c r="A1030" s="36" t="str">
        <f xml:space="preserve"> IF( 'From SvanPC++'!A1030= "", "", ('From SvanPC++'!A1030))</f>
        <v/>
      </c>
      <c r="C1030" s="47" t="s">
        <v>10</v>
      </c>
      <c r="G1030" s="38" t="str">
        <f t="shared" si="76"/>
        <v/>
      </c>
      <c r="H1030" s="36" t="str">
        <f t="shared" si="80"/>
        <v/>
      </c>
      <c r="J1030" s="141" t="str">
        <f t="shared" si="77"/>
        <v/>
      </c>
      <c r="K1030" s="141" t="str">
        <f t="shared" si="78"/>
        <v/>
      </c>
      <c r="L1030" s="141" t="str">
        <f t="shared" si="79"/>
        <v/>
      </c>
    </row>
    <row r="1031" spans="1:12" x14ac:dyDescent="0.3">
      <c r="A1031" s="36" t="str">
        <f xml:space="preserve"> IF( 'From SvanPC++'!A1031= "", "", ('From SvanPC++'!A1031))</f>
        <v/>
      </c>
      <c r="C1031" s="47" t="s">
        <v>10</v>
      </c>
      <c r="G1031" s="38" t="str">
        <f t="shared" ref="G1031:G1094" si="81" xml:space="preserve"> IF( D1031= "", "", ( IF( AND( D1031 &gt;= TIMEVALUE( "07:00:01" ), D1031 &lt; TIMEVALUE( "08:00:01" ) ) = TRUE, (G1030+1), (G1030+0) )))</f>
        <v/>
      </c>
      <c r="H1031" s="36" t="str">
        <f t="shared" si="80"/>
        <v/>
      </c>
      <c r="J1031" s="141" t="str">
        <f t="shared" si="77"/>
        <v/>
      </c>
      <c r="K1031" s="141" t="str">
        <f t="shared" si="78"/>
        <v/>
      </c>
      <c r="L1031" s="141" t="str">
        <f t="shared" si="79"/>
        <v/>
      </c>
    </row>
    <row r="1032" spans="1:12" x14ac:dyDescent="0.3">
      <c r="A1032" s="36" t="str">
        <f xml:space="preserve"> IF( 'From SvanPC++'!A1032= "", "", ('From SvanPC++'!A1032))</f>
        <v/>
      </c>
      <c r="C1032" s="47" t="s">
        <v>10</v>
      </c>
      <c r="G1032" s="38" t="str">
        <f t="shared" si="81"/>
        <v/>
      </c>
      <c r="H1032" s="36" t="str">
        <f t="shared" si="80"/>
        <v/>
      </c>
      <c r="J1032" s="141" t="str">
        <f t="shared" ref="J1032:J1095" si="82" xml:space="preserve"> IF( ISERROR( IF( D1032= "", "", ( IF( G1032= (G1031+1), ( AVERAGEIFS( E1032:E1176, G1032:G1176, G1032, H1032:H1176, "Day" )), "" )))), "",( IF( D1032= "", "", ( IF( G1032= (G1031+1), ( AVERAGEIFS( E1032:E1176, G1032:G1176, G1032, H1032:H1176, "Day" )), "" )))))</f>
        <v/>
      </c>
      <c r="K1032" s="141" t="str">
        <f t="shared" ref="K1032:K1095" si="83" xml:space="preserve"> IF( ISERROR( IF( D1032= "", "", ( IF( G1032= (G1031+1), ( AVERAGEIFS( E1032:E1176, G1032:G1176, G1032, H1032:H1176, "Evening" )), "" )))), "",( IF( D1032= "", "", ( IF( G1032= (G1031+1), ( AVERAGEIFS( E1032:E1176, G1032:G1176, G1032, H1032:H1176, "Evening" )), "" )))))</f>
        <v/>
      </c>
      <c r="L1032" s="141" t="str">
        <f t="shared" ref="L1032:L1095" si="84" xml:space="preserve"> IF( ISERROR( IF( D1032= "", "", ( IF( G1032= (G1031+1), ( AVERAGEIFS( E1032:E1176, G1032:G1176, G1032, H1032:H1176, "Night" )), "" )))), "",( IF( D1032= "", "", ( IF( G1032= (G1031+1), ( AVERAGEIFS( E1032:E1176, G1032:G1176, G1032, H1032:H1176, "Night" )), "" )))))</f>
        <v/>
      </c>
    </row>
    <row r="1033" spans="1:12" x14ac:dyDescent="0.3">
      <c r="A1033" s="36" t="str">
        <f xml:space="preserve"> IF( 'From SvanPC++'!A1033= "", "", ('From SvanPC++'!A1033))</f>
        <v/>
      </c>
      <c r="C1033" s="47" t="s">
        <v>10</v>
      </c>
      <c r="G1033" s="38" t="str">
        <f t="shared" si="81"/>
        <v/>
      </c>
      <c r="H1033" s="36" t="str">
        <f t="shared" si="80"/>
        <v/>
      </c>
      <c r="J1033" s="141" t="str">
        <f t="shared" si="82"/>
        <v/>
      </c>
      <c r="K1033" s="141" t="str">
        <f t="shared" si="83"/>
        <v/>
      </c>
      <c r="L1033" s="141" t="str">
        <f t="shared" si="84"/>
        <v/>
      </c>
    </row>
    <row r="1034" spans="1:12" x14ac:dyDescent="0.3">
      <c r="A1034" s="36" t="str">
        <f xml:space="preserve"> IF( 'From SvanPC++'!A1034= "", "", ('From SvanPC++'!A1034))</f>
        <v/>
      </c>
      <c r="C1034" s="47" t="s">
        <v>10</v>
      </c>
      <c r="G1034" s="38" t="str">
        <f t="shared" si="81"/>
        <v/>
      </c>
      <c r="H1034" s="36" t="str">
        <f t="shared" si="80"/>
        <v/>
      </c>
      <c r="J1034" s="141" t="str">
        <f t="shared" si="82"/>
        <v/>
      </c>
      <c r="K1034" s="141" t="str">
        <f t="shared" si="83"/>
        <v/>
      </c>
      <c r="L1034" s="141" t="str">
        <f t="shared" si="84"/>
        <v/>
      </c>
    </row>
    <row r="1035" spans="1:12" x14ac:dyDescent="0.3">
      <c r="A1035" s="36" t="str">
        <f xml:space="preserve"> IF( 'From SvanPC++'!A1035= "", "", ('From SvanPC++'!A1035))</f>
        <v/>
      </c>
      <c r="C1035" s="47" t="s">
        <v>10</v>
      </c>
      <c r="G1035" s="38" t="str">
        <f t="shared" si="81"/>
        <v/>
      </c>
      <c r="H1035" s="36" t="str">
        <f t="shared" si="80"/>
        <v/>
      </c>
      <c r="J1035" s="141" t="str">
        <f t="shared" si="82"/>
        <v/>
      </c>
      <c r="K1035" s="141" t="str">
        <f t="shared" si="83"/>
        <v/>
      </c>
      <c r="L1035" s="141" t="str">
        <f t="shared" si="84"/>
        <v/>
      </c>
    </row>
    <row r="1036" spans="1:12" x14ac:dyDescent="0.3">
      <c r="A1036" s="36" t="str">
        <f xml:space="preserve"> IF( 'From SvanPC++'!A1036= "", "", ('From SvanPC++'!A1036))</f>
        <v/>
      </c>
      <c r="C1036" s="47" t="s">
        <v>10</v>
      </c>
      <c r="G1036" s="38" t="str">
        <f t="shared" si="81"/>
        <v/>
      </c>
      <c r="H1036" s="36" t="str">
        <f t="shared" si="80"/>
        <v/>
      </c>
      <c r="J1036" s="141" t="str">
        <f t="shared" si="82"/>
        <v/>
      </c>
      <c r="K1036" s="141" t="str">
        <f t="shared" si="83"/>
        <v/>
      </c>
      <c r="L1036" s="141" t="str">
        <f t="shared" si="84"/>
        <v/>
      </c>
    </row>
    <row r="1037" spans="1:12" x14ac:dyDescent="0.3">
      <c r="A1037" s="36" t="str">
        <f xml:space="preserve"> IF( 'From SvanPC++'!A1037= "", "", ('From SvanPC++'!A1037))</f>
        <v/>
      </c>
      <c r="C1037" s="47" t="s">
        <v>10</v>
      </c>
      <c r="G1037" s="38" t="str">
        <f t="shared" si="81"/>
        <v/>
      </c>
      <c r="H1037" s="36" t="str">
        <f t="shared" si="80"/>
        <v/>
      </c>
      <c r="J1037" s="141" t="str">
        <f t="shared" si="82"/>
        <v/>
      </c>
      <c r="K1037" s="141" t="str">
        <f t="shared" si="83"/>
        <v/>
      </c>
      <c r="L1037" s="141" t="str">
        <f t="shared" si="84"/>
        <v/>
      </c>
    </row>
    <row r="1038" spans="1:12" x14ac:dyDescent="0.3">
      <c r="A1038" s="36" t="str">
        <f xml:space="preserve"> IF( 'From SvanPC++'!A1038= "", "", ('From SvanPC++'!A1038))</f>
        <v/>
      </c>
      <c r="C1038" s="47" t="s">
        <v>10</v>
      </c>
      <c r="G1038" s="38" t="str">
        <f t="shared" si="81"/>
        <v/>
      </c>
      <c r="H1038" s="36" t="str">
        <f t="shared" si="80"/>
        <v/>
      </c>
      <c r="J1038" s="141" t="str">
        <f t="shared" si="82"/>
        <v/>
      </c>
      <c r="K1038" s="141" t="str">
        <f t="shared" si="83"/>
        <v/>
      </c>
      <c r="L1038" s="141" t="str">
        <f t="shared" si="84"/>
        <v/>
      </c>
    </row>
    <row r="1039" spans="1:12" x14ac:dyDescent="0.3">
      <c r="A1039" s="36" t="str">
        <f xml:space="preserve"> IF( 'From SvanPC++'!A1039= "", "", ('From SvanPC++'!A1039))</f>
        <v/>
      </c>
      <c r="C1039" s="47" t="s">
        <v>10</v>
      </c>
      <c r="G1039" s="38" t="str">
        <f t="shared" si="81"/>
        <v/>
      </c>
      <c r="H1039" s="36" t="str">
        <f t="shared" si="80"/>
        <v/>
      </c>
      <c r="J1039" s="141" t="str">
        <f t="shared" si="82"/>
        <v/>
      </c>
      <c r="K1039" s="141" t="str">
        <f t="shared" si="83"/>
        <v/>
      </c>
      <c r="L1039" s="141" t="str">
        <f t="shared" si="84"/>
        <v/>
      </c>
    </row>
    <row r="1040" spans="1:12" x14ac:dyDescent="0.3">
      <c r="A1040" s="36" t="str">
        <f xml:space="preserve"> IF( 'From SvanPC++'!A1040= "", "", ('From SvanPC++'!A1040))</f>
        <v/>
      </c>
      <c r="C1040" s="47" t="s">
        <v>10</v>
      </c>
      <c r="G1040" s="38" t="str">
        <f t="shared" si="81"/>
        <v/>
      </c>
      <c r="H1040" s="36" t="str">
        <f t="shared" si="80"/>
        <v/>
      </c>
      <c r="J1040" s="141" t="str">
        <f t="shared" si="82"/>
        <v/>
      </c>
      <c r="K1040" s="141" t="str">
        <f t="shared" si="83"/>
        <v/>
      </c>
      <c r="L1040" s="141" t="str">
        <f t="shared" si="84"/>
        <v/>
      </c>
    </row>
    <row r="1041" spans="1:12" x14ac:dyDescent="0.3">
      <c r="A1041" s="36" t="str">
        <f xml:space="preserve"> IF( 'From SvanPC++'!A1041= "", "", ('From SvanPC++'!A1041))</f>
        <v/>
      </c>
      <c r="C1041" s="47" t="s">
        <v>10</v>
      </c>
      <c r="G1041" s="38" t="str">
        <f t="shared" si="81"/>
        <v/>
      </c>
      <c r="H1041" s="36" t="str">
        <f t="shared" si="80"/>
        <v/>
      </c>
      <c r="J1041" s="141" t="str">
        <f t="shared" si="82"/>
        <v/>
      </c>
      <c r="K1041" s="141" t="str">
        <f t="shared" si="83"/>
        <v/>
      </c>
      <c r="L1041" s="141" t="str">
        <f t="shared" si="84"/>
        <v/>
      </c>
    </row>
    <row r="1042" spans="1:12" x14ac:dyDescent="0.3">
      <c r="A1042" s="36" t="str">
        <f xml:space="preserve"> IF( 'From SvanPC++'!A1042= "", "", ('From SvanPC++'!A1042))</f>
        <v/>
      </c>
      <c r="C1042" s="47" t="s">
        <v>10</v>
      </c>
      <c r="G1042" s="38" t="str">
        <f t="shared" si="81"/>
        <v/>
      </c>
      <c r="H1042" s="36" t="str">
        <f t="shared" si="80"/>
        <v/>
      </c>
      <c r="J1042" s="141" t="str">
        <f t="shared" si="82"/>
        <v/>
      </c>
      <c r="K1042" s="141" t="str">
        <f t="shared" si="83"/>
        <v/>
      </c>
      <c r="L1042" s="141" t="str">
        <f t="shared" si="84"/>
        <v/>
      </c>
    </row>
    <row r="1043" spans="1:12" x14ac:dyDescent="0.3">
      <c r="A1043" s="36" t="str">
        <f xml:space="preserve"> IF( 'From SvanPC++'!A1043= "", "", ('From SvanPC++'!A1043))</f>
        <v/>
      </c>
      <c r="C1043" s="47" t="s">
        <v>10</v>
      </c>
      <c r="G1043" s="38" t="str">
        <f t="shared" si="81"/>
        <v/>
      </c>
      <c r="H1043" s="36" t="str">
        <f t="shared" si="80"/>
        <v/>
      </c>
      <c r="J1043" s="141" t="str">
        <f t="shared" si="82"/>
        <v/>
      </c>
      <c r="K1043" s="141" t="str">
        <f t="shared" si="83"/>
        <v/>
      </c>
      <c r="L1043" s="141" t="str">
        <f t="shared" si="84"/>
        <v/>
      </c>
    </row>
    <row r="1044" spans="1:12" x14ac:dyDescent="0.3">
      <c r="A1044" s="36" t="str">
        <f xml:space="preserve"> IF( 'From SvanPC++'!A1044= "", "", ('From SvanPC++'!A1044))</f>
        <v/>
      </c>
      <c r="C1044" s="47" t="s">
        <v>10</v>
      </c>
      <c r="G1044" s="38" t="str">
        <f t="shared" si="81"/>
        <v/>
      </c>
      <c r="H1044" s="36" t="str">
        <f t="shared" si="80"/>
        <v/>
      </c>
      <c r="J1044" s="141" t="str">
        <f t="shared" si="82"/>
        <v/>
      </c>
      <c r="K1044" s="141" t="str">
        <f t="shared" si="83"/>
        <v/>
      </c>
      <c r="L1044" s="141" t="str">
        <f t="shared" si="84"/>
        <v/>
      </c>
    </row>
    <row r="1045" spans="1:12" x14ac:dyDescent="0.3">
      <c r="A1045" s="36" t="str">
        <f xml:space="preserve"> IF( 'From SvanPC++'!A1045= "", "", ('From SvanPC++'!A1045))</f>
        <v/>
      </c>
      <c r="C1045" s="47" t="s">
        <v>10</v>
      </c>
      <c r="G1045" s="38" t="str">
        <f t="shared" si="81"/>
        <v/>
      </c>
      <c r="H1045" s="36" t="str">
        <f t="shared" si="80"/>
        <v/>
      </c>
      <c r="J1045" s="141" t="str">
        <f t="shared" si="82"/>
        <v/>
      </c>
      <c r="K1045" s="141" t="str">
        <f t="shared" si="83"/>
        <v/>
      </c>
      <c r="L1045" s="141" t="str">
        <f t="shared" si="84"/>
        <v/>
      </c>
    </row>
    <row r="1046" spans="1:12" x14ac:dyDescent="0.3">
      <c r="A1046" s="36" t="str">
        <f xml:space="preserve"> IF( 'From SvanPC++'!A1046= "", "", ('From SvanPC++'!A1046))</f>
        <v/>
      </c>
      <c r="C1046" s="47" t="s">
        <v>10</v>
      </c>
      <c r="G1046" s="38" t="str">
        <f t="shared" si="81"/>
        <v/>
      </c>
      <c r="H1046" s="36" t="str">
        <f t="shared" si="80"/>
        <v/>
      </c>
      <c r="J1046" s="141" t="str">
        <f t="shared" si="82"/>
        <v/>
      </c>
      <c r="K1046" s="141" t="str">
        <f t="shared" si="83"/>
        <v/>
      </c>
      <c r="L1046" s="141" t="str">
        <f t="shared" si="84"/>
        <v/>
      </c>
    </row>
    <row r="1047" spans="1:12" x14ac:dyDescent="0.3">
      <c r="A1047" s="36" t="str">
        <f xml:space="preserve"> IF( 'From SvanPC++'!A1047= "", "", ('From SvanPC++'!A1047))</f>
        <v/>
      </c>
      <c r="C1047" s="47" t="s">
        <v>10</v>
      </c>
      <c r="G1047" s="38" t="str">
        <f t="shared" si="81"/>
        <v/>
      </c>
      <c r="H1047" s="36" t="str">
        <f t="shared" ref="H1047:H1110" si="85" xml:space="preserve"> IF( D1047= "", "", ( IF( AND( D1047 &gt;= TIMEVALUE( "07:00:01" ), D1047 &lt;= TIMEVALUE( "13:00:00" ), WEEKDAY( C1047) =(7+N("Lines 2-17 = saturday day period")) ) = TRUE, "Day",
IF( AND( D1047 &gt;= TIMEVALUE( "07:00:01" ), D1047 &lt;= TIMEVALUE( "18:00:00" ), WEEKDAY( C1047,1+N("Lines 19-38 = weekday day period")) &gt;=2, ( WEEKDAY( C1047,1) &lt;=6) ) = TRUE, "Day",
IF( AND( D1047 &gt;= TIMEVALUE( "13:00:01" ), D1047 &lt;= TIMEVALUE( "22:00:00" ), WEEKDAY( C1047) =(7+N("Lines 40-56 = saturday evening period")) ) = TRUE, "Evening",
IF( AND( D1047 &gt;= TIMEVALUE( "18:00:01" ), D1047 &lt;= TIMEVALUE( "22:00:00" ), WEEKDAY( C1047,1+N("Lines 57-77 = weekday evening period")) &gt;=2, ( WEEKDAY( C1047,1) &lt;=6) ) = TRUE, "Evening",
IF( AND( D1047 &gt;= TIMEVALUE( "07:00:01" ), D1047 &lt;= TIMEVALUE( "22:00:00" ), WEEKDAY( C1047) =(1+N("Lines 78-94 = sunday evening period")) ) = TRUE, "Evening",
IF( AND( D1047 &gt;= TIMEVALUE( "22:00:01" ), D1047 &lt;= TIMEVALUE( "23:59:59" ), WEEKDAY( C1047) =(7+N("Lines 95-111 = saturday night1 period")) ) = TRUE, "Night",
IF( AND( D1047 &gt;= TIMEVALUE( "00:00:00" ), D1047 &lt;= TIMEVALUE( "07:00:00" ), WEEKDAY( C1047) =(7+N("Lines 112-128 = saturday night2 period")) ) = TRUE, "Night",
IF( AND( D1047 &gt;= TIMEVALUE( "22:00:01" ), D1047 &lt;= TIMEVALUE( "23:59:59" ), WEEKDAY( C1047,1+N("Lines 129-149 = weekday night1 period")) &gt;=2, ( WEEKDAY( C1047,1) &lt;=6) ) = TRUE, "Night",
IF( AND( D1047 &gt;= TIMEVALUE( "00:00:00" ), D1047 &lt;= TIMEVALUE( "07:00:00" ), WEEKDAY( C1047,1+N("Lines 150-170 = weekday night2 period")) &gt;=2, ( WEEKDAY( C1047,1) &lt;=6) ) = TRUE, "Night",
IF( AND( D1047 &gt;= TIMEVALUE( "20:00:01" ), D1047 &lt;= TIMEVALUE( "23:59:59" ), WEEKDAY( C1047) =(1+N("Lines 171-187 = sunday night1 period")) ) = TRUE, "Night",
IF( AND( D1047 &gt;= TIMEVALUE( "00:00:00" ), D1047 &lt;= TIMEVALUE( "07:00:00" ), WEEKDAY( C1047) =(1+N("Lines 188-204 = sunday night2 period")) ) = TRUE, "Night", )))))))))))))</f>
        <v/>
      </c>
      <c r="J1047" s="141" t="str">
        <f t="shared" si="82"/>
        <v/>
      </c>
      <c r="K1047" s="141" t="str">
        <f t="shared" si="83"/>
        <v/>
      </c>
      <c r="L1047" s="141" t="str">
        <f t="shared" si="84"/>
        <v/>
      </c>
    </row>
    <row r="1048" spans="1:12" x14ac:dyDescent="0.3">
      <c r="A1048" s="36" t="str">
        <f xml:space="preserve"> IF( 'From SvanPC++'!A1048= "", "", ('From SvanPC++'!A1048))</f>
        <v/>
      </c>
      <c r="C1048" s="47" t="s">
        <v>10</v>
      </c>
      <c r="G1048" s="38" t="str">
        <f t="shared" si="81"/>
        <v/>
      </c>
      <c r="H1048" s="36" t="str">
        <f t="shared" si="85"/>
        <v/>
      </c>
      <c r="J1048" s="141" t="str">
        <f t="shared" si="82"/>
        <v/>
      </c>
      <c r="K1048" s="141" t="str">
        <f t="shared" si="83"/>
        <v/>
      </c>
      <c r="L1048" s="141" t="str">
        <f t="shared" si="84"/>
        <v/>
      </c>
    </row>
    <row r="1049" spans="1:12" x14ac:dyDescent="0.3">
      <c r="A1049" s="36" t="str">
        <f xml:space="preserve"> IF( 'From SvanPC++'!A1049= "", "", ('From SvanPC++'!A1049))</f>
        <v/>
      </c>
      <c r="C1049" s="47" t="s">
        <v>10</v>
      </c>
      <c r="G1049" s="38" t="str">
        <f t="shared" si="81"/>
        <v/>
      </c>
      <c r="H1049" s="36" t="str">
        <f t="shared" si="85"/>
        <v/>
      </c>
      <c r="J1049" s="141" t="str">
        <f t="shared" si="82"/>
        <v/>
      </c>
      <c r="K1049" s="141" t="str">
        <f t="shared" si="83"/>
        <v/>
      </c>
      <c r="L1049" s="141" t="str">
        <f t="shared" si="84"/>
        <v/>
      </c>
    </row>
    <row r="1050" spans="1:12" x14ac:dyDescent="0.3">
      <c r="A1050" s="36" t="str">
        <f xml:space="preserve"> IF( 'From SvanPC++'!A1050= "", "", ('From SvanPC++'!A1050))</f>
        <v/>
      </c>
      <c r="C1050" s="47" t="s">
        <v>10</v>
      </c>
      <c r="G1050" s="38" t="str">
        <f t="shared" si="81"/>
        <v/>
      </c>
      <c r="H1050" s="36" t="str">
        <f t="shared" si="85"/>
        <v/>
      </c>
      <c r="J1050" s="141" t="str">
        <f t="shared" si="82"/>
        <v/>
      </c>
      <c r="K1050" s="141" t="str">
        <f t="shared" si="83"/>
        <v/>
      </c>
      <c r="L1050" s="141" t="str">
        <f t="shared" si="84"/>
        <v/>
      </c>
    </row>
    <row r="1051" spans="1:12" x14ac:dyDescent="0.3">
      <c r="A1051" s="36" t="str">
        <f xml:space="preserve"> IF( 'From SvanPC++'!A1051= "", "", ('From SvanPC++'!A1051))</f>
        <v/>
      </c>
      <c r="C1051" s="47" t="s">
        <v>10</v>
      </c>
      <c r="G1051" s="38" t="str">
        <f t="shared" si="81"/>
        <v/>
      </c>
      <c r="H1051" s="36" t="str">
        <f t="shared" si="85"/>
        <v/>
      </c>
      <c r="J1051" s="141" t="str">
        <f t="shared" si="82"/>
        <v/>
      </c>
      <c r="K1051" s="141" t="str">
        <f t="shared" si="83"/>
        <v/>
      </c>
      <c r="L1051" s="141" t="str">
        <f t="shared" si="84"/>
        <v/>
      </c>
    </row>
    <row r="1052" spans="1:12" x14ac:dyDescent="0.3">
      <c r="A1052" s="36" t="str">
        <f xml:space="preserve"> IF( 'From SvanPC++'!A1052= "", "", ('From SvanPC++'!A1052))</f>
        <v/>
      </c>
      <c r="C1052" s="47" t="s">
        <v>10</v>
      </c>
      <c r="G1052" s="38" t="str">
        <f t="shared" si="81"/>
        <v/>
      </c>
      <c r="H1052" s="36" t="str">
        <f t="shared" si="85"/>
        <v/>
      </c>
      <c r="J1052" s="141" t="str">
        <f t="shared" si="82"/>
        <v/>
      </c>
      <c r="K1052" s="141" t="str">
        <f t="shared" si="83"/>
        <v/>
      </c>
      <c r="L1052" s="141" t="str">
        <f t="shared" si="84"/>
        <v/>
      </c>
    </row>
    <row r="1053" spans="1:12" x14ac:dyDescent="0.3">
      <c r="A1053" s="36" t="str">
        <f xml:space="preserve"> IF( 'From SvanPC++'!A1053= "", "", ('From SvanPC++'!A1053))</f>
        <v/>
      </c>
      <c r="C1053" s="47" t="s">
        <v>10</v>
      </c>
      <c r="G1053" s="38" t="str">
        <f t="shared" si="81"/>
        <v/>
      </c>
      <c r="H1053" s="36" t="str">
        <f t="shared" si="85"/>
        <v/>
      </c>
      <c r="J1053" s="141" t="str">
        <f t="shared" si="82"/>
        <v/>
      </c>
      <c r="K1053" s="141" t="str">
        <f t="shared" si="83"/>
        <v/>
      </c>
      <c r="L1053" s="141" t="str">
        <f t="shared" si="84"/>
        <v/>
      </c>
    </row>
    <row r="1054" spans="1:12" x14ac:dyDescent="0.3">
      <c r="A1054" s="36" t="str">
        <f xml:space="preserve"> IF( 'From SvanPC++'!A1054= "", "", ('From SvanPC++'!A1054))</f>
        <v/>
      </c>
      <c r="C1054" s="47" t="s">
        <v>10</v>
      </c>
      <c r="G1054" s="38" t="str">
        <f t="shared" si="81"/>
        <v/>
      </c>
      <c r="H1054" s="36" t="str">
        <f t="shared" si="85"/>
        <v/>
      </c>
      <c r="J1054" s="141" t="str">
        <f t="shared" si="82"/>
        <v/>
      </c>
      <c r="K1054" s="141" t="str">
        <f t="shared" si="83"/>
        <v/>
      </c>
      <c r="L1054" s="141" t="str">
        <f t="shared" si="84"/>
        <v/>
      </c>
    </row>
    <row r="1055" spans="1:12" x14ac:dyDescent="0.3">
      <c r="A1055" s="36" t="str">
        <f xml:space="preserve"> IF( 'From SvanPC++'!A1055= "", "", ('From SvanPC++'!A1055))</f>
        <v/>
      </c>
      <c r="C1055" s="47" t="s">
        <v>10</v>
      </c>
      <c r="G1055" s="38" t="str">
        <f t="shared" si="81"/>
        <v/>
      </c>
      <c r="H1055" s="36" t="str">
        <f t="shared" si="85"/>
        <v/>
      </c>
      <c r="J1055" s="141" t="str">
        <f t="shared" si="82"/>
        <v/>
      </c>
      <c r="K1055" s="141" t="str">
        <f t="shared" si="83"/>
        <v/>
      </c>
      <c r="L1055" s="141" t="str">
        <f t="shared" si="84"/>
        <v/>
      </c>
    </row>
    <row r="1056" spans="1:12" x14ac:dyDescent="0.3">
      <c r="A1056" s="36" t="str">
        <f xml:space="preserve"> IF( 'From SvanPC++'!A1056= "", "", ('From SvanPC++'!A1056))</f>
        <v/>
      </c>
      <c r="C1056" s="47" t="s">
        <v>10</v>
      </c>
      <c r="G1056" s="38" t="str">
        <f t="shared" si="81"/>
        <v/>
      </c>
      <c r="H1056" s="36" t="str">
        <f t="shared" si="85"/>
        <v/>
      </c>
      <c r="J1056" s="141" t="str">
        <f t="shared" si="82"/>
        <v/>
      </c>
      <c r="K1056" s="141" t="str">
        <f t="shared" si="83"/>
        <v/>
      </c>
      <c r="L1056" s="141" t="str">
        <f t="shared" si="84"/>
        <v/>
      </c>
    </row>
    <row r="1057" spans="1:12" x14ac:dyDescent="0.3">
      <c r="A1057" s="36" t="str">
        <f xml:space="preserve"> IF( 'From SvanPC++'!A1057= "", "", ('From SvanPC++'!A1057))</f>
        <v/>
      </c>
      <c r="C1057" s="47" t="s">
        <v>10</v>
      </c>
      <c r="G1057" s="38" t="str">
        <f t="shared" si="81"/>
        <v/>
      </c>
      <c r="H1057" s="36" t="str">
        <f t="shared" si="85"/>
        <v/>
      </c>
      <c r="J1057" s="141" t="str">
        <f t="shared" si="82"/>
        <v/>
      </c>
      <c r="K1057" s="141" t="str">
        <f t="shared" si="83"/>
        <v/>
      </c>
      <c r="L1057" s="141" t="str">
        <f t="shared" si="84"/>
        <v/>
      </c>
    </row>
    <row r="1058" spans="1:12" x14ac:dyDescent="0.3">
      <c r="A1058" s="36" t="str">
        <f xml:space="preserve"> IF( 'From SvanPC++'!A1058= "", "", ('From SvanPC++'!A1058))</f>
        <v/>
      </c>
      <c r="C1058" s="47" t="s">
        <v>10</v>
      </c>
      <c r="G1058" s="38" t="str">
        <f t="shared" si="81"/>
        <v/>
      </c>
      <c r="H1058" s="36" t="str">
        <f t="shared" si="85"/>
        <v/>
      </c>
      <c r="J1058" s="141" t="str">
        <f t="shared" si="82"/>
        <v/>
      </c>
      <c r="K1058" s="141" t="str">
        <f t="shared" si="83"/>
        <v/>
      </c>
      <c r="L1058" s="141" t="str">
        <f t="shared" si="84"/>
        <v/>
      </c>
    </row>
    <row r="1059" spans="1:12" x14ac:dyDescent="0.3">
      <c r="A1059" s="36" t="str">
        <f xml:space="preserve"> IF( 'From SvanPC++'!A1059= "", "", ('From SvanPC++'!A1059))</f>
        <v/>
      </c>
      <c r="C1059" s="47" t="s">
        <v>10</v>
      </c>
      <c r="G1059" s="38" t="str">
        <f t="shared" si="81"/>
        <v/>
      </c>
      <c r="H1059" s="36" t="str">
        <f t="shared" si="85"/>
        <v/>
      </c>
      <c r="J1059" s="141" t="str">
        <f t="shared" si="82"/>
        <v/>
      </c>
      <c r="K1059" s="141" t="str">
        <f t="shared" si="83"/>
        <v/>
      </c>
      <c r="L1059" s="141" t="str">
        <f t="shared" si="84"/>
        <v/>
      </c>
    </row>
    <row r="1060" spans="1:12" x14ac:dyDescent="0.3">
      <c r="A1060" s="36" t="str">
        <f xml:space="preserve"> IF( 'From SvanPC++'!A1060= "", "", ('From SvanPC++'!A1060))</f>
        <v/>
      </c>
      <c r="C1060" s="47" t="s">
        <v>10</v>
      </c>
      <c r="G1060" s="38" t="str">
        <f t="shared" si="81"/>
        <v/>
      </c>
      <c r="H1060" s="36" t="str">
        <f t="shared" si="85"/>
        <v/>
      </c>
      <c r="J1060" s="141" t="str">
        <f t="shared" si="82"/>
        <v/>
      </c>
      <c r="K1060" s="141" t="str">
        <f t="shared" si="83"/>
        <v/>
      </c>
      <c r="L1060" s="141" t="str">
        <f t="shared" si="84"/>
        <v/>
      </c>
    </row>
    <row r="1061" spans="1:12" x14ac:dyDescent="0.3">
      <c r="A1061" s="36" t="str">
        <f xml:space="preserve"> IF( 'From SvanPC++'!A1061= "", "", ('From SvanPC++'!A1061))</f>
        <v/>
      </c>
      <c r="C1061" s="47" t="s">
        <v>10</v>
      </c>
      <c r="G1061" s="38" t="str">
        <f t="shared" si="81"/>
        <v/>
      </c>
      <c r="H1061" s="36" t="str">
        <f t="shared" si="85"/>
        <v/>
      </c>
      <c r="J1061" s="141" t="str">
        <f t="shared" si="82"/>
        <v/>
      </c>
      <c r="K1061" s="141" t="str">
        <f t="shared" si="83"/>
        <v/>
      </c>
      <c r="L1061" s="141" t="str">
        <f t="shared" si="84"/>
        <v/>
      </c>
    </row>
    <row r="1062" spans="1:12" x14ac:dyDescent="0.3">
      <c r="A1062" s="36" t="str">
        <f xml:space="preserve"> IF( 'From SvanPC++'!A1062= "", "", ('From SvanPC++'!A1062))</f>
        <v/>
      </c>
      <c r="C1062" s="47" t="s">
        <v>10</v>
      </c>
      <c r="G1062" s="38" t="str">
        <f t="shared" si="81"/>
        <v/>
      </c>
      <c r="H1062" s="36" t="str">
        <f t="shared" si="85"/>
        <v/>
      </c>
      <c r="J1062" s="141" t="str">
        <f t="shared" si="82"/>
        <v/>
      </c>
      <c r="K1062" s="141" t="str">
        <f t="shared" si="83"/>
        <v/>
      </c>
      <c r="L1062" s="141" t="str">
        <f t="shared" si="84"/>
        <v/>
      </c>
    </row>
    <row r="1063" spans="1:12" x14ac:dyDescent="0.3">
      <c r="A1063" s="36" t="str">
        <f xml:space="preserve"> IF( 'From SvanPC++'!A1063= "", "", ('From SvanPC++'!A1063))</f>
        <v/>
      </c>
      <c r="C1063" s="47" t="s">
        <v>10</v>
      </c>
      <c r="G1063" s="38" t="str">
        <f t="shared" si="81"/>
        <v/>
      </c>
      <c r="H1063" s="36" t="str">
        <f t="shared" si="85"/>
        <v/>
      </c>
      <c r="J1063" s="141" t="str">
        <f t="shared" si="82"/>
        <v/>
      </c>
      <c r="K1063" s="141" t="str">
        <f t="shared" si="83"/>
        <v/>
      </c>
      <c r="L1063" s="141" t="str">
        <f t="shared" si="84"/>
        <v/>
      </c>
    </row>
    <row r="1064" spans="1:12" x14ac:dyDescent="0.3">
      <c r="A1064" s="36" t="str">
        <f xml:space="preserve"> IF( 'From SvanPC++'!A1064= "", "", ('From SvanPC++'!A1064))</f>
        <v/>
      </c>
      <c r="C1064" s="47" t="s">
        <v>10</v>
      </c>
      <c r="G1064" s="38" t="str">
        <f t="shared" si="81"/>
        <v/>
      </c>
      <c r="H1064" s="36" t="str">
        <f t="shared" si="85"/>
        <v/>
      </c>
      <c r="J1064" s="141" t="str">
        <f t="shared" si="82"/>
        <v/>
      </c>
      <c r="K1064" s="141" t="str">
        <f t="shared" si="83"/>
        <v/>
      </c>
      <c r="L1064" s="141" t="str">
        <f t="shared" si="84"/>
        <v/>
      </c>
    </row>
    <row r="1065" spans="1:12" x14ac:dyDescent="0.3">
      <c r="A1065" s="36" t="str">
        <f xml:space="preserve"> IF( 'From SvanPC++'!A1065= "", "", ('From SvanPC++'!A1065))</f>
        <v/>
      </c>
      <c r="C1065" s="47" t="s">
        <v>10</v>
      </c>
      <c r="G1065" s="38" t="str">
        <f t="shared" si="81"/>
        <v/>
      </c>
      <c r="H1065" s="36" t="str">
        <f t="shared" si="85"/>
        <v/>
      </c>
      <c r="J1065" s="141" t="str">
        <f t="shared" si="82"/>
        <v/>
      </c>
      <c r="K1065" s="141" t="str">
        <f t="shared" si="83"/>
        <v/>
      </c>
      <c r="L1065" s="141" t="str">
        <f t="shared" si="84"/>
        <v/>
      </c>
    </row>
    <row r="1066" spans="1:12" x14ac:dyDescent="0.3">
      <c r="A1066" s="36" t="str">
        <f xml:space="preserve"> IF( 'From SvanPC++'!A1066= "", "", ('From SvanPC++'!A1066))</f>
        <v/>
      </c>
      <c r="C1066" s="47" t="s">
        <v>10</v>
      </c>
      <c r="G1066" s="38" t="str">
        <f t="shared" si="81"/>
        <v/>
      </c>
      <c r="H1066" s="36" t="str">
        <f t="shared" si="85"/>
        <v/>
      </c>
      <c r="J1066" s="141" t="str">
        <f t="shared" si="82"/>
        <v/>
      </c>
      <c r="K1066" s="141" t="str">
        <f t="shared" si="83"/>
        <v/>
      </c>
      <c r="L1066" s="141" t="str">
        <f t="shared" si="84"/>
        <v/>
      </c>
    </row>
    <row r="1067" spans="1:12" x14ac:dyDescent="0.3">
      <c r="A1067" s="36" t="str">
        <f xml:space="preserve"> IF( 'From SvanPC++'!A1067= "", "", ('From SvanPC++'!A1067))</f>
        <v/>
      </c>
      <c r="C1067" s="47" t="s">
        <v>10</v>
      </c>
      <c r="G1067" s="38" t="str">
        <f t="shared" si="81"/>
        <v/>
      </c>
      <c r="H1067" s="36" t="str">
        <f t="shared" si="85"/>
        <v/>
      </c>
      <c r="J1067" s="141" t="str">
        <f t="shared" si="82"/>
        <v/>
      </c>
      <c r="K1067" s="141" t="str">
        <f t="shared" si="83"/>
        <v/>
      </c>
      <c r="L1067" s="141" t="str">
        <f t="shared" si="84"/>
        <v/>
      </c>
    </row>
    <row r="1068" spans="1:12" x14ac:dyDescent="0.3">
      <c r="A1068" s="36" t="str">
        <f xml:space="preserve"> IF( 'From SvanPC++'!A1068= "", "", ('From SvanPC++'!A1068))</f>
        <v/>
      </c>
      <c r="C1068" s="47" t="s">
        <v>10</v>
      </c>
      <c r="G1068" s="38" t="str">
        <f t="shared" si="81"/>
        <v/>
      </c>
      <c r="H1068" s="36" t="str">
        <f t="shared" si="85"/>
        <v/>
      </c>
      <c r="J1068" s="141" t="str">
        <f t="shared" si="82"/>
        <v/>
      </c>
      <c r="K1068" s="141" t="str">
        <f t="shared" si="83"/>
        <v/>
      </c>
      <c r="L1068" s="141" t="str">
        <f t="shared" si="84"/>
        <v/>
      </c>
    </row>
    <row r="1069" spans="1:12" x14ac:dyDescent="0.3">
      <c r="A1069" s="36" t="str">
        <f xml:space="preserve"> IF( 'From SvanPC++'!A1069= "", "", ('From SvanPC++'!A1069))</f>
        <v/>
      </c>
      <c r="C1069" s="47" t="s">
        <v>10</v>
      </c>
      <c r="G1069" s="38" t="str">
        <f t="shared" si="81"/>
        <v/>
      </c>
      <c r="H1069" s="36" t="str">
        <f t="shared" si="85"/>
        <v/>
      </c>
      <c r="J1069" s="141" t="str">
        <f t="shared" si="82"/>
        <v/>
      </c>
      <c r="K1069" s="141" t="str">
        <f t="shared" si="83"/>
        <v/>
      </c>
      <c r="L1069" s="141" t="str">
        <f t="shared" si="84"/>
        <v/>
      </c>
    </row>
    <row r="1070" spans="1:12" x14ac:dyDescent="0.3">
      <c r="A1070" s="36" t="str">
        <f xml:space="preserve"> IF( 'From SvanPC++'!A1070= "", "", ('From SvanPC++'!A1070))</f>
        <v/>
      </c>
      <c r="C1070" s="47" t="s">
        <v>10</v>
      </c>
      <c r="G1070" s="38" t="str">
        <f t="shared" si="81"/>
        <v/>
      </c>
      <c r="H1070" s="36" t="str">
        <f t="shared" si="85"/>
        <v/>
      </c>
      <c r="J1070" s="141" t="str">
        <f t="shared" si="82"/>
        <v/>
      </c>
      <c r="K1070" s="141" t="str">
        <f t="shared" si="83"/>
        <v/>
      </c>
      <c r="L1070" s="141" t="str">
        <f t="shared" si="84"/>
        <v/>
      </c>
    </row>
    <row r="1071" spans="1:12" x14ac:dyDescent="0.3">
      <c r="A1071" s="36" t="str">
        <f xml:space="preserve"> IF( 'From SvanPC++'!A1071= "", "", ('From SvanPC++'!A1071))</f>
        <v/>
      </c>
      <c r="C1071" s="47" t="s">
        <v>10</v>
      </c>
      <c r="G1071" s="38" t="str">
        <f t="shared" si="81"/>
        <v/>
      </c>
      <c r="H1071" s="36" t="str">
        <f t="shared" si="85"/>
        <v/>
      </c>
      <c r="J1071" s="141" t="str">
        <f t="shared" si="82"/>
        <v/>
      </c>
      <c r="K1071" s="141" t="str">
        <f t="shared" si="83"/>
        <v/>
      </c>
      <c r="L1071" s="141" t="str">
        <f t="shared" si="84"/>
        <v/>
      </c>
    </row>
    <row r="1072" spans="1:12" x14ac:dyDescent="0.3">
      <c r="A1072" s="36" t="str">
        <f xml:space="preserve"> IF( 'From SvanPC++'!A1072= "", "", ('From SvanPC++'!A1072))</f>
        <v/>
      </c>
      <c r="C1072" s="47" t="s">
        <v>10</v>
      </c>
      <c r="G1072" s="38" t="str">
        <f t="shared" si="81"/>
        <v/>
      </c>
      <c r="H1072" s="36" t="str">
        <f t="shared" si="85"/>
        <v/>
      </c>
      <c r="J1072" s="141" t="str">
        <f t="shared" si="82"/>
        <v/>
      </c>
      <c r="K1072" s="141" t="str">
        <f t="shared" si="83"/>
        <v/>
      </c>
      <c r="L1072" s="141" t="str">
        <f t="shared" si="84"/>
        <v/>
      </c>
    </row>
    <row r="1073" spans="1:12" x14ac:dyDescent="0.3">
      <c r="A1073" s="36" t="str">
        <f xml:space="preserve"> IF( 'From SvanPC++'!A1073= "", "", ('From SvanPC++'!A1073))</f>
        <v/>
      </c>
      <c r="C1073" s="47" t="s">
        <v>10</v>
      </c>
      <c r="G1073" s="38" t="str">
        <f t="shared" si="81"/>
        <v/>
      </c>
      <c r="H1073" s="36" t="str">
        <f t="shared" si="85"/>
        <v/>
      </c>
      <c r="J1073" s="141" t="str">
        <f t="shared" si="82"/>
        <v/>
      </c>
      <c r="K1073" s="141" t="str">
        <f t="shared" si="83"/>
        <v/>
      </c>
      <c r="L1073" s="141" t="str">
        <f t="shared" si="84"/>
        <v/>
      </c>
    </row>
    <row r="1074" spans="1:12" x14ac:dyDescent="0.3">
      <c r="A1074" s="36" t="str">
        <f xml:space="preserve"> IF( 'From SvanPC++'!A1074= "", "", ('From SvanPC++'!A1074))</f>
        <v/>
      </c>
      <c r="C1074" s="47" t="s">
        <v>10</v>
      </c>
      <c r="G1074" s="38" t="str">
        <f t="shared" si="81"/>
        <v/>
      </c>
      <c r="H1074" s="36" t="str">
        <f t="shared" si="85"/>
        <v/>
      </c>
      <c r="J1074" s="141" t="str">
        <f t="shared" si="82"/>
        <v/>
      </c>
      <c r="K1074" s="141" t="str">
        <f t="shared" si="83"/>
        <v/>
      </c>
      <c r="L1074" s="141" t="str">
        <f t="shared" si="84"/>
        <v/>
      </c>
    </row>
    <row r="1075" spans="1:12" x14ac:dyDescent="0.3">
      <c r="A1075" s="36" t="str">
        <f xml:space="preserve"> IF( 'From SvanPC++'!A1075= "", "", ('From SvanPC++'!A1075))</f>
        <v/>
      </c>
      <c r="C1075" s="47" t="s">
        <v>10</v>
      </c>
      <c r="G1075" s="38" t="str">
        <f t="shared" si="81"/>
        <v/>
      </c>
      <c r="H1075" s="36" t="str">
        <f t="shared" si="85"/>
        <v/>
      </c>
      <c r="J1075" s="141" t="str">
        <f t="shared" si="82"/>
        <v/>
      </c>
      <c r="K1075" s="141" t="str">
        <f t="shared" si="83"/>
        <v/>
      </c>
      <c r="L1075" s="141" t="str">
        <f t="shared" si="84"/>
        <v/>
      </c>
    </row>
    <row r="1076" spans="1:12" x14ac:dyDescent="0.3">
      <c r="A1076" s="36" t="str">
        <f xml:space="preserve"> IF( 'From SvanPC++'!A1076= "", "", ('From SvanPC++'!A1076))</f>
        <v/>
      </c>
      <c r="C1076" s="47" t="s">
        <v>10</v>
      </c>
      <c r="G1076" s="38" t="str">
        <f t="shared" si="81"/>
        <v/>
      </c>
      <c r="H1076" s="36" t="str">
        <f t="shared" si="85"/>
        <v/>
      </c>
      <c r="J1076" s="141" t="str">
        <f t="shared" si="82"/>
        <v/>
      </c>
      <c r="K1076" s="141" t="str">
        <f t="shared" si="83"/>
        <v/>
      </c>
      <c r="L1076" s="141" t="str">
        <f t="shared" si="84"/>
        <v/>
      </c>
    </row>
    <row r="1077" spans="1:12" x14ac:dyDescent="0.3">
      <c r="A1077" s="36" t="str">
        <f xml:space="preserve"> IF( 'From SvanPC++'!A1077= "", "", ('From SvanPC++'!A1077))</f>
        <v/>
      </c>
      <c r="C1077" s="47" t="s">
        <v>10</v>
      </c>
      <c r="G1077" s="38" t="str">
        <f t="shared" si="81"/>
        <v/>
      </c>
      <c r="H1077" s="36" t="str">
        <f t="shared" si="85"/>
        <v/>
      </c>
      <c r="J1077" s="141" t="str">
        <f t="shared" si="82"/>
        <v/>
      </c>
      <c r="K1077" s="141" t="str">
        <f t="shared" si="83"/>
        <v/>
      </c>
      <c r="L1077" s="141" t="str">
        <f t="shared" si="84"/>
        <v/>
      </c>
    </row>
    <row r="1078" spans="1:12" x14ac:dyDescent="0.3">
      <c r="A1078" s="36" t="str">
        <f xml:space="preserve"> IF( 'From SvanPC++'!A1078= "", "", ('From SvanPC++'!A1078))</f>
        <v/>
      </c>
      <c r="C1078" s="47" t="s">
        <v>10</v>
      </c>
      <c r="G1078" s="38" t="str">
        <f t="shared" si="81"/>
        <v/>
      </c>
      <c r="H1078" s="36" t="str">
        <f t="shared" si="85"/>
        <v/>
      </c>
      <c r="J1078" s="141" t="str">
        <f t="shared" si="82"/>
        <v/>
      </c>
      <c r="K1078" s="141" t="str">
        <f t="shared" si="83"/>
        <v/>
      </c>
      <c r="L1078" s="141" t="str">
        <f t="shared" si="84"/>
        <v/>
      </c>
    </row>
    <row r="1079" spans="1:12" x14ac:dyDescent="0.3">
      <c r="A1079" s="36" t="str">
        <f xml:space="preserve"> IF( 'From SvanPC++'!A1079= "", "", ('From SvanPC++'!A1079))</f>
        <v/>
      </c>
      <c r="C1079" s="47" t="s">
        <v>10</v>
      </c>
      <c r="G1079" s="38" t="str">
        <f t="shared" si="81"/>
        <v/>
      </c>
      <c r="H1079" s="36" t="str">
        <f t="shared" si="85"/>
        <v/>
      </c>
      <c r="J1079" s="141" t="str">
        <f t="shared" si="82"/>
        <v/>
      </c>
      <c r="K1079" s="141" t="str">
        <f t="shared" si="83"/>
        <v/>
      </c>
      <c r="L1079" s="141" t="str">
        <f t="shared" si="84"/>
        <v/>
      </c>
    </row>
    <row r="1080" spans="1:12" x14ac:dyDescent="0.3">
      <c r="A1080" s="36" t="str">
        <f xml:space="preserve"> IF( 'From SvanPC++'!A1080= "", "", ('From SvanPC++'!A1080))</f>
        <v/>
      </c>
      <c r="C1080" s="47" t="s">
        <v>10</v>
      </c>
      <c r="G1080" s="38" t="str">
        <f t="shared" si="81"/>
        <v/>
      </c>
      <c r="H1080" s="36" t="str">
        <f t="shared" si="85"/>
        <v/>
      </c>
      <c r="J1080" s="141" t="str">
        <f t="shared" si="82"/>
        <v/>
      </c>
      <c r="K1080" s="141" t="str">
        <f t="shared" si="83"/>
        <v/>
      </c>
      <c r="L1080" s="141" t="str">
        <f t="shared" si="84"/>
        <v/>
      </c>
    </row>
    <row r="1081" spans="1:12" x14ac:dyDescent="0.3">
      <c r="A1081" s="36" t="str">
        <f xml:space="preserve"> IF( 'From SvanPC++'!A1081= "", "", ('From SvanPC++'!A1081))</f>
        <v/>
      </c>
      <c r="C1081" s="47" t="s">
        <v>10</v>
      </c>
      <c r="G1081" s="38" t="str">
        <f t="shared" si="81"/>
        <v/>
      </c>
      <c r="H1081" s="36" t="str">
        <f t="shared" si="85"/>
        <v/>
      </c>
      <c r="J1081" s="141" t="str">
        <f t="shared" si="82"/>
        <v/>
      </c>
      <c r="K1081" s="141" t="str">
        <f t="shared" si="83"/>
        <v/>
      </c>
      <c r="L1081" s="141" t="str">
        <f t="shared" si="84"/>
        <v/>
      </c>
    </row>
    <row r="1082" spans="1:12" x14ac:dyDescent="0.3">
      <c r="A1082" s="36" t="str">
        <f xml:space="preserve"> IF( 'From SvanPC++'!A1082= "", "", ('From SvanPC++'!A1082))</f>
        <v/>
      </c>
      <c r="C1082" s="47" t="s">
        <v>10</v>
      </c>
      <c r="G1082" s="38" t="str">
        <f t="shared" si="81"/>
        <v/>
      </c>
      <c r="H1082" s="36" t="str">
        <f t="shared" si="85"/>
        <v/>
      </c>
      <c r="J1082" s="141" t="str">
        <f t="shared" si="82"/>
        <v/>
      </c>
      <c r="K1082" s="141" t="str">
        <f t="shared" si="83"/>
        <v/>
      </c>
      <c r="L1082" s="141" t="str">
        <f t="shared" si="84"/>
        <v/>
      </c>
    </row>
    <row r="1083" spans="1:12" x14ac:dyDescent="0.3">
      <c r="A1083" s="36" t="str">
        <f xml:space="preserve"> IF( 'From SvanPC++'!A1083= "", "", ('From SvanPC++'!A1083))</f>
        <v/>
      </c>
      <c r="C1083" s="47" t="s">
        <v>10</v>
      </c>
      <c r="G1083" s="38" t="str">
        <f t="shared" si="81"/>
        <v/>
      </c>
      <c r="H1083" s="36" t="str">
        <f t="shared" si="85"/>
        <v/>
      </c>
      <c r="J1083" s="141" t="str">
        <f t="shared" si="82"/>
        <v/>
      </c>
      <c r="K1083" s="141" t="str">
        <f t="shared" si="83"/>
        <v/>
      </c>
      <c r="L1083" s="141" t="str">
        <f t="shared" si="84"/>
        <v/>
      </c>
    </row>
    <row r="1084" spans="1:12" x14ac:dyDescent="0.3">
      <c r="A1084" s="36" t="str">
        <f xml:space="preserve"> IF( 'From SvanPC++'!A1084= "", "", ('From SvanPC++'!A1084))</f>
        <v/>
      </c>
      <c r="C1084" s="47" t="s">
        <v>10</v>
      </c>
      <c r="G1084" s="38" t="str">
        <f t="shared" si="81"/>
        <v/>
      </c>
      <c r="H1084" s="36" t="str">
        <f t="shared" si="85"/>
        <v/>
      </c>
      <c r="J1084" s="141" t="str">
        <f t="shared" si="82"/>
        <v/>
      </c>
      <c r="K1084" s="141" t="str">
        <f t="shared" si="83"/>
        <v/>
      </c>
      <c r="L1084" s="141" t="str">
        <f t="shared" si="84"/>
        <v/>
      </c>
    </row>
    <row r="1085" spans="1:12" x14ac:dyDescent="0.3">
      <c r="A1085" s="36" t="str">
        <f xml:space="preserve"> IF( 'From SvanPC++'!A1085= "", "", ('From SvanPC++'!A1085))</f>
        <v/>
      </c>
      <c r="C1085" s="47" t="s">
        <v>10</v>
      </c>
      <c r="G1085" s="38" t="str">
        <f t="shared" si="81"/>
        <v/>
      </c>
      <c r="H1085" s="36" t="str">
        <f t="shared" si="85"/>
        <v/>
      </c>
      <c r="J1085" s="141" t="str">
        <f t="shared" si="82"/>
        <v/>
      </c>
      <c r="K1085" s="141" t="str">
        <f t="shared" si="83"/>
        <v/>
      </c>
      <c r="L1085" s="141" t="str">
        <f t="shared" si="84"/>
        <v/>
      </c>
    </row>
    <row r="1086" spans="1:12" x14ac:dyDescent="0.3">
      <c r="A1086" s="36" t="str">
        <f xml:space="preserve"> IF( 'From SvanPC++'!A1086= "", "", ('From SvanPC++'!A1086))</f>
        <v/>
      </c>
      <c r="C1086" s="47" t="s">
        <v>10</v>
      </c>
      <c r="G1086" s="38" t="str">
        <f t="shared" si="81"/>
        <v/>
      </c>
      <c r="H1086" s="36" t="str">
        <f t="shared" si="85"/>
        <v/>
      </c>
      <c r="J1086" s="141" t="str">
        <f t="shared" si="82"/>
        <v/>
      </c>
      <c r="K1086" s="141" t="str">
        <f t="shared" si="83"/>
        <v/>
      </c>
      <c r="L1086" s="141" t="str">
        <f t="shared" si="84"/>
        <v/>
      </c>
    </row>
    <row r="1087" spans="1:12" x14ac:dyDescent="0.3">
      <c r="A1087" s="36" t="str">
        <f xml:space="preserve"> IF( 'From SvanPC++'!A1087= "", "", ('From SvanPC++'!A1087))</f>
        <v/>
      </c>
      <c r="C1087" s="47" t="s">
        <v>10</v>
      </c>
      <c r="G1087" s="38" t="str">
        <f t="shared" si="81"/>
        <v/>
      </c>
      <c r="H1087" s="36" t="str">
        <f t="shared" si="85"/>
        <v/>
      </c>
      <c r="J1087" s="141" t="str">
        <f t="shared" si="82"/>
        <v/>
      </c>
      <c r="K1087" s="141" t="str">
        <f t="shared" si="83"/>
        <v/>
      </c>
      <c r="L1087" s="141" t="str">
        <f t="shared" si="84"/>
        <v/>
      </c>
    </row>
    <row r="1088" spans="1:12" x14ac:dyDescent="0.3">
      <c r="A1088" s="36" t="str">
        <f xml:space="preserve"> IF( 'From SvanPC++'!A1088= "", "", ('From SvanPC++'!A1088))</f>
        <v/>
      </c>
      <c r="C1088" s="47" t="s">
        <v>10</v>
      </c>
      <c r="G1088" s="38" t="str">
        <f t="shared" si="81"/>
        <v/>
      </c>
      <c r="H1088" s="36" t="str">
        <f t="shared" si="85"/>
        <v/>
      </c>
      <c r="J1088" s="141" t="str">
        <f t="shared" si="82"/>
        <v/>
      </c>
      <c r="K1088" s="141" t="str">
        <f t="shared" si="83"/>
        <v/>
      </c>
      <c r="L1088" s="141" t="str">
        <f t="shared" si="84"/>
        <v/>
      </c>
    </row>
    <row r="1089" spans="1:12" x14ac:dyDescent="0.3">
      <c r="A1089" s="36" t="str">
        <f xml:space="preserve"> IF( 'From SvanPC++'!A1089= "", "", ('From SvanPC++'!A1089))</f>
        <v/>
      </c>
      <c r="C1089" s="47" t="s">
        <v>10</v>
      </c>
      <c r="G1089" s="38" t="str">
        <f t="shared" si="81"/>
        <v/>
      </c>
      <c r="H1089" s="36" t="str">
        <f t="shared" si="85"/>
        <v/>
      </c>
      <c r="J1089" s="141" t="str">
        <f t="shared" si="82"/>
        <v/>
      </c>
      <c r="K1089" s="141" t="str">
        <f t="shared" si="83"/>
        <v/>
      </c>
      <c r="L1089" s="141" t="str">
        <f t="shared" si="84"/>
        <v/>
      </c>
    </row>
    <row r="1090" spans="1:12" x14ac:dyDescent="0.3">
      <c r="A1090" s="36" t="str">
        <f xml:space="preserve"> IF( 'From SvanPC++'!A1090= "", "", ('From SvanPC++'!A1090))</f>
        <v/>
      </c>
      <c r="C1090" s="47" t="s">
        <v>10</v>
      </c>
      <c r="G1090" s="38" t="str">
        <f t="shared" si="81"/>
        <v/>
      </c>
      <c r="H1090" s="36" t="str">
        <f t="shared" si="85"/>
        <v/>
      </c>
      <c r="J1090" s="141" t="str">
        <f t="shared" si="82"/>
        <v/>
      </c>
      <c r="K1090" s="141" t="str">
        <f t="shared" si="83"/>
        <v/>
      </c>
      <c r="L1090" s="141" t="str">
        <f t="shared" si="84"/>
        <v/>
      </c>
    </row>
    <row r="1091" spans="1:12" x14ac:dyDescent="0.3">
      <c r="A1091" s="36" t="str">
        <f xml:space="preserve"> IF( 'From SvanPC++'!A1091= "", "", ('From SvanPC++'!A1091))</f>
        <v/>
      </c>
      <c r="C1091" s="47" t="s">
        <v>10</v>
      </c>
      <c r="G1091" s="38" t="str">
        <f t="shared" si="81"/>
        <v/>
      </c>
      <c r="H1091" s="36" t="str">
        <f t="shared" si="85"/>
        <v/>
      </c>
      <c r="J1091" s="141" t="str">
        <f t="shared" si="82"/>
        <v/>
      </c>
      <c r="K1091" s="141" t="str">
        <f t="shared" si="83"/>
        <v/>
      </c>
      <c r="L1091" s="141" t="str">
        <f t="shared" si="84"/>
        <v/>
      </c>
    </row>
    <row r="1092" spans="1:12" x14ac:dyDescent="0.3">
      <c r="A1092" s="36" t="str">
        <f xml:space="preserve"> IF( 'From SvanPC++'!A1092= "", "", ('From SvanPC++'!A1092))</f>
        <v/>
      </c>
      <c r="C1092" s="47" t="s">
        <v>10</v>
      </c>
      <c r="G1092" s="38" t="str">
        <f t="shared" si="81"/>
        <v/>
      </c>
      <c r="H1092" s="36" t="str">
        <f t="shared" si="85"/>
        <v/>
      </c>
      <c r="J1092" s="141" t="str">
        <f t="shared" si="82"/>
        <v/>
      </c>
      <c r="K1092" s="141" t="str">
        <f t="shared" si="83"/>
        <v/>
      </c>
      <c r="L1092" s="141" t="str">
        <f t="shared" si="84"/>
        <v/>
      </c>
    </row>
    <row r="1093" spans="1:12" x14ac:dyDescent="0.3">
      <c r="A1093" s="36" t="str">
        <f xml:space="preserve"> IF( 'From SvanPC++'!A1093= "", "", ('From SvanPC++'!A1093))</f>
        <v/>
      </c>
      <c r="C1093" s="47" t="s">
        <v>10</v>
      </c>
      <c r="G1093" s="38" t="str">
        <f t="shared" si="81"/>
        <v/>
      </c>
      <c r="H1093" s="36" t="str">
        <f t="shared" si="85"/>
        <v/>
      </c>
      <c r="J1093" s="141" t="str">
        <f t="shared" si="82"/>
        <v/>
      </c>
      <c r="K1093" s="141" t="str">
        <f t="shared" si="83"/>
        <v/>
      </c>
      <c r="L1093" s="141" t="str">
        <f t="shared" si="84"/>
        <v/>
      </c>
    </row>
    <row r="1094" spans="1:12" x14ac:dyDescent="0.3">
      <c r="A1094" s="36" t="str">
        <f xml:space="preserve"> IF( 'From SvanPC++'!A1094= "", "", ('From SvanPC++'!A1094))</f>
        <v/>
      </c>
      <c r="C1094" s="47" t="s">
        <v>10</v>
      </c>
      <c r="G1094" s="38" t="str">
        <f t="shared" si="81"/>
        <v/>
      </c>
      <c r="H1094" s="36" t="str">
        <f t="shared" si="85"/>
        <v/>
      </c>
      <c r="J1094" s="141" t="str">
        <f t="shared" si="82"/>
        <v/>
      </c>
      <c r="K1094" s="141" t="str">
        <f t="shared" si="83"/>
        <v/>
      </c>
      <c r="L1094" s="141" t="str">
        <f t="shared" si="84"/>
        <v/>
      </c>
    </row>
    <row r="1095" spans="1:12" x14ac:dyDescent="0.3">
      <c r="A1095" s="36" t="str">
        <f xml:space="preserve"> IF( 'From SvanPC++'!A1095= "", "", ('From SvanPC++'!A1095))</f>
        <v/>
      </c>
      <c r="C1095" s="47" t="s">
        <v>10</v>
      </c>
      <c r="G1095" s="38" t="str">
        <f t="shared" ref="G1095:G1158" si="86" xml:space="preserve"> IF( D1095= "", "", ( IF( AND( D1095 &gt;= TIMEVALUE( "07:00:01" ), D1095 &lt; TIMEVALUE( "08:00:01" ) ) = TRUE, (G1094+1), (G1094+0) )))</f>
        <v/>
      </c>
      <c r="H1095" s="36" t="str">
        <f t="shared" si="85"/>
        <v/>
      </c>
      <c r="J1095" s="141" t="str">
        <f t="shared" si="82"/>
        <v/>
      </c>
      <c r="K1095" s="141" t="str">
        <f t="shared" si="83"/>
        <v/>
      </c>
      <c r="L1095" s="141" t="str">
        <f t="shared" si="84"/>
        <v/>
      </c>
    </row>
    <row r="1096" spans="1:12" x14ac:dyDescent="0.3">
      <c r="A1096" s="36" t="str">
        <f xml:space="preserve"> IF( 'From SvanPC++'!A1096= "", "", ('From SvanPC++'!A1096))</f>
        <v/>
      </c>
      <c r="C1096" s="47" t="s">
        <v>10</v>
      </c>
      <c r="G1096" s="38" t="str">
        <f t="shared" si="86"/>
        <v/>
      </c>
      <c r="H1096" s="36" t="str">
        <f t="shared" si="85"/>
        <v/>
      </c>
      <c r="J1096" s="141" t="str">
        <f t="shared" ref="J1096:J1159" si="87" xml:space="preserve"> IF( ISERROR( IF( D1096= "", "", ( IF( G1096= (G1095+1), ( AVERAGEIFS( E1096:E1240, G1096:G1240, G1096, H1096:H1240, "Day" )), "" )))), "",( IF( D1096= "", "", ( IF( G1096= (G1095+1), ( AVERAGEIFS( E1096:E1240, G1096:G1240, G1096, H1096:H1240, "Day" )), "" )))))</f>
        <v/>
      </c>
      <c r="K1096" s="141" t="str">
        <f t="shared" ref="K1096:K1159" si="88" xml:space="preserve"> IF( ISERROR( IF( D1096= "", "", ( IF( G1096= (G1095+1), ( AVERAGEIFS( E1096:E1240, G1096:G1240, G1096, H1096:H1240, "Evening" )), "" )))), "",( IF( D1096= "", "", ( IF( G1096= (G1095+1), ( AVERAGEIFS( E1096:E1240, G1096:G1240, G1096, H1096:H1240, "Evening" )), "" )))))</f>
        <v/>
      </c>
      <c r="L1096" s="141" t="str">
        <f t="shared" ref="L1096:L1159" si="89" xml:space="preserve"> IF( ISERROR( IF( D1096= "", "", ( IF( G1096= (G1095+1), ( AVERAGEIFS( E1096:E1240, G1096:G1240, G1096, H1096:H1240, "Night" )), "" )))), "",( IF( D1096= "", "", ( IF( G1096= (G1095+1), ( AVERAGEIFS( E1096:E1240, G1096:G1240, G1096, H1096:H1240, "Night" )), "" )))))</f>
        <v/>
      </c>
    </row>
    <row r="1097" spans="1:12" x14ac:dyDescent="0.3">
      <c r="A1097" s="36" t="str">
        <f xml:space="preserve"> IF( 'From SvanPC++'!A1097= "", "", ('From SvanPC++'!A1097))</f>
        <v/>
      </c>
      <c r="C1097" s="47" t="s">
        <v>10</v>
      </c>
      <c r="G1097" s="38" t="str">
        <f t="shared" si="86"/>
        <v/>
      </c>
      <c r="H1097" s="36" t="str">
        <f t="shared" si="85"/>
        <v/>
      </c>
      <c r="J1097" s="141" t="str">
        <f t="shared" si="87"/>
        <v/>
      </c>
      <c r="K1097" s="141" t="str">
        <f t="shared" si="88"/>
        <v/>
      </c>
      <c r="L1097" s="141" t="str">
        <f t="shared" si="89"/>
        <v/>
      </c>
    </row>
    <row r="1098" spans="1:12" x14ac:dyDescent="0.3">
      <c r="A1098" s="36" t="str">
        <f xml:space="preserve"> IF( 'From SvanPC++'!A1098= "", "", ('From SvanPC++'!A1098))</f>
        <v/>
      </c>
      <c r="C1098" s="47" t="s">
        <v>10</v>
      </c>
      <c r="G1098" s="38" t="str">
        <f t="shared" si="86"/>
        <v/>
      </c>
      <c r="H1098" s="36" t="str">
        <f t="shared" si="85"/>
        <v/>
      </c>
      <c r="J1098" s="141" t="str">
        <f t="shared" si="87"/>
        <v/>
      </c>
      <c r="K1098" s="141" t="str">
        <f t="shared" si="88"/>
        <v/>
      </c>
      <c r="L1098" s="141" t="str">
        <f t="shared" si="89"/>
        <v/>
      </c>
    </row>
    <row r="1099" spans="1:12" x14ac:dyDescent="0.3">
      <c r="A1099" s="36" t="str">
        <f xml:space="preserve"> IF( 'From SvanPC++'!A1099= "", "", ('From SvanPC++'!A1099))</f>
        <v/>
      </c>
      <c r="C1099" s="47" t="s">
        <v>10</v>
      </c>
      <c r="G1099" s="38" t="str">
        <f t="shared" si="86"/>
        <v/>
      </c>
      <c r="H1099" s="36" t="str">
        <f t="shared" si="85"/>
        <v/>
      </c>
      <c r="J1099" s="141" t="str">
        <f t="shared" si="87"/>
        <v/>
      </c>
      <c r="K1099" s="141" t="str">
        <f t="shared" si="88"/>
        <v/>
      </c>
      <c r="L1099" s="141" t="str">
        <f t="shared" si="89"/>
        <v/>
      </c>
    </row>
    <row r="1100" spans="1:12" x14ac:dyDescent="0.3">
      <c r="A1100" s="36" t="str">
        <f xml:space="preserve"> IF( 'From SvanPC++'!A1100= "", "", ('From SvanPC++'!A1100))</f>
        <v/>
      </c>
      <c r="C1100" s="47" t="s">
        <v>10</v>
      </c>
      <c r="G1100" s="38" t="str">
        <f t="shared" si="86"/>
        <v/>
      </c>
      <c r="H1100" s="36" t="str">
        <f t="shared" si="85"/>
        <v/>
      </c>
      <c r="J1100" s="141" t="str">
        <f t="shared" si="87"/>
        <v/>
      </c>
      <c r="K1100" s="141" t="str">
        <f t="shared" si="88"/>
        <v/>
      </c>
      <c r="L1100" s="141" t="str">
        <f t="shared" si="89"/>
        <v/>
      </c>
    </row>
    <row r="1101" spans="1:12" x14ac:dyDescent="0.3">
      <c r="A1101" s="36" t="str">
        <f xml:space="preserve"> IF( 'From SvanPC++'!A1101= "", "", ('From SvanPC++'!A1101))</f>
        <v/>
      </c>
      <c r="C1101" s="47" t="s">
        <v>10</v>
      </c>
      <c r="G1101" s="38" t="str">
        <f t="shared" si="86"/>
        <v/>
      </c>
      <c r="H1101" s="36" t="str">
        <f t="shared" si="85"/>
        <v/>
      </c>
      <c r="J1101" s="141" t="str">
        <f t="shared" si="87"/>
        <v/>
      </c>
      <c r="K1101" s="141" t="str">
        <f t="shared" si="88"/>
        <v/>
      </c>
      <c r="L1101" s="141" t="str">
        <f t="shared" si="89"/>
        <v/>
      </c>
    </row>
    <row r="1102" spans="1:12" x14ac:dyDescent="0.3">
      <c r="A1102" s="36" t="str">
        <f xml:space="preserve"> IF( 'From SvanPC++'!A1102= "", "", ('From SvanPC++'!A1102))</f>
        <v/>
      </c>
      <c r="C1102" s="47" t="s">
        <v>10</v>
      </c>
      <c r="G1102" s="38" t="str">
        <f t="shared" si="86"/>
        <v/>
      </c>
      <c r="H1102" s="36" t="str">
        <f t="shared" si="85"/>
        <v/>
      </c>
      <c r="J1102" s="141" t="str">
        <f t="shared" si="87"/>
        <v/>
      </c>
      <c r="K1102" s="141" t="str">
        <f t="shared" si="88"/>
        <v/>
      </c>
      <c r="L1102" s="141" t="str">
        <f t="shared" si="89"/>
        <v/>
      </c>
    </row>
    <row r="1103" spans="1:12" x14ac:dyDescent="0.3">
      <c r="A1103" s="36" t="str">
        <f xml:space="preserve"> IF( 'From SvanPC++'!A1103= "", "", ('From SvanPC++'!A1103))</f>
        <v/>
      </c>
      <c r="C1103" s="47" t="s">
        <v>10</v>
      </c>
      <c r="G1103" s="38" t="str">
        <f t="shared" si="86"/>
        <v/>
      </c>
      <c r="H1103" s="36" t="str">
        <f t="shared" si="85"/>
        <v/>
      </c>
      <c r="J1103" s="141" t="str">
        <f t="shared" si="87"/>
        <v/>
      </c>
      <c r="K1103" s="141" t="str">
        <f t="shared" si="88"/>
        <v/>
      </c>
      <c r="L1103" s="141" t="str">
        <f t="shared" si="89"/>
        <v/>
      </c>
    </row>
    <row r="1104" spans="1:12" x14ac:dyDescent="0.3">
      <c r="A1104" s="36" t="str">
        <f xml:space="preserve"> IF( 'From SvanPC++'!A1104= "", "", ('From SvanPC++'!A1104))</f>
        <v/>
      </c>
      <c r="C1104" s="47" t="s">
        <v>10</v>
      </c>
      <c r="G1104" s="38" t="str">
        <f t="shared" si="86"/>
        <v/>
      </c>
      <c r="H1104" s="36" t="str">
        <f t="shared" si="85"/>
        <v/>
      </c>
      <c r="J1104" s="141" t="str">
        <f t="shared" si="87"/>
        <v/>
      </c>
      <c r="K1104" s="141" t="str">
        <f t="shared" si="88"/>
        <v/>
      </c>
      <c r="L1104" s="141" t="str">
        <f t="shared" si="89"/>
        <v/>
      </c>
    </row>
    <row r="1105" spans="1:12" x14ac:dyDescent="0.3">
      <c r="A1105" s="36" t="str">
        <f xml:space="preserve"> IF( 'From SvanPC++'!A1105= "", "", ('From SvanPC++'!A1105))</f>
        <v/>
      </c>
      <c r="C1105" s="47" t="s">
        <v>10</v>
      </c>
      <c r="G1105" s="38" t="str">
        <f t="shared" si="86"/>
        <v/>
      </c>
      <c r="H1105" s="36" t="str">
        <f t="shared" si="85"/>
        <v/>
      </c>
      <c r="J1105" s="141" t="str">
        <f t="shared" si="87"/>
        <v/>
      </c>
      <c r="K1105" s="141" t="str">
        <f t="shared" si="88"/>
        <v/>
      </c>
      <c r="L1105" s="141" t="str">
        <f t="shared" si="89"/>
        <v/>
      </c>
    </row>
    <row r="1106" spans="1:12" x14ac:dyDescent="0.3">
      <c r="A1106" s="36" t="str">
        <f xml:space="preserve"> IF( 'From SvanPC++'!A1106= "", "", ('From SvanPC++'!A1106))</f>
        <v/>
      </c>
      <c r="C1106" s="47" t="s">
        <v>10</v>
      </c>
      <c r="G1106" s="38" t="str">
        <f t="shared" si="86"/>
        <v/>
      </c>
      <c r="H1106" s="36" t="str">
        <f t="shared" si="85"/>
        <v/>
      </c>
      <c r="J1106" s="141" t="str">
        <f t="shared" si="87"/>
        <v/>
      </c>
      <c r="K1106" s="141" t="str">
        <f t="shared" si="88"/>
        <v/>
      </c>
      <c r="L1106" s="141" t="str">
        <f t="shared" si="89"/>
        <v/>
      </c>
    </row>
    <row r="1107" spans="1:12" x14ac:dyDescent="0.3">
      <c r="A1107" s="36" t="str">
        <f xml:space="preserve"> IF( 'From SvanPC++'!A1107= "", "", ('From SvanPC++'!A1107))</f>
        <v/>
      </c>
      <c r="C1107" s="47" t="s">
        <v>10</v>
      </c>
      <c r="G1107" s="38" t="str">
        <f t="shared" si="86"/>
        <v/>
      </c>
      <c r="H1107" s="36" t="str">
        <f t="shared" si="85"/>
        <v/>
      </c>
      <c r="J1107" s="141" t="str">
        <f t="shared" si="87"/>
        <v/>
      </c>
      <c r="K1107" s="141" t="str">
        <f t="shared" si="88"/>
        <v/>
      </c>
      <c r="L1107" s="141" t="str">
        <f t="shared" si="89"/>
        <v/>
      </c>
    </row>
    <row r="1108" spans="1:12" x14ac:dyDescent="0.3">
      <c r="A1108" s="36" t="str">
        <f xml:space="preserve"> IF( 'From SvanPC++'!A1108= "", "", ('From SvanPC++'!A1108))</f>
        <v/>
      </c>
      <c r="C1108" s="47" t="s">
        <v>10</v>
      </c>
      <c r="G1108" s="38" t="str">
        <f t="shared" si="86"/>
        <v/>
      </c>
      <c r="H1108" s="36" t="str">
        <f t="shared" si="85"/>
        <v/>
      </c>
      <c r="J1108" s="141" t="str">
        <f t="shared" si="87"/>
        <v/>
      </c>
      <c r="K1108" s="141" t="str">
        <f t="shared" si="88"/>
        <v/>
      </c>
      <c r="L1108" s="141" t="str">
        <f t="shared" si="89"/>
        <v/>
      </c>
    </row>
    <row r="1109" spans="1:12" x14ac:dyDescent="0.3">
      <c r="A1109" s="36" t="str">
        <f xml:space="preserve"> IF( 'From SvanPC++'!A1109= "", "", ('From SvanPC++'!A1109))</f>
        <v/>
      </c>
      <c r="C1109" s="47" t="s">
        <v>10</v>
      </c>
      <c r="G1109" s="38" t="str">
        <f t="shared" si="86"/>
        <v/>
      </c>
      <c r="H1109" s="36" t="str">
        <f t="shared" si="85"/>
        <v/>
      </c>
      <c r="J1109" s="141" t="str">
        <f t="shared" si="87"/>
        <v/>
      </c>
      <c r="K1109" s="141" t="str">
        <f t="shared" si="88"/>
        <v/>
      </c>
      <c r="L1109" s="141" t="str">
        <f t="shared" si="89"/>
        <v/>
      </c>
    </row>
    <row r="1110" spans="1:12" x14ac:dyDescent="0.3">
      <c r="A1110" s="36" t="str">
        <f xml:space="preserve"> IF( 'From SvanPC++'!A1110= "", "", ('From SvanPC++'!A1110))</f>
        <v/>
      </c>
      <c r="C1110" s="47" t="s">
        <v>10</v>
      </c>
      <c r="G1110" s="38" t="str">
        <f t="shared" si="86"/>
        <v/>
      </c>
      <c r="H1110" s="36" t="str">
        <f t="shared" si="85"/>
        <v/>
      </c>
      <c r="J1110" s="141" t="str">
        <f t="shared" si="87"/>
        <v/>
      </c>
      <c r="K1110" s="141" t="str">
        <f t="shared" si="88"/>
        <v/>
      </c>
      <c r="L1110" s="141" t="str">
        <f t="shared" si="89"/>
        <v/>
      </c>
    </row>
    <row r="1111" spans="1:12" x14ac:dyDescent="0.3">
      <c r="A1111" s="36" t="str">
        <f xml:space="preserve"> IF( 'From SvanPC++'!A1111= "", "", ('From SvanPC++'!A1111))</f>
        <v/>
      </c>
      <c r="C1111" s="47" t="s">
        <v>10</v>
      </c>
      <c r="G1111" s="38" t="str">
        <f t="shared" si="86"/>
        <v/>
      </c>
      <c r="H1111" s="36" t="str">
        <f t="shared" ref="H1111:H1174" si="90" xml:space="preserve"> IF( D1111= "", "", ( IF( AND( D1111 &gt;= TIMEVALUE( "07:00:01" ), D1111 &lt;= TIMEVALUE( "13:00:00" ), WEEKDAY( C1111) =(7+N("Lines 2-17 = saturday day period")) ) = TRUE, "Day",
IF( AND( D1111 &gt;= TIMEVALUE( "07:00:01" ), D1111 &lt;= TIMEVALUE( "18:00:00" ), WEEKDAY( C1111,1+N("Lines 19-38 = weekday day period")) &gt;=2, ( WEEKDAY( C1111,1) &lt;=6) ) = TRUE, "Day",
IF( AND( D1111 &gt;= TIMEVALUE( "13:00:01" ), D1111 &lt;= TIMEVALUE( "22:00:00" ), WEEKDAY( C1111) =(7+N("Lines 40-56 = saturday evening period")) ) = TRUE, "Evening",
IF( AND( D1111 &gt;= TIMEVALUE( "18:00:01" ), D1111 &lt;= TIMEVALUE( "22:00:00" ), WEEKDAY( C1111,1+N("Lines 57-77 = weekday evening period")) &gt;=2, ( WEEKDAY( C1111,1) &lt;=6) ) = TRUE, "Evening",
IF( AND( D1111 &gt;= TIMEVALUE( "07:00:01" ), D1111 &lt;= TIMEVALUE( "22:00:00" ), WEEKDAY( C1111) =(1+N("Lines 78-94 = sunday evening period")) ) = TRUE, "Evening",
IF( AND( D1111 &gt;= TIMEVALUE( "22:00:01" ), D1111 &lt;= TIMEVALUE( "23:59:59" ), WEEKDAY( C1111) =(7+N("Lines 95-111 = saturday night1 period")) ) = TRUE, "Night",
IF( AND( D1111 &gt;= TIMEVALUE( "00:00:00" ), D1111 &lt;= TIMEVALUE( "07:00:00" ), WEEKDAY( C1111) =(7+N("Lines 112-128 = saturday night2 period")) ) = TRUE, "Night",
IF( AND( D1111 &gt;= TIMEVALUE( "22:00:01" ), D1111 &lt;= TIMEVALUE( "23:59:59" ), WEEKDAY( C1111,1+N("Lines 129-149 = weekday night1 period")) &gt;=2, ( WEEKDAY( C1111,1) &lt;=6) ) = TRUE, "Night",
IF( AND( D1111 &gt;= TIMEVALUE( "00:00:00" ), D1111 &lt;= TIMEVALUE( "07:00:00" ), WEEKDAY( C1111,1+N("Lines 150-170 = weekday night2 period")) &gt;=2, ( WEEKDAY( C1111,1) &lt;=6) ) = TRUE, "Night",
IF( AND( D1111 &gt;= TIMEVALUE( "20:00:01" ), D1111 &lt;= TIMEVALUE( "23:59:59" ), WEEKDAY( C1111) =(1+N("Lines 171-187 = sunday night1 period")) ) = TRUE, "Night",
IF( AND( D1111 &gt;= TIMEVALUE( "00:00:00" ), D1111 &lt;= TIMEVALUE( "07:00:00" ), WEEKDAY( C1111) =(1+N("Lines 188-204 = sunday night2 period")) ) = TRUE, "Night", )))))))))))))</f>
        <v/>
      </c>
      <c r="J1111" s="141" t="str">
        <f t="shared" si="87"/>
        <v/>
      </c>
      <c r="K1111" s="141" t="str">
        <f t="shared" si="88"/>
        <v/>
      </c>
      <c r="L1111" s="141" t="str">
        <f t="shared" si="89"/>
        <v/>
      </c>
    </row>
    <row r="1112" spans="1:12" x14ac:dyDescent="0.3">
      <c r="A1112" s="36" t="str">
        <f xml:space="preserve"> IF( 'From SvanPC++'!A1112= "", "", ('From SvanPC++'!A1112))</f>
        <v/>
      </c>
      <c r="C1112" s="47" t="s">
        <v>10</v>
      </c>
      <c r="G1112" s="38" t="str">
        <f t="shared" si="86"/>
        <v/>
      </c>
      <c r="H1112" s="36" t="str">
        <f t="shared" si="90"/>
        <v/>
      </c>
      <c r="J1112" s="141" t="str">
        <f t="shared" si="87"/>
        <v/>
      </c>
      <c r="K1112" s="141" t="str">
        <f t="shared" si="88"/>
        <v/>
      </c>
      <c r="L1112" s="141" t="str">
        <f t="shared" si="89"/>
        <v/>
      </c>
    </row>
    <row r="1113" spans="1:12" x14ac:dyDescent="0.3">
      <c r="A1113" s="36" t="str">
        <f xml:space="preserve"> IF( 'From SvanPC++'!A1113= "", "", ('From SvanPC++'!A1113))</f>
        <v/>
      </c>
      <c r="C1113" s="47" t="s">
        <v>10</v>
      </c>
      <c r="G1113" s="38" t="str">
        <f t="shared" si="86"/>
        <v/>
      </c>
      <c r="H1113" s="36" t="str">
        <f t="shared" si="90"/>
        <v/>
      </c>
      <c r="J1113" s="141" t="str">
        <f t="shared" si="87"/>
        <v/>
      </c>
      <c r="K1113" s="141" t="str">
        <f t="shared" si="88"/>
        <v/>
      </c>
      <c r="L1113" s="141" t="str">
        <f t="shared" si="89"/>
        <v/>
      </c>
    </row>
    <row r="1114" spans="1:12" x14ac:dyDescent="0.3">
      <c r="A1114" s="36" t="str">
        <f xml:space="preserve"> IF( 'From SvanPC++'!A1114= "", "", ('From SvanPC++'!A1114))</f>
        <v/>
      </c>
      <c r="C1114" s="47" t="s">
        <v>10</v>
      </c>
      <c r="G1114" s="38" t="str">
        <f t="shared" si="86"/>
        <v/>
      </c>
      <c r="H1114" s="36" t="str">
        <f t="shared" si="90"/>
        <v/>
      </c>
      <c r="J1114" s="141" t="str">
        <f t="shared" si="87"/>
        <v/>
      </c>
      <c r="K1114" s="141" t="str">
        <f t="shared" si="88"/>
        <v/>
      </c>
      <c r="L1114" s="141" t="str">
        <f t="shared" si="89"/>
        <v/>
      </c>
    </row>
    <row r="1115" spans="1:12" x14ac:dyDescent="0.3">
      <c r="A1115" s="36" t="str">
        <f xml:space="preserve"> IF( 'From SvanPC++'!A1115= "", "", ('From SvanPC++'!A1115))</f>
        <v/>
      </c>
      <c r="C1115" s="47" t="s">
        <v>10</v>
      </c>
      <c r="G1115" s="38" t="str">
        <f t="shared" si="86"/>
        <v/>
      </c>
      <c r="H1115" s="36" t="str">
        <f t="shared" si="90"/>
        <v/>
      </c>
      <c r="J1115" s="141" t="str">
        <f t="shared" si="87"/>
        <v/>
      </c>
      <c r="K1115" s="141" t="str">
        <f t="shared" si="88"/>
        <v/>
      </c>
      <c r="L1115" s="141" t="str">
        <f t="shared" si="89"/>
        <v/>
      </c>
    </row>
    <row r="1116" spans="1:12" x14ac:dyDescent="0.3">
      <c r="A1116" s="36" t="str">
        <f xml:space="preserve"> IF( 'From SvanPC++'!A1116= "", "", ('From SvanPC++'!A1116))</f>
        <v/>
      </c>
      <c r="C1116" s="47" t="s">
        <v>10</v>
      </c>
      <c r="G1116" s="38" t="str">
        <f t="shared" si="86"/>
        <v/>
      </c>
      <c r="H1116" s="36" t="str">
        <f t="shared" si="90"/>
        <v/>
      </c>
      <c r="J1116" s="141" t="str">
        <f t="shared" si="87"/>
        <v/>
      </c>
      <c r="K1116" s="141" t="str">
        <f t="shared" si="88"/>
        <v/>
      </c>
      <c r="L1116" s="141" t="str">
        <f t="shared" si="89"/>
        <v/>
      </c>
    </row>
    <row r="1117" spans="1:12" x14ac:dyDescent="0.3">
      <c r="A1117" s="36" t="str">
        <f xml:space="preserve"> IF( 'From SvanPC++'!A1117= "", "", ('From SvanPC++'!A1117))</f>
        <v/>
      </c>
      <c r="C1117" s="47" t="s">
        <v>10</v>
      </c>
      <c r="G1117" s="38" t="str">
        <f t="shared" si="86"/>
        <v/>
      </c>
      <c r="H1117" s="36" t="str">
        <f t="shared" si="90"/>
        <v/>
      </c>
      <c r="J1117" s="141" t="str">
        <f t="shared" si="87"/>
        <v/>
      </c>
      <c r="K1117" s="141" t="str">
        <f t="shared" si="88"/>
        <v/>
      </c>
      <c r="L1117" s="141" t="str">
        <f t="shared" si="89"/>
        <v/>
      </c>
    </row>
    <row r="1118" spans="1:12" x14ac:dyDescent="0.3">
      <c r="A1118" s="36" t="str">
        <f xml:space="preserve"> IF( 'From SvanPC++'!A1118= "", "", ('From SvanPC++'!A1118))</f>
        <v/>
      </c>
      <c r="C1118" s="47" t="s">
        <v>10</v>
      </c>
      <c r="G1118" s="38" t="str">
        <f t="shared" si="86"/>
        <v/>
      </c>
      <c r="H1118" s="36" t="str">
        <f t="shared" si="90"/>
        <v/>
      </c>
      <c r="J1118" s="141" t="str">
        <f t="shared" si="87"/>
        <v/>
      </c>
      <c r="K1118" s="141" t="str">
        <f t="shared" si="88"/>
        <v/>
      </c>
      <c r="L1118" s="141" t="str">
        <f t="shared" si="89"/>
        <v/>
      </c>
    </row>
    <row r="1119" spans="1:12" x14ac:dyDescent="0.3">
      <c r="A1119" s="36" t="str">
        <f xml:space="preserve"> IF( 'From SvanPC++'!A1119= "", "", ('From SvanPC++'!A1119))</f>
        <v/>
      </c>
      <c r="C1119" s="47" t="s">
        <v>10</v>
      </c>
      <c r="G1119" s="38" t="str">
        <f t="shared" si="86"/>
        <v/>
      </c>
      <c r="H1119" s="36" t="str">
        <f t="shared" si="90"/>
        <v/>
      </c>
      <c r="J1119" s="141" t="str">
        <f t="shared" si="87"/>
        <v/>
      </c>
      <c r="K1119" s="141" t="str">
        <f t="shared" si="88"/>
        <v/>
      </c>
      <c r="L1119" s="141" t="str">
        <f t="shared" si="89"/>
        <v/>
      </c>
    </row>
    <row r="1120" spans="1:12" x14ac:dyDescent="0.3">
      <c r="A1120" s="36" t="str">
        <f xml:space="preserve"> IF( 'From SvanPC++'!A1120= "", "", ('From SvanPC++'!A1120))</f>
        <v/>
      </c>
      <c r="C1120" s="47" t="s">
        <v>10</v>
      </c>
      <c r="G1120" s="38" t="str">
        <f t="shared" si="86"/>
        <v/>
      </c>
      <c r="H1120" s="36" t="str">
        <f t="shared" si="90"/>
        <v/>
      </c>
      <c r="J1120" s="141" t="str">
        <f t="shared" si="87"/>
        <v/>
      </c>
      <c r="K1120" s="141" t="str">
        <f t="shared" si="88"/>
        <v/>
      </c>
      <c r="L1120" s="141" t="str">
        <f t="shared" si="89"/>
        <v/>
      </c>
    </row>
    <row r="1121" spans="1:12" x14ac:dyDescent="0.3">
      <c r="A1121" s="36" t="str">
        <f xml:space="preserve"> IF( 'From SvanPC++'!A1121= "", "", ('From SvanPC++'!A1121))</f>
        <v/>
      </c>
      <c r="C1121" s="47" t="s">
        <v>10</v>
      </c>
      <c r="G1121" s="38" t="str">
        <f t="shared" si="86"/>
        <v/>
      </c>
      <c r="H1121" s="36" t="str">
        <f t="shared" si="90"/>
        <v/>
      </c>
      <c r="J1121" s="141" t="str">
        <f t="shared" si="87"/>
        <v/>
      </c>
      <c r="K1121" s="141" t="str">
        <f t="shared" si="88"/>
        <v/>
      </c>
      <c r="L1121" s="141" t="str">
        <f t="shared" si="89"/>
        <v/>
      </c>
    </row>
    <row r="1122" spans="1:12" x14ac:dyDescent="0.3">
      <c r="A1122" s="36" t="str">
        <f xml:space="preserve"> IF( 'From SvanPC++'!A1122= "", "", ('From SvanPC++'!A1122))</f>
        <v/>
      </c>
      <c r="C1122" s="47" t="s">
        <v>10</v>
      </c>
      <c r="G1122" s="38" t="str">
        <f t="shared" si="86"/>
        <v/>
      </c>
      <c r="H1122" s="36" t="str">
        <f t="shared" si="90"/>
        <v/>
      </c>
      <c r="J1122" s="141" t="str">
        <f t="shared" si="87"/>
        <v/>
      </c>
      <c r="K1122" s="141" t="str">
        <f t="shared" si="88"/>
        <v/>
      </c>
      <c r="L1122" s="141" t="str">
        <f t="shared" si="89"/>
        <v/>
      </c>
    </row>
    <row r="1123" spans="1:12" x14ac:dyDescent="0.3">
      <c r="A1123" s="36" t="str">
        <f xml:space="preserve"> IF( 'From SvanPC++'!A1123= "", "", ('From SvanPC++'!A1123))</f>
        <v/>
      </c>
      <c r="C1123" s="47" t="s">
        <v>10</v>
      </c>
      <c r="G1123" s="38" t="str">
        <f t="shared" si="86"/>
        <v/>
      </c>
      <c r="H1123" s="36" t="str">
        <f t="shared" si="90"/>
        <v/>
      </c>
      <c r="J1123" s="141" t="str">
        <f t="shared" si="87"/>
        <v/>
      </c>
      <c r="K1123" s="141" t="str">
        <f t="shared" si="88"/>
        <v/>
      </c>
      <c r="L1123" s="141" t="str">
        <f t="shared" si="89"/>
        <v/>
      </c>
    </row>
    <row r="1124" spans="1:12" x14ac:dyDescent="0.3">
      <c r="A1124" s="36" t="str">
        <f xml:space="preserve"> IF( 'From SvanPC++'!A1124= "", "", ('From SvanPC++'!A1124))</f>
        <v/>
      </c>
      <c r="C1124" s="47" t="s">
        <v>10</v>
      </c>
      <c r="G1124" s="38" t="str">
        <f t="shared" si="86"/>
        <v/>
      </c>
      <c r="H1124" s="36" t="str">
        <f t="shared" si="90"/>
        <v/>
      </c>
      <c r="J1124" s="141" t="str">
        <f t="shared" si="87"/>
        <v/>
      </c>
      <c r="K1124" s="141" t="str">
        <f t="shared" si="88"/>
        <v/>
      </c>
      <c r="L1124" s="141" t="str">
        <f t="shared" si="89"/>
        <v/>
      </c>
    </row>
    <row r="1125" spans="1:12" x14ac:dyDescent="0.3">
      <c r="A1125" s="36" t="str">
        <f xml:space="preserve"> IF( 'From SvanPC++'!A1125= "", "", ('From SvanPC++'!A1125))</f>
        <v/>
      </c>
      <c r="C1125" s="47" t="s">
        <v>10</v>
      </c>
      <c r="G1125" s="38" t="str">
        <f t="shared" si="86"/>
        <v/>
      </c>
      <c r="H1125" s="36" t="str">
        <f t="shared" si="90"/>
        <v/>
      </c>
      <c r="J1125" s="141" t="str">
        <f t="shared" si="87"/>
        <v/>
      </c>
      <c r="K1125" s="141" t="str">
        <f t="shared" si="88"/>
        <v/>
      </c>
      <c r="L1125" s="141" t="str">
        <f t="shared" si="89"/>
        <v/>
      </c>
    </row>
    <row r="1126" spans="1:12" x14ac:dyDescent="0.3">
      <c r="A1126" s="36" t="str">
        <f xml:space="preserve"> IF( 'From SvanPC++'!A1126= "", "", ('From SvanPC++'!A1126))</f>
        <v/>
      </c>
      <c r="C1126" s="47" t="s">
        <v>10</v>
      </c>
      <c r="G1126" s="38" t="str">
        <f t="shared" si="86"/>
        <v/>
      </c>
      <c r="H1126" s="36" t="str">
        <f t="shared" si="90"/>
        <v/>
      </c>
      <c r="J1126" s="141" t="str">
        <f t="shared" si="87"/>
        <v/>
      </c>
      <c r="K1126" s="141" t="str">
        <f t="shared" si="88"/>
        <v/>
      </c>
      <c r="L1126" s="141" t="str">
        <f t="shared" si="89"/>
        <v/>
      </c>
    </row>
    <row r="1127" spans="1:12" x14ac:dyDescent="0.3">
      <c r="A1127" s="36" t="str">
        <f xml:space="preserve"> IF( 'From SvanPC++'!A1127= "", "", ('From SvanPC++'!A1127))</f>
        <v/>
      </c>
      <c r="C1127" s="47" t="s">
        <v>10</v>
      </c>
      <c r="G1127" s="38" t="str">
        <f t="shared" si="86"/>
        <v/>
      </c>
      <c r="H1127" s="36" t="str">
        <f t="shared" si="90"/>
        <v/>
      </c>
      <c r="J1127" s="141" t="str">
        <f t="shared" si="87"/>
        <v/>
      </c>
      <c r="K1127" s="141" t="str">
        <f t="shared" si="88"/>
        <v/>
      </c>
      <c r="L1127" s="141" t="str">
        <f t="shared" si="89"/>
        <v/>
      </c>
    </row>
    <row r="1128" spans="1:12" x14ac:dyDescent="0.3">
      <c r="A1128" s="36" t="str">
        <f xml:space="preserve"> IF( 'From SvanPC++'!A1128= "", "", ('From SvanPC++'!A1128))</f>
        <v/>
      </c>
      <c r="C1128" s="47" t="s">
        <v>10</v>
      </c>
      <c r="G1128" s="38" t="str">
        <f t="shared" si="86"/>
        <v/>
      </c>
      <c r="H1128" s="36" t="str">
        <f t="shared" si="90"/>
        <v/>
      </c>
      <c r="J1128" s="141" t="str">
        <f t="shared" si="87"/>
        <v/>
      </c>
      <c r="K1128" s="141" t="str">
        <f t="shared" si="88"/>
        <v/>
      </c>
      <c r="L1128" s="141" t="str">
        <f t="shared" si="89"/>
        <v/>
      </c>
    </row>
    <row r="1129" spans="1:12" x14ac:dyDescent="0.3">
      <c r="A1129" s="36" t="str">
        <f xml:space="preserve"> IF( 'From SvanPC++'!A1129= "", "", ('From SvanPC++'!A1129))</f>
        <v/>
      </c>
      <c r="C1129" s="47" t="s">
        <v>10</v>
      </c>
      <c r="G1129" s="38" t="str">
        <f t="shared" si="86"/>
        <v/>
      </c>
      <c r="H1129" s="36" t="str">
        <f t="shared" si="90"/>
        <v/>
      </c>
      <c r="J1129" s="141" t="str">
        <f t="shared" si="87"/>
        <v/>
      </c>
      <c r="K1129" s="141" t="str">
        <f t="shared" si="88"/>
        <v/>
      </c>
      <c r="L1129" s="141" t="str">
        <f t="shared" si="89"/>
        <v/>
      </c>
    </row>
    <row r="1130" spans="1:12" x14ac:dyDescent="0.3">
      <c r="A1130" s="36" t="str">
        <f xml:space="preserve"> IF( 'From SvanPC++'!A1130= "", "", ('From SvanPC++'!A1130))</f>
        <v/>
      </c>
      <c r="C1130" s="47" t="s">
        <v>10</v>
      </c>
      <c r="G1130" s="38" t="str">
        <f t="shared" si="86"/>
        <v/>
      </c>
      <c r="H1130" s="36" t="str">
        <f t="shared" si="90"/>
        <v/>
      </c>
      <c r="J1130" s="141" t="str">
        <f t="shared" si="87"/>
        <v/>
      </c>
      <c r="K1130" s="141" t="str">
        <f t="shared" si="88"/>
        <v/>
      </c>
      <c r="L1130" s="141" t="str">
        <f t="shared" si="89"/>
        <v/>
      </c>
    </row>
    <row r="1131" spans="1:12" x14ac:dyDescent="0.3">
      <c r="A1131" s="36" t="str">
        <f xml:space="preserve"> IF( 'From SvanPC++'!A1131= "", "", ('From SvanPC++'!A1131))</f>
        <v/>
      </c>
      <c r="C1131" s="47" t="s">
        <v>10</v>
      </c>
      <c r="G1131" s="38" t="str">
        <f t="shared" si="86"/>
        <v/>
      </c>
      <c r="H1131" s="36" t="str">
        <f t="shared" si="90"/>
        <v/>
      </c>
      <c r="J1131" s="141" t="str">
        <f t="shared" si="87"/>
        <v/>
      </c>
      <c r="K1131" s="141" t="str">
        <f t="shared" si="88"/>
        <v/>
      </c>
      <c r="L1131" s="141" t="str">
        <f t="shared" si="89"/>
        <v/>
      </c>
    </row>
    <row r="1132" spans="1:12" x14ac:dyDescent="0.3">
      <c r="A1132" s="36" t="str">
        <f xml:space="preserve"> IF( 'From SvanPC++'!A1132= "", "", ('From SvanPC++'!A1132))</f>
        <v/>
      </c>
      <c r="C1132" s="47" t="s">
        <v>10</v>
      </c>
      <c r="G1132" s="38" t="str">
        <f t="shared" si="86"/>
        <v/>
      </c>
      <c r="H1132" s="36" t="str">
        <f t="shared" si="90"/>
        <v/>
      </c>
      <c r="J1132" s="141" t="str">
        <f t="shared" si="87"/>
        <v/>
      </c>
      <c r="K1132" s="141" t="str">
        <f t="shared" si="88"/>
        <v/>
      </c>
      <c r="L1132" s="141" t="str">
        <f t="shared" si="89"/>
        <v/>
      </c>
    </row>
    <row r="1133" spans="1:12" x14ac:dyDescent="0.3">
      <c r="A1133" s="36" t="str">
        <f xml:space="preserve"> IF( 'From SvanPC++'!A1133= "", "", ('From SvanPC++'!A1133))</f>
        <v/>
      </c>
      <c r="C1133" s="47" t="s">
        <v>10</v>
      </c>
      <c r="G1133" s="38" t="str">
        <f t="shared" si="86"/>
        <v/>
      </c>
      <c r="H1133" s="36" t="str">
        <f t="shared" si="90"/>
        <v/>
      </c>
      <c r="J1133" s="141" t="str">
        <f t="shared" si="87"/>
        <v/>
      </c>
      <c r="K1133" s="141" t="str">
        <f t="shared" si="88"/>
        <v/>
      </c>
      <c r="L1133" s="141" t="str">
        <f t="shared" si="89"/>
        <v/>
      </c>
    </row>
    <row r="1134" spans="1:12" x14ac:dyDescent="0.3">
      <c r="A1134" s="36" t="str">
        <f xml:space="preserve"> IF( 'From SvanPC++'!A1134= "", "", ('From SvanPC++'!A1134))</f>
        <v/>
      </c>
      <c r="C1134" s="47" t="s">
        <v>10</v>
      </c>
      <c r="G1134" s="38" t="str">
        <f t="shared" si="86"/>
        <v/>
      </c>
      <c r="H1134" s="36" t="str">
        <f t="shared" si="90"/>
        <v/>
      </c>
      <c r="J1134" s="141" t="str">
        <f t="shared" si="87"/>
        <v/>
      </c>
      <c r="K1134" s="141" t="str">
        <f t="shared" si="88"/>
        <v/>
      </c>
      <c r="L1134" s="141" t="str">
        <f t="shared" si="89"/>
        <v/>
      </c>
    </row>
    <row r="1135" spans="1:12" x14ac:dyDescent="0.3">
      <c r="A1135" s="36" t="str">
        <f xml:space="preserve"> IF( 'From SvanPC++'!A1135= "", "", ('From SvanPC++'!A1135))</f>
        <v/>
      </c>
      <c r="C1135" s="47" t="s">
        <v>10</v>
      </c>
      <c r="G1135" s="38" t="str">
        <f t="shared" si="86"/>
        <v/>
      </c>
      <c r="H1135" s="36" t="str">
        <f t="shared" si="90"/>
        <v/>
      </c>
      <c r="J1135" s="141" t="str">
        <f t="shared" si="87"/>
        <v/>
      </c>
      <c r="K1135" s="141" t="str">
        <f t="shared" si="88"/>
        <v/>
      </c>
      <c r="L1135" s="141" t="str">
        <f t="shared" si="89"/>
        <v/>
      </c>
    </row>
    <row r="1136" spans="1:12" x14ac:dyDescent="0.3">
      <c r="A1136" s="36" t="str">
        <f xml:space="preserve"> IF( 'From SvanPC++'!A1136= "", "", ('From SvanPC++'!A1136))</f>
        <v/>
      </c>
      <c r="C1136" s="47" t="s">
        <v>10</v>
      </c>
      <c r="G1136" s="38" t="str">
        <f t="shared" si="86"/>
        <v/>
      </c>
      <c r="H1136" s="36" t="str">
        <f t="shared" si="90"/>
        <v/>
      </c>
      <c r="J1136" s="141" t="str">
        <f t="shared" si="87"/>
        <v/>
      </c>
      <c r="K1136" s="141" t="str">
        <f t="shared" si="88"/>
        <v/>
      </c>
      <c r="L1136" s="141" t="str">
        <f t="shared" si="89"/>
        <v/>
      </c>
    </row>
    <row r="1137" spans="1:12" x14ac:dyDescent="0.3">
      <c r="A1137" s="36" t="str">
        <f xml:space="preserve"> IF( 'From SvanPC++'!A1137= "", "", ('From SvanPC++'!A1137))</f>
        <v/>
      </c>
      <c r="C1137" s="47" t="s">
        <v>10</v>
      </c>
      <c r="G1137" s="38" t="str">
        <f t="shared" si="86"/>
        <v/>
      </c>
      <c r="H1137" s="36" t="str">
        <f t="shared" si="90"/>
        <v/>
      </c>
      <c r="J1137" s="141" t="str">
        <f t="shared" si="87"/>
        <v/>
      </c>
      <c r="K1137" s="141" t="str">
        <f t="shared" si="88"/>
        <v/>
      </c>
      <c r="L1137" s="141" t="str">
        <f t="shared" si="89"/>
        <v/>
      </c>
    </row>
    <row r="1138" spans="1:12" x14ac:dyDescent="0.3">
      <c r="A1138" s="36" t="str">
        <f xml:space="preserve"> IF( 'From SvanPC++'!A1138= "", "", ('From SvanPC++'!A1138))</f>
        <v/>
      </c>
      <c r="C1138" s="47" t="s">
        <v>10</v>
      </c>
      <c r="G1138" s="38" t="str">
        <f t="shared" si="86"/>
        <v/>
      </c>
      <c r="H1138" s="36" t="str">
        <f t="shared" si="90"/>
        <v/>
      </c>
      <c r="J1138" s="141" t="str">
        <f t="shared" si="87"/>
        <v/>
      </c>
      <c r="K1138" s="141" t="str">
        <f t="shared" si="88"/>
        <v/>
      </c>
      <c r="L1138" s="141" t="str">
        <f t="shared" si="89"/>
        <v/>
      </c>
    </row>
    <row r="1139" spans="1:12" x14ac:dyDescent="0.3">
      <c r="A1139" s="36" t="str">
        <f xml:space="preserve"> IF( 'From SvanPC++'!A1139= "", "", ('From SvanPC++'!A1139))</f>
        <v/>
      </c>
      <c r="C1139" s="47" t="s">
        <v>10</v>
      </c>
      <c r="G1139" s="38" t="str">
        <f t="shared" si="86"/>
        <v/>
      </c>
      <c r="H1139" s="36" t="str">
        <f t="shared" si="90"/>
        <v/>
      </c>
      <c r="J1139" s="141" t="str">
        <f t="shared" si="87"/>
        <v/>
      </c>
      <c r="K1139" s="141" t="str">
        <f t="shared" si="88"/>
        <v/>
      </c>
      <c r="L1139" s="141" t="str">
        <f t="shared" si="89"/>
        <v/>
      </c>
    </row>
    <row r="1140" spans="1:12" x14ac:dyDescent="0.3">
      <c r="A1140" s="36" t="str">
        <f xml:space="preserve"> IF( 'From SvanPC++'!A1140= "", "", ('From SvanPC++'!A1140))</f>
        <v/>
      </c>
      <c r="C1140" s="47" t="s">
        <v>10</v>
      </c>
      <c r="G1140" s="38" t="str">
        <f t="shared" si="86"/>
        <v/>
      </c>
      <c r="H1140" s="36" t="str">
        <f t="shared" si="90"/>
        <v/>
      </c>
      <c r="J1140" s="141" t="str">
        <f t="shared" si="87"/>
        <v/>
      </c>
      <c r="K1140" s="141" t="str">
        <f t="shared" si="88"/>
        <v/>
      </c>
      <c r="L1140" s="141" t="str">
        <f t="shared" si="89"/>
        <v/>
      </c>
    </row>
    <row r="1141" spans="1:12" x14ac:dyDescent="0.3">
      <c r="A1141" s="36" t="str">
        <f xml:space="preserve"> IF( 'From SvanPC++'!A1141= "", "", ('From SvanPC++'!A1141))</f>
        <v/>
      </c>
      <c r="C1141" s="47" t="s">
        <v>10</v>
      </c>
      <c r="G1141" s="38" t="str">
        <f t="shared" si="86"/>
        <v/>
      </c>
      <c r="H1141" s="36" t="str">
        <f t="shared" si="90"/>
        <v/>
      </c>
      <c r="J1141" s="141" t="str">
        <f t="shared" si="87"/>
        <v/>
      </c>
      <c r="K1141" s="141" t="str">
        <f t="shared" si="88"/>
        <v/>
      </c>
      <c r="L1141" s="141" t="str">
        <f t="shared" si="89"/>
        <v/>
      </c>
    </row>
    <row r="1142" spans="1:12" x14ac:dyDescent="0.3">
      <c r="A1142" s="36" t="str">
        <f xml:space="preserve"> IF( 'From SvanPC++'!A1142= "", "", ('From SvanPC++'!A1142))</f>
        <v/>
      </c>
      <c r="C1142" s="47" t="s">
        <v>10</v>
      </c>
      <c r="G1142" s="38" t="str">
        <f t="shared" si="86"/>
        <v/>
      </c>
      <c r="H1142" s="36" t="str">
        <f t="shared" si="90"/>
        <v/>
      </c>
      <c r="J1142" s="141" t="str">
        <f t="shared" si="87"/>
        <v/>
      </c>
      <c r="K1142" s="141" t="str">
        <f t="shared" si="88"/>
        <v/>
      </c>
      <c r="L1142" s="141" t="str">
        <f t="shared" si="89"/>
        <v/>
      </c>
    </row>
    <row r="1143" spans="1:12" x14ac:dyDescent="0.3">
      <c r="A1143" s="36" t="str">
        <f xml:space="preserve"> IF( 'From SvanPC++'!A1143= "", "", ('From SvanPC++'!A1143))</f>
        <v/>
      </c>
      <c r="C1143" s="47" t="s">
        <v>10</v>
      </c>
      <c r="G1143" s="38" t="str">
        <f t="shared" si="86"/>
        <v/>
      </c>
      <c r="H1143" s="36" t="str">
        <f t="shared" si="90"/>
        <v/>
      </c>
      <c r="J1143" s="141" t="str">
        <f t="shared" si="87"/>
        <v/>
      </c>
      <c r="K1143" s="141" t="str">
        <f t="shared" si="88"/>
        <v/>
      </c>
      <c r="L1143" s="141" t="str">
        <f t="shared" si="89"/>
        <v/>
      </c>
    </row>
    <row r="1144" spans="1:12" x14ac:dyDescent="0.3">
      <c r="A1144" s="36" t="str">
        <f xml:space="preserve"> IF( 'From SvanPC++'!A1144= "", "", ('From SvanPC++'!A1144))</f>
        <v/>
      </c>
      <c r="C1144" s="47" t="s">
        <v>10</v>
      </c>
      <c r="G1144" s="38" t="str">
        <f t="shared" si="86"/>
        <v/>
      </c>
      <c r="H1144" s="36" t="str">
        <f t="shared" si="90"/>
        <v/>
      </c>
      <c r="J1144" s="141" t="str">
        <f t="shared" si="87"/>
        <v/>
      </c>
      <c r="K1144" s="141" t="str">
        <f t="shared" si="88"/>
        <v/>
      </c>
      <c r="L1144" s="141" t="str">
        <f t="shared" si="89"/>
        <v/>
      </c>
    </row>
    <row r="1145" spans="1:12" x14ac:dyDescent="0.3">
      <c r="A1145" s="36" t="str">
        <f xml:space="preserve"> IF( 'From SvanPC++'!A1145= "", "", ('From SvanPC++'!A1145))</f>
        <v/>
      </c>
      <c r="C1145" s="47" t="s">
        <v>10</v>
      </c>
      <c r="G1145" s="38" t="str">
        <f t="shared" si="86"/>
        <v/>
      </c>
      <c r="H1145" s="36" t="str">
        <f t="shared" si="90"/>
        <v/>
      </c>
      <c r="J1145" s="141" t="str">
        <f t="shared" si="87"/>
        <v/>
      </c>
      <c r="K1145" s="141" t="str">
        <f t="shared" si="88"/>
        <v/>
      </c>
      <c r="L1145" s="141" t="str">
        <f t="shared" si="89"/>
        <v/>
      </c>
    </row>
    <row r="1146" spans="1:12" x14ac:dyDescent="0.3">
      <c r="A1146" s="36" t="str">
        <f xml:space="preserve"> IF( 'From SvanPC++'!A1146= "", "", ('From SvanPC++'!A1146))</f>
        <v/>
      </c>
      <c r="C1146" s="47" t="s">
        <v>10</v>
      </c>
      <c r="G1146" s="38" t="str">
        <f t="shared" si="86"/>
        <v/>
      </c>
      <c r="H1146" s="36" t="str">
        <f t="shared" si="90"/>
        <v/>
      </c>
      <c r="J1146" s="141" t="str">
        <f t="shared" si="87"/>
        <v/>
      </c>
      <c r="K1146" s="141" t="str">
        <f t="shared" si="88"/>
        <v/>
      </c>
      <c r="L1146" s="141" t="str">
        <f t="shared" si="89"/>
        <v/>
      </c>
    </row>
    <row r="1147" spans="1:12" x14ac:dyDescent="0.3">
      <c r="A1147" s="36" t="str">
        <f xml:space="preserve"> IF( 'From SvanPC++'!A1147= "", "", ('From SvanPC++'!A1147))</f>
        <v/>
      </c>
      <c r="C1147" s="47" t="s">
        <v>10</v>
      </c>
      <c r="G1147" s="38" t="str">
        <f t="shared" si="86"/>
        <v/>
      </c>
      <c r="H1147" s="36" t="str">
        <f t="shared" si="90"/>
        <v/>
      </c>
      <c r="J1147" s="141" t="str">
        <f t="shared" si="87"/>
        <v/>
      </c>
      <c r="K1147" s="141" t="str">
        <f t="shared" si="88"/>
        <v/>
      </c>
      <c r="L1147" s="141" t="str">
        <f t="shared" si="89"/>
        <v/>
      </c>
    </row>
    <row r="1148" spans="1:12" x14ac:dyDescent="0.3">
      <c r="A1148" s="36" t="str">
        <f xml:space="preserve"> IF( 'From SvanPC++'!A1148= "", "", ('From SvanPC++'!A1148))</f>
        <v/>
      </c>
      <c r="C1148" s="47" t="s">
        <v>10</v>
      </c>
      <c r="G1148" s="38" t="str">
        <f t="shared" si="86"/>
        <v/>
      </c>
      <c r="H1148" s="36" t="str">
        <f t="shared" si="90"/>
        <v/>
      </c>
      <c r="J1148" s="141" t="str">
        <f t="shared" si="87"/>
        <v/>
      </c>
      <c r="K1148" s="141" t="str">
        <f t="shared" si="88"/>
        <v/>
      </c>
      <c r="L1148" s="141" t="str">
        <f t="shared" si="89"/>
        <v/>
      </c>
    </row>
    <row r="1149" spans="1:12" x14ac:dyDescent="0.3">
      <c r="A1149" s="36" t="str">
        <f xml:space="preserve"> IF( 'From SvanPC++'!A1149= "", "", ('From SvanPC++'!A1149))</f>
        <v/>
      </c>
      <c r="C1149" s="47" t="s">
        <v>10</v>
      </c>
      <c r="G1149" s="38" t="str">
        <f t="shared" si="86"/>
        <v/>
      </c>
      <c r="H1149" s="36" t="str">
        <f t="shared" si="90"/>
        <v/>
      </c>
      <c r="J1149" s="141" t="str">
        <f t="shared" si="87"/>
        <v/>
      </c>
      <c r="K1149" s="141" t="str">
        <f t="shared" si="88"/>
        <v/>
      </c>
      <c r="L1149" s="141" t="str">
        <f t="shared" si="89"/>
        <v/>
      </c>
    </row>
    <row r="1150" spans="1:12" x14ac:dyDescent="0.3">
      <c r="A1150" s="36" t="str">
        <f xml:space="preserve"> IF( 'From SvanPC++'!A1150= "", "", ('From SvanPC++'!A1150))</f>
        <v/>
      </c>
      <c r="C1150" s="47" t="s">
        <v>10</v>
      </c>
      <c r="G1150" s="38" t="str">
        <f t="shared" si="86"/>
        <v/>
      </c>
      <c r="H1150" s="36" t="str">
        <f t="shared" si="90"/>
        <v/>
      </c>
      <c r="J1150" s="141" t="str">
        <f t="shared" si="87"/>
        <v/>
      </c>
      <c r="K1150" s="141" t="str">
        <f t="shared" si="88"/>
        <v/>
      </c>
      <c r="L1150" s="141" t="str">
        <f t="shared" si="89"/>
        <v/>
      </c>
    </row>
    <row r="1151" spans="1:12" x14ac:dyDescent="0.3">
      <c r="A1151" s="36" t="str">
        <f xml:space="preserve"> IF( 'From SvanPC++'!A1151= "", "", ('From SvanPC++'!A1151))</f>
        <v/>
      </c>
      <c r="C1151" s="47" t="s">
        <v>10</v>
      </c>
      <c r="G1151" s="38" t="str">
        <f t="shared" si="86"/>
        <v/>
      </c>
      <c r="H1151" s="36" t="str">
        <f t="shared" si="90"/>
        <v/>
      </c>
      <c r="J1151" s="141" t="str">
        <f t="shared" si="87"/>
        <v/>
      </c>
      <c r="K1151" s="141" t="str">
        <f t="shared" si="88"/>
        <v/>
      </c>
      <c r="L1151" s="141" t="str">
        <f t="shared" si="89"/>
        <v/>
      </c>
    </row>
    <row r="1152" spans="1:12" x14ac:dyDescent="0.3">
      <c r="A1152" s="36" t="str">
        <f xml:space="preserve"> IF( 'From SvanPC++'!A1152= "", "", ('From SvanPC++'!A1152))</f>
        <v/>
      </c>
      <c r="C1152" s="47" t="s">
        <v>10</v>
      </c>
      <c r="G1152" s="38" t="str">
        <f t="shared" si="86"/>
        <v/>
      </c>
      <c r="H1152" s="36" t="str">
        <f t="shared" si="90"/>
        <v/>
      </c>
      <c r="J1152" s="141" t="str">
        <f t="shared" si="87"/>
        <v/>
      </c>
      <c r="K1152" s="141" t="str">
        <f t="shared" si="88"/>
        <v/>
      </c>
      <c r="L1152" s="141" t="str">
        <f t="shared" si="89"/>
        <v/>
      </c>
    </row>
    <row r="1153" spans="1:12" x14ac:dyDescent="0.3">
      <c r="A1153" s="36" t="str">
        <f xml:space="preserve"> IF( 'From SvanPC++'!A1153= "", "", ('From SvanPC++'!A1153))</f>
        <v/>
      </c>
      <c r="C1153" s="47" t="s">
        <v>10</v>
      </c>
      <c r="G1153" s="38" t="str">
        <f t="shared" si="86"/>
        <v/>
      </c>
      <c r="H1153" s="36" t="str">
        <f t="shared" si="90"/>
        <v/>
      </c>
      <c r="J1153" s="141" t="str">
        <f t="shared" si="87"/>
        <v/>
      </c>
      <c r="K1153" s="141" t="str">
        <f t="shared" si="88"/>
        <v/>
      </c>
      <c r="L1153" s="141" t="str">
        <f t="shared" si="89"/>
        <v/>
      </c>
    </row>
    <row r="1154" spans="1:12" x14ac:dyDescent="0.3">
      <c r="A1154" s="36" t="str">
        <f xml:space="preserve"> IF( 'From SvanPC++'!A1154= "", "", ('From SvanPC++'!A1154))</f>
        <v/>
      </c>
      <c r="C1154" s="47" t="s">
        <v>10</v>
      </c>
      <c r="G1154" s="38" t="str">
        <f t="shared" si="86"/>
        <v/>
      </c>
      <c r="H1154" s="36" t="str">
        <f t="shared" si="90"/>
        <v/>
      </c>
      <c r="J1154" s="141" t="str">
        <f t="shared" si="87"/>
        <v/>
      </c>
      <c r="K1154" s="141" t="str">
        <f t="shared" si="88"/>
        <v/>
      </c>
      <c r="L1154" s="141" t="str">
        <f t="shared" si="89"/>
        <v/>
      </c>
    </row>
    <row r="1155" spans="1:12" x14ac:dyDescent="0.3">
      <c r="A1155" s="36" t="str">
        <f xml:space="preserve"> IF( 'From SvanPC++'!A1155= "", "", ('From SvanPC++'!A1155))</f>
        <v/>
      </c>
      <c r="C1155" s="47" t="s">
        <v>10</v>
      </c>
      <c r="G1155" s="38" t="str">
        <f t="shared" si="86"/>
        <v/>
      </c>
      <c r="H1155" s="36" t="str">
        <f t="shared" si="90"/>
        <v/>
      </c>
      <c r="J1155" s="141" t="str">
        <f t="shared" si="87"/>
        <v/>
      </c>
      <c r="K1155" s="141" t="str">
        <f t="shared" si="88"/>
        <v/>
      </c>
      <c r="L1155" s="141" t="str">
        <f t="shared" si="89"/>
        <v/>
      </c>
    </row>
    <row r="1156" spans="1:12" x14ac:dyDescent="0.3">
      <c r="A1156" s="36" t="str">
        <f xml:space="preserve"> IF( 'From SvanPC++'!A1156= "", "", ('From SvanPC++'!A1156))</f>
        <v/>
      </c>
      <c r="C1156" s="47" t="s">
        <v>10</v>
      </c>
      <c r="G1156" s="38" t="str">
        <f t="shared" si="86"/>
        <v/>
      </c>
      <c r="H1156" s="36" t="str">
        <f t="shared" si="90"/>
        <v/>
      </c>
      <c r="J1156" s="141" t="str">
        <f t="shared" si="87"/>
        <v/>
      </c>
      <c r="K1156" s="141" t="str">
        <f t="shared" si="88"/>
        <v/>
      </c>
      <c r="L1156" s="141" t="str">
        <f t="shared" si="89"/>
        <v/>
      </c>
    </row>
    <row r="1157" spans="1:12" x14ac:dyDescent="0.3">
      <c r="A1157" s="36" t="str">
        <f xml:space="preserve"> IF( 'From SvanPC++'!A1157= "", "", ('From SvanPC++'!A1157))</f>
        <v/>
      </c>
      <c r="C1157" s="47" t="s">
        <v>10</v>
      </c>
      <c r="G1157" s="38" t="str">
        <f t="shared" si="86"/>
        <v/>
      </c>
      <c r="H1157" s="36" t="str">
        <f t="shared" si="90"/>
        <v/>
      </c>
      <c r="J1157" s="141" t="str">
        <f t="shared" si="87"/>
        <v/>
      </c>
      <c r="K1157" s="141" t="str">
        <f t="shared" si="88"/>
        <v/>
      </c>
      <c r="L1157" s="141" t="str">
        <f t="shared" si="89"/>
        <v/>
      </c>
    </row>
    <row r="1158" spans="1:12" x14ac:dyDescent="0.3">
      <c r="A1158" s="36" t="str">
        <f xml:space="preserve"> IF( 'From SvanPC++'!A1158= "", "", ('From SvanPC++'!A1158))</f>
        <v/>
      </c>
      <c r="C1158" s="47" t="s">
        <v>10</v>
      </c>
      <c r="G1158" s="38" t="str">
        <f t="shared" si="86"/>
        <v/>
      </c>
      <c r="H1158" s="36" t="str">
        <f t="shared" si="90"/>
        <v/>
      </c>
      <c r="J1158" s="141" t="str">
        <f t="shared" si="87"/>
        <v/>
      </c>
      <c r="K1158" s="141" t="str">
        <f t="shared" si="88"/>
        <v/>
      </c>
      <c r="L1158" s="141" t="str">
        <f t="shared" si="89"/>
        <v/>
      </c>
    </row>
    <row r="1159" spans="1:12" x14ac:dyDescent="0.3">
      <c r="A1159" s="36" t="str">
        <f xml:space="preserve"> IF( 'From SvanPC++'!A1159= "", "", ('From SvanPC++'!A1159))</f>
        <v/>
      </c>
      <c r="C1159" s="47" t="s">
        <v>10</v>
      </c>
      <c r="G1159" s="38" t="str">
        <f t="shared" ref="G1159:G1222" si="91" xml:space="preserve"> IF( D1159= "", "", ( IF( AND( D1159 &gt;= TIMEVALUE( "07:00:01" ), D1159 &lt; TIMEVALUE( "08:00:01" ) ) = TRUE, (G1158+1), (G1158+0) )))</f>
        <v/>
      </c>
      <c r="H1159" s="36" t="str">
        <f t="shared" si="90"/>
        <v/>
      </c>
      <c r="J1159" s="141" t="str">
        <f t="shared" si="87"/>
        <v/>
      </c>
      <c r="K1159" s="141" t="str">
        <f t="shared" si="88"/>
        <v/>
      </c>
      <c r="L1159" s="141" t="str">
        <f t="shared" si="89"/>
        <v/>
      </c>
    </row>
    <row r="1160" spans="1:12" x14ac:dyDescent="0.3">
      <c r="A1160" s="36" t="str">
        <f xml:space="preserve"> IF( 'From SvanPC++'!A1160= "", "", ('From SvanPC++'!A1160))</f>
        <v/>
      </c>
      <c r="C1160" s="47" t="s">
        <v>10</v>
      </c>
      <c r="G1160" s="38" t="str">
        <f t="shared" si="91"/>
        <v/>
      </c>
      <c r="H1160" s="36" t="str">
        <f t="shared" si="90"/>
        <v/>
      </c>
      <c r="J1160" s="141" t="str">
        <f t="shared" ref="J1160:J1223" si="92" xml:space="preserve"> IF( ISERROR( IF( D1160= "", "", ( IF( G1160= (G1159+1), ( AVERAGEIFS( E1160:E1304, G1160:G1304, G1160, H1160:H1304, "Day" )), "" )))), "",( IF( D1160= "", "", ( IF( G1160= (G1159+1), ( AVERAGEIFS( E1160:E1304, G1160:G1304, G1160, H1160:H1304, "Day" )), "" )))))</f>
        <v/>
      </c>
      <c r="K1160" s="141" t="str">
        <f t="shared" ref="K1160:K1223" si="93" xml:space="preserve"> IF( ISERROR( IF( D1160= "", "", ( IF( G1160= (G1159+1), ( AVERAGEIFS( E1160:E1304, G1160:G1304, G1160, H1160:H1304, "Evening" )), "" )))), "",( IF( D1160= "", "", ( IF( G1160= (G1159+1), ( AVERAGEIFS( E1160:E1304, G1160:G1304, G1160, H1160:H1304, "Evening" )), "" )))))</f>
        <v/>
      </c>
      <c r="L1160" s="141" t="str">
        <f t="shared" ref="L1160:L1223" si="94" xml:space="preserve"> IF( ISERROR( IF( D1160= "", "", ( IF( G1160= (G1159+1), ( AVERAGEIFS( E1160:E1304, G1160:G1304, G1160, H1160:H1304, "Night" )), "" )))), "",( IF( D1160= "", "", ( IF( G1160= (G1159+1), ( AVERAGEIFS( E1160:E1304, G1160:G1304, G1160, H1160:H1304, "Night" )), "" )))))</f>
        <v/>
      </c>
    </row>
    <row r="1161" spans="1:12" x14ac:dyDescent="0.3">
      <c r="A1161" s="36" t="str">
        <f xml:space="preserve"> IF( 'From SvanPC++'!A1161= "", "", ('From SvanPC++'!A1161))</f>
        <v/>
      </c>
      <c r="C1161" s="47" t="s">
        <v>10</v>
      </c>
      <c r="G1161" s="38" t="str">
        <f t="shared" si="91"/>
        <v/>
      </c>
      <c r="H1161" s="36" t="str">
        <f t="shared" si="90"/>
        <v/>
      </c>
      <c r="J1161" s="141" t="str">
        <f t="shared" si="92"/>
        <v/>
      </c>
      <c r="K1161" s="141" t="str">
        <f t="shared" si="93"/>
        <v/>
      </c>
      <c r="L1161" s="141" t="str">
        <f t="shared" si="94"/>
        <v/>
      </c>
    </row>
    <row r="1162" spans="1:12" x14ac:dyDescent="0.3">
      <c r="A1162" s="36" t="str">
        <f xml:space="preserve"> IF( 'From SvanPC++'!A1162= "", "", ('From SvanPC++'!A1162))</f>
        <v/>
      </c>
      <c r="C1162" s="47" t="s">
        <v>10</v>
      </c>
      <c r="G1162" s="38" t="str">
        <f t="shared" si="91"/>
        <v/>
      </c>
      <c r="H1162" s="36" t="str">
        <f t="shared" si="90"/>
        <v/>
      </c>
      <c r="J1162" s="141" t="str">
        <f t="shared" si="92"/>
        <v/>
      </c>
      <c r="K1162" s="141" t="str">
        <f t="shared" si="93"/>
        <v/>
      </c>
      <c r="L1162" s="141" t="str">
        <f t="shared" si="94"/>
        <v/>
      </c>
    </row>
    <row r="1163" spans="1:12" x14ac:dyDescent="0.3">
      <c r="A1163" s="36" t="str">
        <f xml:space="preserve"> IF( 'From SvanPC++'!A1163= "", "", ('From SvanPC++'!A1163))</f>
        <v/>
      </c>
      <c r="C1163" s="47" t="s">
        <v>10</v>
      </c>
      <c r="G1163" s="38" t="str">
        <f t="shared" si="91"/>
        <v/>
      </c>
      <c r="H1163" s="36" t="str">
        <f t="shared" si="90"/>
        <v/>
      </c>
      <c r="J1163" s="141" t="str">
        <f t="shared" si="92"/>
        <v/>
      </c>
      <c r="K1163" s="141" t="str">
        <f t="shared" si="93"/>
        <v/>
      </c>
      <c r="L1163" s="141" t="str">
        <f t="shared" si="94"/>
        <v/>
      </c>
    </row>
    <row r="1164" spans="1:12" x14ac:dyDescent="0.3">
      <c r="A1164" s="36" t="str">
        <f xml:space="preserve"> IF( 'From SvanPC++'!A1164= "", "", ('From SvanPC++'!A1164))</f>
        <v/>
      </c>
      <c r="C1164" s="47" t="s">
        <v>10</v>
      </c>
      <c r="G1164" s="38" t="str">
        <f t="shared" si="91"/>
        <v/>
      </c>
      <c r="H1164" s="36" t="str">
        <f t="shared" si="90"/>
        <v/>
      </c>
      <c r="J1164" s="141" t="str">
        <f t="shared" si="92"/>
        <v/>
      </c>
      <c r="K1164" s="141" t="str">
        <f t="shared" si="93"/>
        <v/>
      </c>
      <c r="L1164" s="141" t="str">
        <f t="shared" si="94"/>
        <v/>
      </c>
    </row>
    <row r="1165" spans="1:12" x14ac:dyDescent="0.3">
      <c r="A1165" s="36" t="str">
        <f xml:space="preserve"> IF( 'From SvanPC++'!A1165= "", "", ('From SvanPC++'!A1165))</f>
        <v/>
      </c>
      <c r="C1165" s="47" t="s">
        <v>10</v>
      </c>
      <c r="G1165" s="38" t="str">
        <f t="shared" si="91"/>
        <v/>
      </c>
      <c r="H1165" s="36" t="str">
        <f t="shared" si="90"/>
        <v/>
      </c>
      <c r="J1165" s="141" t="str">
        <f t="shared" si="92"/>
        <v/>
      </c>
      <c r="K1165" s="141" t="str">
        <f t="shared" si="93"/>
        <v/>
      </c>
      <c r="L1165" s="141" t="str">
        <f t="shared" si="94"/>
        <v/>
      </c>
    </row>
    <row r="1166" spans="1:12" x14ac:dyDescent="0.3">
      <c r="A1166" s="36" t="str">
        <f xml:space="preserve"> IF( 'From SvanPC++'!A1166= "", "", ('From SvanPC++'!A1166))</f>
        <v/>
      </c>
      <c r="C1166" s="47" t="s">
        <v>10</v>
      </c>
      <c r="G1166" s="38" t="str">
        <f t="shared" si="91"/>
        <v/>
      </c>
      <c r="H1166" s="36" t="str">
        <f t="shared" si="90"/>
        <v/>
      </c>
      <c r="J1166" s="141" t="str">
        <f t="shared" si="92"/>
        <v/>
      </c>
      <c r="K1166" s="141" t="str">
        <f t="shared" si="93"/>
        <v/>
      </c>
      <c r="L1166" s="141" t="str">
        <f t="shared" si="94"/>
        <v/>
      </c>
    </row>
    <row r="1167" spans="1:12" x14ac:dyDescent="0.3">
      <c r="A1167" s="36" t="str">
        <f xml:space="preserve"> IF( 'From SvanPC++'!A1167= "", "", ('From SvanPC++'!A1167))</f>
        <v/>
      </c>
      <c r="C1167" s="47" t="s">
        <v>10</v>
      </c>
      <c r="G1167" s="38" t="str">
        <f t="shared" si="91"/>
        <v/>
      </c>
      <c r="H1167" s="36" t="str">
        <f t="shared" si="90"/>
        <v/>
      </c>
      <c r="J1167" s="141" t="str">
        <f t="shared" si="92"/>
        <v/>
      </c>
      <c r="K1167" s="141" t="str">
        <f t="shared" si="93"/>
        <v/>
      </c>
      <c r="L1167" s="141" t="str">
        <f t="shared" si="94"/>
        <v/>
      </c>
    </row>
    <row r="1168" spans="1:12" x14ac:dyDescent="0.3">
      <c r="A1168" s="36" t="str">
        <f xml:space="preserve"> IF( 'From SvanPC++'!A1168= "", "", ('From SvanPC++'!A1168))</f>
        <v/>
      </c>
      <c r="C1168" s="47" t="s">
        <v>10</v>
      </c>
      <c r="G1168" s="38" t="str">
        <f t="shared" si="91"/>
        <v/>
      </c>
      <c r="H1168" s="36" t="str">
        <f t="shared" si="90"/>
        <v/>
      </c>
      <c r="J1168" s="141" t="str">
        <f t="shared" si="92"/>
        <v/>
      </c>
      <c r="K1168" s="141" t="str">
        <f t="shared" si="93"/>
        <v/>
      </c>
      <c r="L1168" s="141" t="str">
        <f t="shared" si="94"/>
        <v/>
      </c>
    </row>
    <row r="1169" spans="1:12" x14ac:dyDescent="0.3">
      <c r="A1169" s="36" t="str">
        <f xml:space="preserve"> IF( 'From SvanPC++'!A1169= "", "", ('From SvanPC++'!A1169))</f>
        <v/>
      </c>
      <c r="C1169" s="47" t="s">
        <v>10</v>
      </c>
      <c r="G1169" s="38" t="str">
        <f t="shared" si="91"/>
        <v/>
      </c>
      <c r="H1169" s="36" t="str">
        <f t="shared" si="90"/>
        <v/>
      </c>
      <c r="J1169" s="141" t="str">
        <f t="shared" si="92"/>
        <v/>
      </c>
      <c r="K1169" s="141" t="str">
        <f t="shared" si="93"/>
        <v/>
      </c>
      <c r="L1169" s="141" t="str">
        <f t="shared" si="94"/>
        <v/>
      </c>
    </row>
    <row r="1170" spans="1:12" x14ac:dyDescent="0.3">
      <c r="A1170" s="36" t="str">
        <f xml:space="preserve"> IF( 'From SvanPC++'!A1170= "", "", ('From SvanPC++'!A1170))</f>
        <v/>
      </c>
      <c r="C1170" s="47" t="s">
        <v>10</v>
      </c>
      <c r="G1170" s="38" t="str">
        <f t="shared" si="91"/>
        <v/>
      </c>
      <c r="H1170" s="36" t="str">
        <f t="shared" si="90"/>
        <v/>
      </c>
      <c r="J1170" s="141" t="str">
        <f t="shared" si="92"/>
        <v/>
      </c>
      <c r="K1170" s="141" t="str">
        <f t="shared" si="93"/>
        <v/>
      </c>
      <c r="L1170" s="141" t="str">
        <f t="shared" si="94"/>
        <v/>
      </c>
    </row>
    <row r="1171" spans="1:12" x14ac:dyDescent="0.3">
      <c r="A1171" s="36" t="str">
        <f xml:space="preserve"> IF( 'From SvanPC++'!A1171= "", "", ('From SvanPC++'!A1171))</f>
        <v/>
      </c>
      <c r="C1171" s="47" t="s">
        <v>10</v>
      </c>
      <c r="G1171" s="38" t="str">
        <f t="shared" si="91"/>
        <v/>
      </c>
      <c r="H1171" s="36" t="str">
        <f t="shared" si="90"/>
        <v/>
      </c>
      <c r="J1171" s="141" t="str">
        <f t="shared" si="92"/>
        <v/>
      </c>
      <c r="K1171" s="141" t="str">
        <f t="shared" si="93"/>
        <v/>
      </c>
      <c r="L1171" s="141" t="str">
        <f t="shared" si="94"/>
        <v/>
      </c>
    </row>
    <row r="1172" spans="1:12" x14ac:dyDescent="0.3">
      <c r="A1172" s="36" t="str">
        <f xml:space="preserve"> IF( 'From SvanPC++'!A1172= "", "", ('From SvanPC++'!A1172))</f>
        <v/>
      </c>
      <c r="C1172" s="47" t="s">
        <v>10</v>
      </c>
      <c r="G1172" s="38" t="str">
        <f t="shared" si="91"/>
        <v/>
      </c>
      <c r="H1172" s="36" t="str">
        <f t="shared" si="90"/>
        <v/>
      </c>
      <c r="J1172" s="141" t="str">
        <f t="shared" si="92"/>
        <v/>
      </c>
      <c r="K1172" s="141" t="str">
        <f t="shared" si="93"/>
        <v/>
      </c>
      <c r="L1172" s="141" t="str">
        <f t="shared" si="94"/>
        <v/>
      </c>
    </row>
    <row r="1173" spans="1:12" x14ac:dyDescent="0.3">
      <c r="A1173" s="36" t="str">
        <f xml:space="preserve"> IF( 'From SvanPC++'!A1173= "", "", ('From SvanPC++'!A1173))</f>
        <v/>
      </c>
      <c r="C1173" s="47" t="s">
        <v>10</v>
      </c>
      <c r="G1173" s="38" t="str">
        <f t="shared" si="91"/>
        <v/>
      </c>
      <c r="H1173" s="36" t="str">
        <f t="shared" si="90"/>
        <v/>
      </c>
      <c r="J1173" s="141" t="str">
        <f t="shared" si="92"/>
        <v/>
      </c>
      <c r="K1173" s="141" t="str">
        <f t="shared" si="93"/>
        <v/>
      </c>
      <c r="L1173" s="141" t="str">
        <f t="shared" si="94"/>
        <v/>
      </c>
    </row>
    <row r="1174" spans="1:12" x14ac:dyDescent="0.3">
      <c r="A1174" s="36" t="str">
        <f xml:space="preserve"> IF( 'From SvanPC++'!A1174= "", "", ('From SvanPC++'!A1174))</f>
        <v/>
      </c>
      <c r="C1174" s="47" t="s">
        <v>10</v>
      </c>
      <c r="G1174" s="38" t="str">
        <f t="shared" si="91"/>
        <v/>
      </c>
      <c r="H1174" s="36" t="str">
        <f t="shared" si="90"/>
        <v/>
      </c>
      <c r="J1174" s="141" t="str">
        <f t="shared" si="92"/>
        <v/>
      </c>
      <c r="K1174" s="141" t="str">
        <f t="shared" si="93"/>
        <v/>
      </c>
      <c r="L1174" s="141" t="str">
        <f t="shared" si="94"/>
        <v/>
      </c>
    </row>
    <row r="1175" spans="1:12" x14ac:dyDescent="0.3">
      <c r="A1175" s="36" t="str">
        <f xml:space="preserve"> IF( 'From SvanPC++'!A1175= "", "", ('From SvanPC++'!A1175))</f>
        <v/>
      </c>
      <c r="C1175" s="47" t="s">
        <v>10</v>
      </c>
      <c r="G1175" s="38" t="str">
        <f t="shared" si="91"/>
        <v/>
      </c>
      <c r="H1175" s="36" t="str">
        <f t="shared" ref="H1175:H1238" si="95" xml:space="preserve"> IF( D1175= "", "", ( IF( AND( D1175 &gt;= TIMEVALUE( "07:00:01" ), D1175 &lt;= TIMEVALUE( "13:00:00" ), WEEKDAY( C1175) =(7+N("Lines 2-17 = saturday day period")) ) = TRUE, "Day",
IF( AND( D1175 &gt;= TIMEVALUE( "07:00:01" ), D1175 &lt;= TIMEVALUE( "18:00:00" ), WEEKDAY( C1175,1+N("Lines 19-38 = weekday day period")) &gt;=2, ( WEEKDAY( C1175,1) &lt;=6) ) = TRUE, "Day",
IF( AND( D1175 &gt;= TIMEVALUE( "13:00:01" ), D1175 &lt;= TIMEVALUE( "22:00:00" ), WEEKDAY( C1175) =(7+N("Lines 40-56 = saturday evening period")) ) = TRUE, "Evening",
IF( AND( D1175 &gt;= TIMEVALUE( "18:00:01" ), D1175 &lt;= TIMEVALUE( "22:00:00" ), WEEKDAY( C1175,1+N("Lines 57-77 = weekday evening period")) &gt;=2, ( WEEKDAY( C1175,1) &lt;=6) ) = TRUE, "Evening",
IF( AND( D1175 &gt;= TIMEVALUE( "07:00:01" ), D1175 &lt;= TIMEVALUE( "22:00:00" ), WEEKDAY( C1175) =(1+N("Lines 78-94 = sunday evening period")) ) = TRUE, "Evening",
IF( AND( D1175 &gt;= TIMEVALUE( "22:00:01" ), D1175 &lt;= TIMEVALUE( "23:59:59" ), WEEKDAY( C1175) =(7+N("Lines 95-111 = saturday night1 period")) ) = TRUE, "Night",
IF( AND( D1175 &gt;= TIMEVALUE( "00:00:00" ), D1175 &lt;= TIMEVALUE( "07:00:00" ), WEEKDAY( C1175) =(7+N("Lines 112-128 = saturday night2 period")) ) = TRUE, "Night",
IF( AND( D1175 &gt;= TIMEVALUE( "22:00:01" ), D1175 &lt;= TIMEVALUE( "23:59:59" ), WEEKDAY( C1175,1+N("Lines 129-149 = weekday night1 period")) &gt;=2, ( WEEKDAY( C1175,1) &lt;=6) ) = TRUE, "Night",
IF( AND( D1175 &gt;= TIMEVALUE( "00:00:00" ), D1175 &lt;= TIMEVALUE( "07:00:00" ), WEEKDAY( C1175,1+N("Lines 150-170 = weekday night2 period")) &gt;=2, ( WEEKDAY( C1175,1) &lt;=6) ) = TRUE, "Night",
IF( AND( D1175 &gt;= TIMEVALUE( "20:00:01" ), D1175 &lt;= TIMEVALUE( "23:59:59" ), WEEKDAY( C1175) =(1+N("Lines 171-187 = sunday night1 period")) ) = TRUE, "Night",
IF( AND( D1175 &gt;= TIMEVALUE( "00:00:00" ), D1175 &lt;= TIMEVALUE( "07:00:00" ), WEEKDAY( C1175) =(1+N("Lines 188-204 = sunday night2 period")) ) = TRUE, "Night", )))))))))))))</f>
        <v/>
      </c>
      <c r="J1175" s="141" t="str">
        <f t="shared" si="92"/>
        <v/>
      </c>
      <c r="K1175" s="141" t="str">
        <f t="shared" si="93"/>
        <v/>
      </c>
      <c r="L1175" s="141" t="str">
        <f t="shared" si="94"/>
        <v/>
      </c>
    </row>
    <row r="1176" spans="1:12" x14ac:dyDescent="0.3">
      <c r="A1176" s="36" t="str">
        <f xml:space="preserve"> IF( 'From SvanPC++'!A1176= "", "", ('From SvanPC++'!A1176))</f>
        <v/>
      </c>
      <c r="C1176" s="47" t="s">
        <v>10</v>
      </c>
      <c r="G1176" s="38" t="str">
        <f t="shared" si="91"/>
        <v/>
      </c>
      <c r="H1176" s="36" t="str">
        <f t="shared" si="95"/>
        <v/>
      </c>
      <c r="J1176" s="141" t="str">
        <f t="shared" si="92"/>
        <v/>
      </c>
      <c r="K1176" s="141" t="str">
        <f t="shared" si="93"/>
        <v/>
      </c>
      <c r="L1176" s="141" t="str">
        <f t="shared" si="94"/>
        <v/>
      </c>
    </row>
    <row r="1177" spans="1:12" x14ac:dyDescent="0.3">
      <c r="A1177" s="36" t="str">
        <f xml:space="preserve"> IF( 'From SvanPC++'!A1177= "", "", ('From SvanPC++'!A1177))</f>
        <v/>
      </c>
      <c r="C1177" s="47" t="s">
        <v>10</v>
      </c>
      <c r="G1177" s="38" t="str">
        <f t="shared" si="91"/>
        <v/>
      </c>
      <c r="H1177" s="36" t="str">
        <f t="shared" si="95"/>
        <v/>
      </c>
      <c r="J1177" s="141" t="str">
        <f t="shared" si="92"/>
        <v/>
      </c>
      <c r="K1177" s="141" t="str">
        <f t="shared" si="93"/>
        <v/>
      </c>
      <c r="L1177" s="141" t="str">
        <f t="shared" si="94"/>
        <v/>
      </c>
    </row>
    <row r="1178" spans="1:12" x14ac:dyDescent="0.3">
      <c r="A1178" s="36" t="str">
        <f xml:space="preserve"> IF( 'From SvanPC++'!A1178= "", "", ('From SvanPC++'!A1178))</f>
        <v/>
      </c>
      <c r="C1178" s="47" t="s">
        <v>10</v>
      </c>
      <c r="G1178" s="38" t="str">
        <f t="shared" si="91"/>
        <v/>
      </c>
      <c r="H1178" s="36" t="str">
        <f t="shared" si="95"/>
        <v/>
      </c>
      <c r="J1178" s="141" t="str">
        <f t="shared" si="92"/>
        <v/>
      </c>
      <c r="K1178" s="141" t="str">
        <f t="shared" si="93"/>
        <v/>
      </c>
      <c r="L1178" s="141" t="str">
        <f t="shared" si="94"/>
        <v/>
      </c>
    </row>
    <row r="1179" spans="1:12" x14ac:dyDescent="0.3">
      <c r="A1179" s="36" t="str">
        <f xml:space="preserve"> IF( 'From SvanPC++'!A1179= "", "", ('From SvanPC++'!A1179))</f>
        <v/>
      </c>
      <c r="C1179" s="47" t="s">
        <v>10</v>
      </c>
      <c r="G1179" s="38" t="str">
        <f t="shared" si="91"/>
        <v/>
      </c>
      <c r="H1179" s="36" t="str">
        <f t="shared" si="95"/>
        <v/>
      </c>
      <c r="J1179" s="141" t="str">
        <f t="shared" si="92"/>
        <v/>
      </c>
      <c r="K1179" s="141" t="str">
        <f t="shared" si="93"/>
        <v/>
      </c>
      <c r="L1179" s="141" t="str">
        <f t="shared" si="94"/>
        <v/>
      </c>
    </row>
    <row r="1180" spans="1:12" x14ac:dyDescent="0.3">
      <c r="A1180" s="36" t="str">
        <f xml:space="preserve"> IF( 'From SvanPC++'!A1180= "", "", ('From SvanPC++'!A1180))</f>
        <v/>
      </c>
      <c r="C1180" s="47" t="s">
        <v>10</v>
      </c>
      <c r="G1180" s="38" t="str">
        <f t="shared" si="91"/>
        <v/>
      </c>
      <c r="H1180" s="36" t="str">
        <f t="shared" si="95"/>
        <v/>
      </c>
      <c r="J1180" s="141" t="str">
        <f t="shared" si="92"/>
        <v/>
      </c>
      <c r="K1180" s="141" t="str">
        <f t="shared" si="93"/>
        <v/>
      </c>
      <c r="L1180" s="141" t="str">
        <f t="shared" si="94"/>
        <v/>
      </c>
    </row>
    <row r="1181" spans="1:12" x14ac:dyDescent="0.3">
      <c r="A1181" s="36" t="str">
        <f xml:space="preserve"> IF( 'From SvanPC++'!A1181= "", "", ('From SvanPC++'!A1181))</f>
        <v/>
      </c>
      <c r="C1181" s="47" t="s">
        <v>10</v>
      </c>
      <c r="G1181" s="38" t="str">
        <f t="shared" si="91"/>
        <v/>
      </c>
      <c r="H1181" s="36" t="str">
        <f t="shared" si="95"/>
        <v/>
      </c>
      <c r="J1181" s="141" t="str">
        <f t="shared" si="92"/>
        <v/>
      </c>
      <c r="K1181" s="141" t="str">
        <f t="shared" si="93"/>
        <v/>
      </c>
      <c r="L1181" s="141" t="str">
        <f t="shared" si="94"/>
        <v/>
      </c>
    </row>
    <row r="1182" spans="1:12" x14ac:dyDescent="0.3">
      <c r="A1182" s="36" t="str">
        <f xml:space="preserve"> IF( 'From SvanPC++'!A1182= "", "", ('From SvanPC++'!A1182))</f>
        <v/>
      </c>
      <c r="C1182" s="47" t="s">
        <v>10</v>
      </c>
      <c r="G1182" s="38" t="str">
        <f t="shared" si="91"/>
        <v/>
      </c>
      <c r="H1182" s="36" t="str">
        <f t="shared" si="95"/>
        <v/>
      </c>
      <c r="J1182" s="141" t="str">
        <f t="shared" si="92"/>
        <v/>
      </c>
      <c r="K1182" s="141" t="str">
        <f t="shared" si="93"/>
        <v/>
      </c>
      <c r="L1182" s="141" t="str">
        <f t="shared" si="94"/>
        <v/>
      </c>
    </row>
    <row r="1183" spans="1:12" x14ac:dyDescent="0.3">
      <c r="A1183" s="36" t="str">
        <f xml:space="preserve"> IF( 'From SvanPC++'!A1183= "", "", ('From SvanPC++'!A1183))</f>
        <v/>
      </c>
      <c r="C1183" s="47" t="s">
        <v>10</v>
      </c>
      <c r="G1183" s="38" t="str">
        <f t="shared" si="91"/>
        <v/>
      </c>
      <c r="H1183" s="36" t="str">
        <f t="shared" si="95"/>
        <v/>
      </c>
      <c r="J1183" s="141" t="str">
        <f t="shared" si="92"/>
        <v/>
      </c>
      <c r="K1183" s="141" t="str">
        <f t="shared" si="93"/>
        <v/>
      </c>
      <c r="L1183" s="141" t="str">
        <f t="shared" si="94"/>
        <v/>
      </c>
    </row>
    <row r="1184" spans="1:12" x14ac:dyDescent="0.3">
      <c r="A1184" s="36" t="str">
        <f xml:space="preserve"> IF( 'From SvanPC++'!A1184= "", "", ('From SvanPC++'!A1184))</f>
        <v/>
      </c>
      <c r="C1184" s="47" t="s">
        <v>10</v>
      </c>
      <c r="G1184" s="38" t="str">
        <f t="shared" si="91"/>
        <v/>
      </c>
      <c r="H1184" s="36" t="str">
        <f t="shared" si="95"/>
        <v/>
      </c>
      <c r="J1184" s="141" t="str">
        <f t="shared" si="92"/>
        <v/>
      </c>
      <c r="K1184" s="141" t="str">
        <f t="shared" si="93"/>
        <v/>
      </c>
      <c r="L1184" s="141" t="str">
        <f t="shared" si="94"/>
        <v/>
      </c>
    </row>
    <row r="1185" spans="1:12" x14ac:dyDescent="0.3">
      <c r="A1185" s="36" t="str">
        <f xml:space="preserve"> IF( 'From SvanPC++'!A1185= "", "", ('From SvanPC++'!A1185))</f>
        <v/>
      </c>
      <c r="C1185" s="47" t="s">
        <v>10</v>
      </c>
      <c r="G1185" s="38" t="str">
        <f t="shared" si="91"/>
        <v/>
      </c>
      <c r="H1185" s="36" t="str">
        <f t="shared" si="95"/>
        <v/>
      </c>
      <c r="J1185" s="141" t="str">
        <f t="shared" si="92"/>
        <v/>
      </c>
      <c r="K1185" s="141" t="str">
        <f t="shared" si="93"/>
        <v/>
      </c>
      <c r="L1185" s="141" t="str">
        <f t="shared" si="94"/>
        <v/>
      </c>
    </row>
    <row r="1186" spans="1:12" x14ac:dyDescent="0.3">
      <c r="A1186" s="36" t="str">
        <f xml:space="preserve"> IF( 'From SvanPC++'!A1186= "", "", ('From SvanPC++'!A1186))</f>
        <v/>
      </c>
      <c r="C1186" s="47" t="s">
        <v>10</v>
      </c>
      <c r="G1186" s="38" t="str">
        <f t="shared" si="91"/>
        <v/>
      </c>
      <c r="H1186" s="36" t="str">
        <f t="shared" si="95"/>
        <v/>
      </c>
      <c r="J1186" s="141" t="str">
        <f t="shared" si="92"/>
        <v/>
      </c>
      <c r="K1186" s="141" t="str">
        <f t="shared" si="93"/>
        <v/>
      </c>
      <c r="L1186" s="141" t="str">
        <f t="shared" si="94"/>
        <v/>
      </c>
    </row>
    <row r="1187" spans="1:12" x14ac:dyDescent="0.3">
      <c r="A1187" s="36" t="str">
        <f xml:space="preserve"> IF( 'From SvanPC++'!A1187= "", "", ('From SvanPC++'!A1187))</f>
        <v/>
      </c>
      <c r="C1187" s="47" t="s">
        <v>10</v>
      </c>
      <c r="G1187" s="38" t="str">
        <f t="shared" si="91"/>
        <v/>
      </c>
      <c r="H1187" s="36" t="str">
        <f t="shared" si="95"/>
        <v/>
      </c>
      <c r="J1187" s="141" t="str">
        <f t="shared" si="92"/>
        <v/>
      </c>
      <c r="K1187" s="141" t="str">
        <f t="shared" si="93"/>
        <v/>
      </c>
      <c r="L1187" s="141" t="str">
        <f t="shared" si="94"/>
        <v/>
      </c>
    </row>
    <row r="1188" spans="1:12" x14ac:dyDescent="0.3">
      <c r="A1188" s="36" t="str">
        <f xml:space="preserve"> IF( 'From SvanPC++'!A1188= "", "", ('From SvanPC++'!A1188))</f>
        <v/>
      </c>
      <c r="C1188" s="47" t="s">
        <v>10</v>
      </c>
      <c r="G1188" s="38" t="str">
        <f t="shared" si="91"/>
        <v/>
      </c>
      <c r="H1188" s="36" t="str">
        <f t="shared" si="95"/>
        <v/>
      </c>
      <c r="J1188" s="141" t="str">
        <f t="shared" si="92"/>
        <v/>
      </c>
      <c r="K1188" s="141" t="str">
        <f t="shared" si="93"/>
        <v/>
      </c>
      <c r="L1188" s="141" t="str">
        <f t="shared" si="94"/>
        <v/>
      </c>
    </row>
    <row r="1189" spans="1:12" x14ac:dyDescent="0.3">
      <c r="A1189" s="36" t="str">
        <f xml:space="preserve"> IF( 'From SvanPC++'!A1189= "", "", ('From SvanPC++'!A1189))</f>
        <v/>
      </c>
      <c r="C1189" s="47" t="s">
        <v>10</v>
      </c>
      <c r="G1189" s="38" t="str">
        <f t="shared" si="91"/>
        <v/>
      </c>
      <c r="H1189" s="36" t="str">
        <f t="shared" si="95"/>
        <v/>
      </c>
      <c r="J1189" s="141" t="str">
        <f t="shared" si="92"/>
        <v/>
      </c>
      <c r="K1189" s="141" t="str">
        <f t="shared" si="93"/>
        <v/>
      </c>
      <c r="L1189" s="141" t="str">
        <f t="shared" si="94"/>
        <v/>
      </c>
    </row>
    <row r="1190" spans="1:12" x14ac:dyDescent="0.3">
      <c r="A1190" s="36" t="str">
        <f xml:space="preserve"> IF( 'From SvanPC++'!A1190= "", "", ('From SvanPC++'!A1190))</f>
        <v/>
      </c>
      <c r="C1190" s="47" t="s">
        <v>10</v>
      </c>
      <c r="G1190" s="38" t="str">
        <f t="shared" si="91"/>
        <v/>
      </c>
      <c r="H1190" s="36" t="str">
        <f t="shared" si="95"/>
        <v/>
      </c>
      <c r="J1190" s="141" t="str">
        <f t="shared" si="92"/>
        <v/>
      </c>
      <c r="K1190" s="141" t="str">
        <f t="shared" si="93"/>
        <v/>
      </c>
      <c r="L1190" s="141" t="str">
        <f t="shared" si="94"/>
        <v/>
      </c>
    </row>
    <row r="1191" spans="1:12" x14ac:dyDescent="0.3">
      <c r="A1191" s="36" t="str">
        <f xml:space="preserve"> IF( 'From SvanPC++'!A1191= "", "", ('From SvanPC++'!A1191))</f>
        <v/>
      </c>
      <c r="C1191" s="47" t="s">
        <v>10</v>
      </c>
      <c r="G1191" s="38" t="str">
        <f t="shared" si="91"/>
        <v/>
      </c>
      <c r="H1191" s="36" t="str">
        <f t="shared" si="95"/>
        <v/>
      </c>
      <c r="J1191" s="141" t="str">
        <f t="shared" si="92"/>
        <v/>
      </c>
      <c r="K1191" s="141" t="str">
        <f t="shared" si="93"/>
        <v/>
      </c>
      <c r="L1191" s="141" t="str">
        <f t="shared" si="94"/>
        <v/>
      </c>
    </row>
    <row r="1192" spans="1:12" x14ac:dyDescent="0.3">
      <c r="A1192" s="36" t="str">
        <f xml:space="preserve"> IF( 'From SvanPC++'!A1192= "", "", ('From SvanPC++'!A1192))</f>
        <v/>
      </c>
      <c r="C1192" s="47" t="s">
        <v>10</v>
      </c>
      <c r="G1192" s="38" t="str">
        <f t="shared" si="91"/>
        <v/>
      </c>
      <c r="H1192" s="36" t="str">
        <f t="shared" si="95"/>
        <v/>
      </c>
      <c r="J1192" s="141" t="str">
        <f t="shared" si="92"/>
        <v/>
      </c>
      <c r="K1192" s="141" t="str">
        <f t="shared" si="93"/>
        <v/>
      </c>
      <c r="L1192" s="141" t="str">
        <f t="shared" si="94"/>
        <v/>
      </c>
    </row>
    <row r="1193" spans="1:12" x14ac:dyDescent="0.3">
      <c r="A1193" s="36" t="str">
        <f xml:space="preserve"> IF( 'From SvanPC++'!A1193= "", "", ('From SvanPC++'!A1193))</f>
        <v/>
      </c>
      <c r="C1193" s="47" t="s">
        <v>10</v>
      </c>
      <c r="G1193" s="38" t="str">
        <f t="shared" si="91"/>
        <v/>
      </c>
      <c r="H1193" s="36" t="str">
        <f t="shared" si="95"/>
        <v/>
      </c>
      <c r="J1193" s="141" t="str">
        <f t="shared" si="92"/>
        <v/>
      </c>
      <c r="K1193" s="141" t="str">
        <f t="shared" si="93"/>
        <v/>
      </c>
      <c r="L1193" s="141" t="str">
        <f t="shared" si="94"/>
        <v/>
      </c>
    </row>
    <row r="1194" spans="1:12" x14ac:dyDescent="0.3">
      <c r="A1194" s="36" t="str">
        <f xml:space="preserve"> IF( 'From SvanPC++'!A1194= "", "", ('From SvanPC++'!A1194))</f>
        <v/>
      </c>
      <c r="C1194" s="47" t="s">
        <v>10</v>
      </c>
      <c r="G1194" s="38" t="str">
        <f t="shared" si="91"/>
        <v/>
      </c>
      <c r="H1194" s="36" t="str">
        <f t="shared" si="95"/>
        <v/>
      </c>
      <c r="J1194" s="141" t="str">
        <f t="shared" si="92"/>
        <v/>
      </c>
      <c r="K1194" s="141" t="str">
        <f t="shared" si="93"/>
        <v/>
      </c>
      <c r="L1194" s="141" t="str">
        <f t="shared" si="94"/>
        <v/>
      </c>
    </row>
    <row r="1195" spans="1:12" x14ac:dyDescent="0.3">
      <c r="A1195" s="36" t="str">
        <f xml:space="preserve"> IF( 'From SvanPC++'!A1195= "", "", ('From SvanPC++'!A1195))</f>
        <v/>
      </c>
      <c r="C1195" s="47" t="s">
        <v>10</v>
      </c>
      <c r="G1195" s="38" t="str">
        <f t="shared" si="91"/>
        <v/>
      </c>
      <c r="H1195" s="36" t="str">
        <f t="shared" si="95"/>
        <v/>
      </c>
      <c r="J1195" s="141" t="str">
        <f t="shared" si="92"/>
        <v/>
      </c>
      <c r="K1195" s="141" t="str">
        <f t="shared" si="93"/>
        <v/>
      </c>
      <c r="L1195" s="141" t="str">
        <f t="shared" si="94"/>
        <v/>
      </c>
    </row>
    <row r="1196" spans="1:12" x14ac:dyDescent="0.3">
      <c r="A1196" s="36" t="str">
        <f xml:space="preserve"> IF( 'From SvanPC++'!A1196= "", "", ('From SvanPC++'!A1196))</f>
        <v/>
      </c>
      <c r="C1196" s="47" t="s">
        <v>10</v>
      </c>
      <c r="G1196" s="38" t="str">
        <f t="shared" si="91"/>
        <v/>
      </c>
      <c r="H1196" s="36" t="str">
        <f t="shared" si="95"/>
        <v/>
      </c>
      <c r="J1196" s="141" t="str">
        <f t="shared" si="92"/>
        <v/>
      </c>
      <c r="K1196" s="141" t="str">
        <f t="shared" si="93"/>
        <v/>
      </c>
      <c r="L1196" s="141" t="str">
        <f t="shared" si="94"/>
        <v/>
      </c>
    </row>
    <row r="1197" spans="1:12" x14ac:dyDescent="0.3">
      <c r="A1197" s="36" t="str">
        <f xml:space="preserve"> IF( 'From SvanPC++'!A1197= "", "", ('From SvanPC++'!A1197))</f>
        <v/>
      </c>
      <c r="C1197" s="47" t="s">
        <v>10</v>
      </c>
      <c r="G1197" s="38" t="str">
        <f t="shared" si="91"/>
        <v/>
      </c>
      <c r="H1197" s="36" t="str">
        <f t="shared" si="95"/>
        <v/>
      </c>
      <c r="J1197" s="141" t="str">
        <f t="shared" si="92"/>
        <v/>
      </c>
      <c r="K1197" s="141" t="str">
        <f t="shared" si="93"/>
        <v/>
      </c>
      <c r="L1197" s="141" t="str">
        <f t="shared" si="94"/>
        <v/>
      </c>
    </row>
    <row r="1198" spans="1:12" x14ac:dyDescent="0.3">
      <c r="A1198" s="36" t="str">
        <f xml:space="preserve"> IF( 'From SvanPC++'!A1198= "", "", ('From SvanPC++'!A1198))</f>
        <v/>
      </c>
      <c r="C1198" s="47" t="s">
        <v>10</v>
      </c>
      <c r="G1198" s="38" t="str">
        <f t="shared" si="91"/>
        <v/>
      </c>
      <c r="H1198" s="36" t="str">
        <f t="shared" si="95"/>
        <v/>
      </c>
      <c r="J1198" s="141" t="str">
        <f t="shared" si="92"/>
        <v/>
      </c>
      <c r="K1198" s="141" t="str">
        <f t="shared" si="93"/>
        <v/>
      </c>
      <c r="L1198" s="141" t="str">
        <f t="shared" si="94"/>
        <v/>
      </c>
    </row>
    <row r="1199" spans="1:12" x14ac:dyDescent="0.3">
      <c r="A1199" s="36" t="str">
        <f xml:space="preserve"> IF( 'From SvanPC++'!A1199= "", "", ('From SvanPC++'!A1199))</f>
        <v/>
      </c>
      <c r="C1199" s="47" t="s">
        <v>10</v>
      </c>
      <c r="G1199" s="38" t="str">
        <f t="shared" si="91"/>
        <v/>
      </c>
      <c r="H1199" s="36" t="str">
        <f t="shared" si="95"/>
        <v/>
      </c>
      <c r="J1199" s="141" t="str">
        <f t="shared" si="92"/>
        <v/>
      </c>
      <c r="K1199" s="141" t="str">
        <f t="shared" si="93"/>
        <v/>
      </c>
      <c r="L1199" s="141" t="str">
        <f t="shared" si="94"/>
        <v/>
      </c>
    </row>
    <row r="1200" spans="1:12" x14ac:dyDescent="0.3">
      <c r="A1200" s="36" t="str">
        <f xml:space="preserve"> IF( 'From SvanPC++'!A1200= "", "", ('From SvanPC++'!A1200))</f>
        <v/>
      </c>
      <c r="C1200" s="47" t="s">
        <v>10</v>
      </c>
      <c r="G1200" s="38" t="str">
        <f t="shared" si="91"/>
        <v/>
      </c>
      <c r="H1200" s="36" t="str">
        <f t="shared" si="95"/>
        <v/>
      </c>
      <c r="J1200" s="141" t="str">
        <f t="shared" si="92"/>
        <v/>
      </c>
      <c r="K1200" s="141" t="str">
        <f t="shared" si="93"/>
        <v/>
      </c>
      <c r="L1200" s="141" t="str">
        <f t="shared" si="94"/>
        <v/>
      </c>
    </row>
    <row r="1201" spans="1:12" x14ac:dyDescent="0.3">
      <c r="A1201" s="36" t="str">
        <f xml:space="preserve"> IF( 'From SvanPC++'!A1201= "", "", ('From SvanPC++'!A1201))</f>
        <v/>
      </c>
      <c r="C1201" s="47" t="s">
        <v>10</v>
      </c>
      <c r="G1201" s="38" t="str">
        <f t="shared" si="91"/>
        <v/>
      </c>
      <c r="H1201" s="36" t="str">
        <f t="shared" si="95"/>
        <v/>
      </c>
      <c r="J1201" s="141" t="str">
        <f t="shared" si="92"/>
        <v/>
      </c>
      <c r="K1201" s="141" t="str">
        <f t="shared" si="93"/>
        <v/>
      </c>
      <c r="L1201" s="141" t="str">
        <f t="shared" si="94"/>
        <v/>
      </c>
    </row>
    <row r="1202" spans="1:12" x14ac:dyDescent="0.3">
      <c r="A1202" s="36" t="str">
        <f xml:space="preserve"> IF( 'From SvanPC++'!A1202= "", "", ('From SvanPC++'!A1202))</f>
        <v/>
      </c>
      <c r="C1202" s="47" t="s">
        <v>10</v>
      </c>
      <c r="G1202" s="38" t="str">
        <f t="shared" si="91"/>
        <v/>
      </c>
      <c r="H1202" s="36" t="str">
        <f t="shared" si="95"/>
        <v/>
      </c>
      <c r="J1202" s="141" t="str">
        <f t="shared" si="92"/>
        <v/>
      </c>
      <c r="K1202" s="141" t="str">
        <f t="shared" si="93"/>
        <v/>
      </c>
      <c r="L1202" s="141" t="str">
        <f t="shared" si="94"/>
        <v/>
      </c>
    </row>
    <row r="1203" spans="1:12" x14ac:dyDescent="0.3">
      <c r="A1203" s="36" t="str">
        <f xml:space="preserve"> IF( 'From SvanPC++'!A1203= "", "", ('From SvanPC++'!A1203))</f>
        <v/>
      </c>
      <c r="C1203" s="47" t="s">
        <v>10</v>
      </c>
      <c r="G1203" s="38" t="str">
        <f t="shared" si="91"/>
        <v/>
      </c>
      <c r="H1203" s="36" t="str">
        <f t="shared" si="95"/>
        <v/>
      </c>
      <c r="J1203" s="141" t="str">
        <f t="shared" si="92"/>
        <v/>
      </c>
      <c r="K1203" s="141" t="str">
        <f t="shared" si="93"/>
        <v/>
      </c>
      <c r="L1203" s="141" t="str">
        <f t="shared" si="94"/>
        <v/>
      </c>
    </row>
    <row r="1204" spans="1:12" x14ac:dyDescent="0.3">
      <c r="A1204" s="36" t="str">
        <f xml:space="preserve"> IF( 'From SvanPC++'!A1204= "", "", ('From SvanPC++'!A1204))</f>
        <v/>
      </c>
      <c r="C1204" s="47" t="s">
        <v>10</v>
      </c>
      <c r="G1204" s="38" t="str">
        <f t="shared" si="91"/>
        <v/>
      </c>
      <c r="H1204" s="36" t="str">
        <f t="shared" si="95"/>
        <v/>
      </c>
      <c r="J1204" s="141" t="str">
        <f t="shared" si="92"/>
        <v/>
      </c>
      <c r="K1204" s="141" t="str">
        <f t="shared" si="93"/>
        <v/>
      </c>
      <c r="L1204" s="141" t="str">
        <f t="shared" si="94"/>
        <v/>
      </c>
    </row>
    <row r="1205" spans="1:12" x14ac:dyDescent="0.3">
      <c r="A1205" s="36" t="str">
        <f xml:space="preserve"> IF( 'From SvanPC++'!A1205= "", "", ('From SvanPC++'!A1205))</f>
        <v/>
      </c>
      <c r="C1205" s="47" t="s">
        <v>10</v>
      </c>
      <c r="G1205" s="38" t="str">
        <f t="shared" si="91"/>
        <v/>
      </c>
      <c r="H1205" s="36" t="str">
        <f t="shared" si="95"/>
        <v/>
      </c>
      <c r="J1205" s="141" t="str">
        <f t="shared" si="92"/>
        <v/>
      </c>
      <c r="K1205" s="141" t="str">
        <f t="shared" si="93"/>
        <v/>
      </c>
      <c r="L1205" s="141" t="str">
        <f t="shared" si="94"/>
        <v/>
      </c>
    </row>
    <row r="1206" spans="1:12" x14ac:dyDescent="0.3">
      <c r="A1206" s="36" t="str">
        <f xml:space="preserve"> IF( 'From SvanPC++'!A1206= "", "", ('From SvanPC++'!A1206))</f>
        <v/>
      </c>
      <c r="C1206" s="47" t="s">
        <v>10</v>
      </c>
      <c r="G1206" s="38" t="str">
        <f t="shared" si="91"/>
        <v/>
      </c>
      <c r="H1206" s="36" t="str">
        <f t="shared" si="95"/>
        <v/>
      </c>
      <c r="J1206" s="141" t="str">
        <f t="shared" si="92"/>
        <v/>
      </c>
      <c r="K1206" s="141" t="str">
        <f t="shared" si="93"/>
        <v/>
      </c>
      <c r="L1206" s="141" t="str">
        <f t="shared" si="94"/>
        <v/>
      </c>
    </row>
    <row r="1207" spans="1:12" x14ac:dyDescent="0.3">
      <c r="A1207" s="36" t="str">
        <f xml:space="preserve"> IF( 'From SvanPC++'!A1207= "", "", ('From SvanPC++'!A1207))</f>
        <v/>
      </c>
      <c r="C1207" s="47" t="s">
        <v>10</v>
      </c>
      <c r="G1207" s="38" t="str">
        <f t="shared" si="91"/>
        <v/>
      </c>
      <c r="H1207" s="36" t="str">
        <f t="shared" si="95"/>
        <v/>
      </c>
      <c r="J1207" s="141" t="str">
        <f t="shared" si="92"/>
        <v/>
      </c>
      <c r="K1207" s="141" t="str">
        <f t="shared" si="93"/>
        <v/>
      </c>
      <c r="L1207" s="141" t="str">
        <f t="shared" si="94"/>
        <v/>
      </c>
    </row>
    <row r="1208" spans="1:12" x14ac:dyDescent="0.3">
      <c r="A1208" s="36" t="str">
        <f xml:space="preserve"> IF( 'From SvanPC++'!A1208= "", "", ('From SvanPC++'!A1208))</f>
        <v/>
      </c>
      <c r="C1208" s="47" t="s">
        <v>10</v>
      </c>
      <c r="G1208" s="38" t="str">
        <f t="shared" si="91"/>
        <v/>
      </c>
      <c r="H1208" s="36" t="str">
        <f t="shared" si="95"/>
        <v/>
      </c>
      <c r="J1208" s="141" t="str">
        <f t="shared" si="92"/>
        <v/>
      </c>
      <c r="K1208" s="141" t="str">
        <f t="shared" si="93"/>
        <v/>
      </c>
      <c r="L1208" s="141" t="str">
        <f t="shared" si="94"/>
        <v/>
      </c>
    </row>
    <row r="1209" spans="1:12" x14ac:dyDescent="0.3">
      <c r="A1209" s="36" t="str">
        <f xml:space="preserve"> IF( 'From SvanPC++'!A1209= "", "", ('From SvanPC++'!A1209))</f>
        <v/>
      </c>
      <c r="C1209" s="47" t="s">
        <v>10</v>
      </c>
      <c r="G1209" s="38" t="str">
        <f t="shared" si="91"/>
        <v/>
      </c>
      <c r="H1209" s="36" t="str">
        <f t="shared" si="95"/>
        <v/>
      </c>
      <c r="J1209" s="141" t="str">
        <f t="shared" si="92"/>
        <v/>
      </c>
      <c r="K1209" s="141" t="str">
        <f t="shared" si="93"/>
        <v/>
      </c>
      <c r="L1209" s="141" t="str">
        <f t="shared" si="94"/>
        <v/>
      </c>
    </row>
    <row r="1210" spans="1:12" x14ac:dyDescent="0.3">
      <c r="A1210" s="36" t="str">
        <f xml:space="preserve"> IF( 'From SvanPC++'!A1210= "", "", ('From SvanPC++'!A1210))</f>
        <v/>
      </c>
      <c r="C1210" s="47" t="s">
        <v>10</v>
      </c>
      <c r="G1210" s="38" t="str">
        <f t="shared" si="91"/>
        <v/>
      </c>
      <c r="H1210" s="36" t="str">
        <f t="shared" si="95"/>
        <v/>
      </c>
      <c r="J1210" s="141" t="str">
        <f t="shared" si="92"/>
        <v/>
      </c>
      <c r="K1210" s="141" t="str">
        <f t="shared" si="93"/>
        <v/>
      </c>
      <c r="L1210" s="141" t="str">
        <f t="shared" si="94"/>
        <v/>
      </c>
    </row>
    <row r="1211" spans="1:12" x14ac:dyDescent="0.3">
      <c r="A1211" s="36" t="str">
        <f xml:space="preserve"> IF( 'From SvanPC++'!A1211= "", "", ('From SvanPC++'!A1211))</f>
        <v/>
      </c>
      <c r="C1211" s="47" t="s">
        <v>10</v>
      </c>
      <c r="G1211" s="38" t="str">
        <f t="shared" si="91"/>
        <v/>
      </c>
      <c r="H1211" s="36" t="str">
        <f t="shared" si="95"/>
        <v/>
      </c>
      <c r="J1211" s="141" t="str">
        <f t="shared" si="92"/>
        <v/>
      </c>
      <c r="K1211" s="141" t="str">
        <f t="shared" si="93"/>
        <v/>
      </c>
      <c r="L1211" s="141" t="str">
        <f t="shared" si="94"/>
        <v/>
      </c>
    </row>
    <row r="1212" spans="1:12" x14ac:dyDescent="0.3">
      <c r="A1212" s="36" t="str">
        <f xml:space="preserve"> IF( 'From SvanPC++'!A1212= "", "", ('From SvanPC++'!A1212))</f>
        <v/>
      </c>
      <c r="C1212" s="47" t="s">
        <v>10</v>
      </c>
      <c r="G1212" s="38" t="str">
        <f t="shared" si="91"/>
        <v/>
      </c>
      <c r="H1212" s="36" t="str">
        <f t="shared" si="95"/>
        <v/>
      </c>
      <c r="J1212" s="141" t="str">
        <f t="shared" si="92"/>
        <v/>
      </c>
      <c r="K1212" s="141" t="str">
        <f t="shared" si="93"/>
        <v/>
      </c>
      <c r="L1212" s="141" t="str">
        <f t="shared" si="94"/>
        <v/>
      </c>
    </row>
    <row r="1213" spans="1:12" x14ac:dyDescent="0.3">
      <c r="A1213" s="36" t="str">
        <f xml:space="preserve"> IF( 'From SvanPC++'!A1213= "", "", ('From SvanPC++'!A1213))</f>
        <v/>
      </c>
      <c r="C1213" s="47" t="s">
        <v>10</v>
      </c>
      <c r="G1213" s="38" t="str">
        <f t="shared" si="91"/>
        <v/>
      </c>
      <c r="H1213" s="36" t="str">
        <f t="shared" si="95"/>
        <v/>
      </c>
      <c r="J1213" s="141" t="str">
        <f t="shared" si="92"/>
        <v/>
      </c>
      <c r="K1213" s="141" t="str">
        <f t="shared" si="93"/>
        <v/>
      </c>
      <c r="L1213" s="141" t="str">
        <f t="shared" si="94"/>
        <v/>
      </c>
    </row>
    <row r="1214" spans="1:12" x14ac:dyDescent="0.3">
      <c r="A1214" s="36" t="str">
        <f xml:space="preserve"> IF( 'From SvanPC++'!A1214= "", "", ('From SvanPC++'!A1214))</f>
        <v/>
      </c>
      <c r="C1214" s="47" t="s">
        <v>10</v>
      </c>
      <c r="G1214" s="38" t="str">
        <f t="shared" si="91"/>
        <v/>
      </c>
      <c r="H1214" s="36" t="str">
        <f t="shared" si="95"/>
        <v/>
      </c>
      <c r="J1214" s="141" t="str">
        <f t="shared" si="92"/>
        <v/>
      </c>
      <c r="K1214" s="141" t="str">
        <f t="shared" si="93"/>
        <v/>
      </c>
      <c r="L1214" s="141" t="str">
        <f t="shared" si="94"/>
        <v/>
      </c>
    </row>
    <row r="1215" spans="1:12" x14ac:dyDescent="0.3">
      <c r="A1215" s="36" t="str">
        <f xml:space="preserve"> IF( 'From SvanPC++'!A1215= "", "", ('From SvanPC++'!A1215))</f>
        <v/>
      </c>
      <c r="C1215" s="47" t="s">
        <v>10</v>
      </c>
      <c r="G1215" s="38" t="str">
        <f t="shared" si="91"/>
        <v/>
      </c>
      <c r="H1215" s="36" t="str">
        <f t="shared" si="95"/>
        <v/>
      </c>
      <c r="J1215" s="141" t="str">
        <f t="shared" si="92"/>
        <v/>
      </c>
      <c r="K1215" s="141" t="str">
        <f t="shared" si="93"/>
        <v/>
      </c>
      <c r="L1215" s="141" t="str">
        <f t="shared" si="94"/>
        <v/>
      </c>
    </row>
    <row r="1216" spans="1:12" x14ac:dyDescent="0.3">
      <c r="A1216" s="36" t="str">
        <f xml:space="preserve"> IF( 'From SvanPC++'!A1216= "", "", ('From SvanPC++'!A1216))</f>
        <v/>
      </c>
      <c r="C1216" s="47" t="s">
        <v>10</v>
      </c>
      <c r="G1216" s="38" t="str">
        <f t="shared" si="91"/>
        <v/>
      </c>
      <c r="H1216" s="36" t="str">
        <f t="shared" si="95"/>
        <v/>
      </c>
      <c r="J1216" s="141" t="str">
        <f t="shared" si="92"/>
        <v/>
      </c>
      <c r="K1216" s="141" t="str">
        <f t="shared" si="93"/>
        <v/>
      </c>
      <c r="L1216" s="141" t="str">
        <f t="shared" si="94"/>
        <v/>
      </c>
    </row>
    <row r="1217" spans="1:12" x14ac:dyDescent="0.3">
      <c r="A1217" s="36" t="str">
        <f xml:space="preserve"> IF( 'From SvanPC++'!A1217= "", "", ('From SvanPC++'!A1217))</f>
        <v/>
      </c>
      <c r="C1217" s="47" t="s">
        <v>10</v>
      </c>
      <c r="G1217" s="38" t="str">
        <f t="shared" si="91"/>
        <v/>
      </c>
      <c r="H1217" s="36" t="str">
        <f t="shared" si="95"/>
        <v/>
      </c>
      <c r="J1217" s="141" t="str">
        <f t="shared" si="92"/>
        <v/>
      </c>
      <c r="K1217" s="141" t="str">
        <f t="shared" si="93"/>
        <v/>
      </c>
      <c r="L1217" s="141" t="str">
        <f t="shared" si="94"/>
        <v/>
      </c>
    </row>
    <row r="1218" spans="1:12" x14ac:dyDescent="0.3">
      <c r="A1218" s="36" t="str">
        <f xml:space="preserve"> IF( 'From SvanPC++'!A1218= "", "", ('From SvanPC++'!A1218))</f>
        <v/>
      </c>
      <c r="C1218" s="47" t="s">
        <v>10</v>
      </c>
      <c r="G1218" s="38" t="str">
        <f t="shared" si="91"/>
        <v/>
      </c>
      <c r="H1218" s="36" t="str">
        <f t="shared" si="95"/>
        <v/>
      </c>
      <c r="J1218" s="141" t="str">
        <f t="shared" si="92"/>
        <v/>
      </c>
      <c r="K1218" s="141" t="str">
        <f t="shared" si="93"/>
        <v/>
      </c>
      <c r="L1218" s="141" t="str">
        <f t="shared" si="94"/>
        <v/>
      </c>
    </row>
    <row r="1219" spans="1:12" x14ac:dyDescent="0.3">
      <c r="A1219" s="36" t="str">
        <f xml:space="preserve"> IF( 'From SvanPC++'!A1219= "", "", ('From SvanPC++'!A1219))</f>
        <v/>
      </c>
      <c r="C1219" s="47" t="s">
        <v>10</v>
      </c>
      <c r="G1219" s="38" t="str">
        <f t="shared" si="91"/>
        <v/>
      </c>
      <c r="H1219" s="36" t="str">
        <f t="shared" si="95"/>
        <v/>
      </c>
      <c r="J1219" s="141" t="str">
        <f t="shared" si="92"/>
        <v/>
      </c>
      <c r="K1219" s="141" t="str">
        <f t="shared" si="93"/>
        <v/>
      </c>
      <c r="L1219" s="141" t="str">
        <f t="shared" si="94"/>
        <v/>
      </c>
    </row>
    <row r="1220" spans="1:12" x14ac:dyDescent="0.3">
      <c r="A1220" s="36" t="str">
        <f xml:space="preserve"> IF( 'From SvanPC++'!A1220= "", "", ('From SvanPC++'!A1220))</f>
        <v/>
      </c>
      <c r="C1220" s="47" t="s">
        <v>10</v>
      </c>
      <c r="G1220" s="38" t="str">
        <f t="shared" si="91"/>
        <v/>
      </c>
      <c r="H1220" s="36" t="str">
        <f t="shared" si="95"/>
        <v/>
      </c>
      <c r="J1220" s="141" t="str">
        <f t="shared" si="92"/>
        <v/>
      </c>
      <c r="K1220" s="141" t="str">
        <f t="shared" si="93"/>
        <v/>
      </c>
      <c r="L1220" s="141" t="str">
        <f t="shared" si="94"/>
        <v/>
      </c>
    </row>
    <row r="1221" spans="1:12" x14ac:dyDescent="0.3">
      <c r="A1221" s="36" t="str">
        <f xml:space="preserve"> IF( 'From SvanPC++'!A1221= "", "", ('From SvanPC++'!A1221))</f>
        <v/>
      </c>
      <c r="C1221" s="47" t="s">
        <v>10</v>
      </c>
      <c r="G1221" s="38" t="str">
        <f t="shared" si="91"/>
        <v/>
      </c>
      <c r="H1221" s="36" t="str">
        <f t="shared" si="95"/>
        <v/>
      </c>
      <c r="J1221" s="141" t="str">
        <f t="shared" si="92"/>
        <v/>
      </c>
      <c r="K1221" s="141" t="str">
        <f t="shared" si="93"/>
        <v/>
      </c>
      <c r="L1221" s="141" t="str">
        <f t="shared" si="94"/>
        <v/>
      </c>
    </row>
    <row r="1222" spans="1:12" x14ac:dyDescent="0.3">
      <c r="A1222" s="36" t="str">
        <f xml:space="preserve"> IF( 'From SvanPC++'!A1222= "", "", ('From SvanPC++'!A1222))</f>
        <v/>
      </c>
      <c r="C1222" s="47" t="s">
        <v>10</v>
      </c>
      <c r="G1222" s="38" t="str">
        <f t="shared" si="91"/>
        <v/>
      </c>
      <c r="H1222" s="36" t="str">
        <f t="shared" si="95"/>
        <v/>
      </c>
      <c r="J1222" s="141" t="str">
        <f t="shared" si="92"/>
        <v/>
      </c>
      <c r="K1222" s="141" t="str">
        <f t="shared" si="93"/>
        <v/>
      </c>
      <c r="L1222" s="141" t="str">
        <f t="shared" si="94"/>
        <v/>
      </c>
    </row>
    <row r="1223" spans="1:12" x14ac:dyDescent="0.3">
      <c r="A1223" s="36" t="str">
        <f xml:space="preserve"> IF( 'From SvanPC++'!A1223= "", "", ('From SvanPC++'!A1223))</f>
        <v/>
      </c>
      <c r="C1223" s="47" t="s">
        <v>10</v>
      </c>
      <c r="G1223" s="38" t="str">
        <f t="shared" ref="G1223:G1286" si="96" xml:space="preserve"> IF( D1223= "", "", ( IF( AND( D1223 &gt;= TIMEVALUE( "07:00:01" ), D1223 &lt; TIMEVALUE( "08:00:01" ) ) = TRUE, (G1222+1), (G1222+0) )))</f>
        <v/>
      </c>
      <c r="H1223" s="36" t="str">
        <f t="shared" si="95"/>
        <v/>
      </c>
      <c r="J1223" s="141" t="str">
        <f t="shared" si="92"/>
        <v/>
      </c>
      <c r="K1223" s="141" t="str">
        <f t="shared" si="93"/>
        <v/>
      </c>
      <c r="L1223" s="141" t="str">
        <f t="shared" si="94"/>
        <v/>
      </c>
    </row>
    <row r="1224" spans="1:12" x14ac:dyDescent="0.3">
      <c r="A1224" s="36" t="str">
        <f xml:space="preserve"> IF( 'From SvanPC++'!A1224= "", "", ('From SvanPC++'!A1224))</f>
        <v/>
      </c>
      <c r="C1224" s="47" t="s">
        <v>10</v>
      </c>
      <c r="G1224" s="38" t="str">
        <f t="shared" si="96"/>
        <v/>
      </c>
      <c r="H1224" s="36" t="str">
        <f t="shared" si="95"/>
        <v/>
      </c>
      <c r="J1224" s="141" t="str">
        <f t="shared" ref="J1224:J1287" si="97" xml:space="preserve"> IF( ISERROR( IF( D1224= "", "", ( IF( G1224= (G1223+1), ( AVERAGEIFS( E1224:E1368, G1224:G1368, G1224, H1224:H1368, "Day" )), "" )))), "",( IF( D1224= "", "", ( IF( G1224= (G1223+1), ( AVERAGEIFS( E1224:E1368, G1224:G1368, G1224, H1224:H1368, "Day" )), "" )))))</f>
        <v/>
      </c>
      <c r="K1224" s="141" t="str">
        <f t="shared" ref="K1224:K1287" si="98" xml:space="preserve"> IF( ISERROR( IF( D1224= "", "", ( IF( G1224= (G1223+1), ( AVERAGEIFS( E1224:E1368, G1224:G1368, G1224, H1224:H1368, "Evening" )), "" )))), "",( IF( D1224= "", "", ( IF( G1224= (G1223+1), ( AVERAGEIFS( E1224:E1368, G1224:G1368, G1224, H1224:H1368, "Evening" )), "" )))))</f>
        <v/>
      </c>
      <c r="L1224" s="141" t="str">
        <f t="shared" ref="L1224:L1287" si="99" xml:space="preserve"> IF( ISERROR( IF( D1224= "", "", ( IF( G1224= (G1223+1), ( AVERAGEIFS( E1224:E1368, G1224:G1368, G1224, H1224:H1368, "Night" )), "" )))), "",( IF( D1224= "", "", ( IF( G1224= (G1223+1), ( AVERAGEIFS( E1224:E1368, G1224:G1368, G1224, H1224:H1368, "Night" )), "" )))))</f>
        <v/>
      </c>
    </row>
    <row r="1225" spans="1:12" x14ac:dyDescent="0.3">
      <c r="A1225" s="36" t="str">
        <f xml:space="preserve"> IF( 'From SvanPC++'!A1225= "", "", ('From SvanPC++'!A1225))</f>
        <v/>
      </c>
      <c r="C1225" s="47" t="s">
        <v>10</v>
      </c>
      <c r="G1225" s="38" t="str">
        <f t="shared" si="96"/>
        <v/>
      </c>
      <c r="H1225" s="36" t="str">
        <f t="shared" si="95"/>
        <v/>
      </c>
      <c r="J1225" s="141" t="str">
        <f t="shared" si="97"/>
        <v/>
      </c>
      <c r="K1225" s="141" t="str">
        <f t="shared" si="98"/>
        <v/>
      </c>
      <c r="L1225" s="141" t="str">
        <f t="shared" si="99"/>
        <v/>
      </c>
    </row>
    <row r="1226" spans="1:12" x14ac:dyDescent="0.3">
      <c r="A1226" s="36" t="str">
        <f xml:space="preserve"> IF( 'From SvanPC++'!A1226= "", "", ('From SvanPC++'!A1226))</f>
        <v/>
      </c>
      <c r="C1226" s="47" t="s">
        <v>10</v>
      </c>
      <c r="G1226" s="38" t="str">
        <f t="shared" si="96"/>
        <v/>
      </c>
      <c r="H1226" s="36" t="str">
        <f t="shared" si="95"/>
        <v/>
      </c>
      <c r="J1226" s="141" t="str">
        <f t="shared" si="97"/>
        <v/>
      </c>
      <c r="K1226" s="141" t="str">
        <f t="shared" si="98"/>
        <v/>
      </c>
      <c r="L1226" s="141" t="str">
        <f t="shared" si="99"/>
        <v/>
      </c>
    </row>
    <row r="1227" spans="1:12" x14ac:dyDescent="0.3">
      <c r="A1227" s="36" t="str">
        <f xml:space="preserve"> IF( 'From SvanPC++'!A1227= "", "", ('From SvanPC++'!A1227))</f>
        <v/>
      </c>
      <c r="C1227" s="47" t="s">
        <v>10</v>
      </c>
      <c r="G1227" s="38" t="str">
        <f t="shared" si="96"/>
        <v/>
      </c>
      <c r="H1227" s="36" t="str">
        <f t="shared" si="95"/>
        <v/>
      </c>
      <c r="J1227" s="141" t="str">
        <f t="shared" si="97"/>
        <v/>
      </c>
      <c r="K1227" s="141" t="str">
        <f t="shared" si="98"/>
        <v/>
      </c>
      <c r="L1227" s="141" t="str">
        <f t="shared" si="99"/>
        <v/>
      </c>
    </row>
    <row r="1228" spans="1:12" x14ac:dyDescent="0.3">
      <c r="A1228" s="36" t="str">
        <f xml:space="preserve"> IF( 'From SvanPC++'!A1228= "", "", ('From SvanPC++'!A1228))</f>
        <v/>
      </c>
      <c r="C1228" s="47" t="s">
        <v>10</v>
      </c>
      <c r="G1228" s="38" t="str">
        <f t="shared" si="96"/>
        <v/>
      </c>
      <c r="H1228" s="36" t="str">
        <f t="shared" si="95"/>
        <v/>
      </c>
      <c r="J1228" s="141" t="str">
        <f t="shared" si="97"/>
        <v/>
      </c>
      <c r="K1228" s="141" t="str">
        <f t="shared" si="98"/>
        <v/>
      </c>
      <c r="L1228" s="141" t="str">
        <f t="shared" si="99"/>
        <v/>
      </c>
    </row>
    <row r="1229" spans="1:12" x14ac:dyDescent="0.3">
      <c r="A1229" s="36" t="str">
        <f xml:space="preserve"> IF( 'From SvanPC++'!A1229= "", "", ('From SvanPC++'!A1229))</f>
        <v/>
      </c>
      <c r="C1229" s="47" t="s">
        <v>10</v>
      </c>
      <c r="G1229" s="38" t="str">
        <f t="shared" si="96"/>
        <v/>
      </c>
      <c r="H1229" s="36" t="str">
        <f t="shared" si="95"/>
        <v/>
      </c>
      <c r="J1229" s="141" t="str">
        <f t="shared" si="97"/>
        <v/>
      </c>
      <c r="K1229" s="141" t="str">
        <f t="shared" si="98"/>
        <v/>
      </c>
      <c r="L1229" s="141" t="str">
        <f t="shared" si="99"/>
        <v/>
      </c>
    </row>
    <row r="1230" spans="1:12" x14ac:dyDescent="0.3">
      <c r="A1230" s="36" t="str">
        <f xml:space="preserve"> IF( 'From SvanPC++'!A1230= "", "", ('From SvanPC++'!A1230))</f>
        <v/>
      </c>
      <c r="C1230" s="47" t="s">
        <v>10</v>
      </c>
      <c r="G1230" s="38" t="str">
        <f t="shared" si="96"/>
        <v/>
      </c>
      <c r="H1230" s="36" t="str">
        <f t="shared" si="95"/>
        <v/>
      </c>
      <c r="J1230" s="141" t="str">
        <f t="shared" si="97"/>
        <v/>
      </c>
      <c r="K1230" s="141" t="str">
        <f t="shared" si="98"/>
        <v/>
      </c>
      <c r="L1230" s="141" t="str">
        <f t="shared" si="99"/>
        <v/>
      </c>
    </row>
    <row r="1231" spans="1:12" x14ac:dyDescent="0.3">
      <c r="A1231" s="36" t="str">
        <f xml:space="preserve"> IF( 'From SvanPC++'!A1231= "", "", ('From SvanPC++'!A1231))</f>
        <v/>
      </c>
      <c r="C1231" s="47" t="s">
        <v>10</v>
      </c>
      <c r="G1231" s="38" t="str">
        <f t="shared" si="96"/>
        <v/>
      </c>
      <c r="H1231" s="36" t="str">
        <f t="shared" si="95"/>
        <v/>
      </c>
      <c r="J1231" s="141" t="str">
        <f t="shared" si="97"/>
        <v/>
      </c>
      <c r="K1231" s="141" t="str">
        <f t="shared" si="98"/>
        <v/>
      </c>
      <c r="L1231" s="141" t="str">
        <f t="shared" si="99"/>
        <v/>
      </c>
    </row>
    <row r="1232" spans="1:12" x14ac:dyDescent="0.3">
      <c r="A1232" s="36" t="str">
        <f xml:space="preserve"> IF( 'From SvanPC++'!A1232= "", "", ('From SvanPC++'!A1232))</f>
        <v/>
      </c>
      <c r="C1232" s="47" t="s">
        <v>10</v>
      </c>
      <c r="G1232" s="38" t="str">
        <f t="shared" si="96"/>
        <v/>
      </c>
      <c r="H1232" s="36" t="str">
        <f t="shared" si="95"/>
        <v/>
      </c>
      <c r="J1232" s="141" t="str">
        <f t="shared" si="97"/>
        <v/>
      </c>
      <c r="K1232" s="141" t="str">
        <f t="shared" si="98"/>
        <v/>
      </c>
      <c r="L1232" s="141" t="str">
        <f t="shared" si="99"/>
        <v/>
      </c>
    </row>
    <row r="1233" spans="1:12" x14ac:dyDescent="0.3">
      <c r="A1233" s="36" t="str">
        <f xml:space="preserve"> IF( 'From SvanPC++'!A1233= "", "", ('From SvanPC++'!A1233))</f>
        <v/>
      </c>
      <c r="C1233" s="47" t="s">
        <v>10</v>
      </c>
      <c r="G1233" s="38" t="str">
        <f t="shared" si="96"/>
        <v/>
      </c>
      <c r="H1233" s="36" t="str">
        <f t="shared" si="95"/>
        <v/>
      </c>
      <c r="J1233" s="141" t="str">
        <f t="shared" si="97"/>
        <v/>
      </c>
      <c r="K1233" s="141" t="str">
        <f t="shared" si="98"/>
        <v/>
      </c>
      <c r="L1233" s="141" t="str">
        <f t="shared" si="99"/>
        <v/>
      </c>
    </row>
    <row r="1234" spans="1:12" x14ac:dyDescent="0.3">
      <c r="A1234" s="36" t="str">
        <f xml:space="preserve"> IF( 'From SvanPC++'!A1234= "", "", ('From SvanPC++'!A1234))</f>
        <v/>
      </c>
      <c r="C1234" s="47" t="s">
        <v>10</v>
      </c>
      <c r="G1234" s="38" t="str">
        <f t="shared" si="96"/>
        <v/>
      </c>
      <c r="H1234" s="36" t="str">
        <f t="shared" si="95"/>
        <v/>
      </c>
      <c r="J1234" s="141" t="str">
        <f t="shared" si="97"/>
        <v/>
      </c>
      <c r="K1234" s="141" t="str">
        <f t="shared" si="98"/>
        <v/>
      </c>
      <c r="L1234" s="141" t="str">
        <f t="shared" si="99"/>
        <v/>
      </c>
    </row>
    <row r="1235" spans="1:12" x14ac:dyDescent="0.3">
      <c r="A1235" s="36" t="str">
        <f xml:space="preserve"> IF( 'From SvanPC++'!A1235= "", "", ('From SvanPC++'!A1235))</f>
        <v/>
      </c>
      <c r="C1235" s="47" t="s">
        <v>10</v>
      </c>
      <c r="G1235" s="38" t="str">
        <f t="shared" si="96"/>
        <v/>
      </c>
      <c r="H1235" s="36" t="str">
        <f t="shared" si="95"/>
        <v/>
      </c>
      <c r="J1235" s="141" t="str">
        <f t="shared" si="97"/>
        <v/>
      </c>
      <c r="K1235" s="141" t="str">
        <f t="shared" si="98"/>
        <v/>
      </c>
      <c r="L1235" s="141" t="str">
        <f t="shared" si="99"/>
        <v/>
      </c>
    </row>
    <row r="1236" spans="1:12" x14ac:dyDescent="0.3">
      <c r="A1236" s="36" t="str">
        <f xml:space="preserve"> IF( 'From SvanPC++'!A1236= "", "", ('From SvanPC++'!A1236))</f>
        <v/>
      </c>
      <c r="C1236" s="47" t="s">
        <v>10</v>
      </c>
      <c r="G1236" s="38" t="str">
        <f t="shared" si="96"/>
        <v/>
      </c>
      <c r="H1236" s="36" t="str">
        <f t="shared" si="95"/>
        <v/>
      </c>
      <c r="J1236" s="141" t="str">
        <f t="shared" si="97"/>
        <v/>
      </c>
      <c r="K1236" s="141" t="str">
        <f t="shared" si="98"/>
        <v/>
      </c>
      <c r="L1236" s="141" t="str">
        <f t="shared" si="99"/>
        <v/>
      </c>
    </row>
    <row r="1237" spans="1:12" x14ac:dyDescent="0.3">
      <c r="A1237" s="36" t="str">
        <f xml:space="preserve"> IF( 'From SvanPC++'!A1237= "", "", ('From SvanPC++'!A1237))</f>
        <v/>
      </c>
      <c r="C1237" s="47" t="s">
        <v>10</v>
      </c>
      <c r="G1237" s="38" t="str">
        <f t="shared" si="96"/>
        <v/>
      </c>
      <c r="H1237" s="36" t="str">
        <f t="shared" si="95"/>
        <v/>
      </c>
      <c r="J1237" s="141" t="str">
        <f t="shared" si="97"/>
        <v/>
      </c>
      <c r="K1237" s="141" t="str">
        <f t="shared" si="98"/>
        <v/>
      </c>
      <c r="L1237" s="141" t="str">
        <f t="shared" si="99"/>
        <v/>
      </c>
    </row>
    <row r="1238" spans="1:12" x14ac:dyDescent="0.3">
      <c r="A1238" s="36" t="str">
        <f xml:space="preserve"> IF( 'From SvanPC++'!A1238= "", "", ('From SvanPC++'!A1238))</f>
        <v/>
      </c>
      <c r="C1238" s="47" t="s">
        <v>10</v>
      </c>
      <c r="G1238" s="38" t="str">
        <f t="shared" si="96"/>
        <v/>
      </c>
      <c r="H1238" s="36" t="str">
        <f t="shared" si="95"/>
        <v/>
      </c>
      <c r="J1238" s="141" t="str">
        <f t="shared" si="97"/>
        <v/>
      </c>
      <c r="K1238" s="141" t="str">
        <f t="shared" si="98"/>
        <v/>
      </c>
      <c r="L1238" s="141" t="str">
        <f t="shared" si="99"/>
        <v/>
      </c>
    </row>
    <row r="1239" spans="1:12" x14ac:dyDescent="0.3">
      <c r="A1239" s="36" t="str">
        <f xml:space="preserve"> IF( 'From SvanPC++'!A1239= "", "", ('From SvanPC++'!A1239))</f>
        <v/>
      </c>
      <c r="C1239" s="47" t="s">
        <v>10</v>
      </c>
      <c r="G1239" s="38" t="str">
        <f t="shared" si="96"/>
        <v/>
      </c>
      <c r="H1239" s="36" t="str">
        <f t="shared" ref="H1239:H1302" si="100" xml:space="preserve"> IF( D1239= "", "", ( IF( AND( D1239 &gt;= TIMEVALUE( "07:00:01" ), D1239 &lt;= TIMEVALUE( "13:00:00" ), WEEKDAY( C1239) =(7+N("Lines 2-17 = saturday day period")) ) = TRUE, "Day",
IF( AND( D1239 &gt;= TIMEVALUE( "07:00:01" ), D1239 &lt;= TIMEVALUE( "18:00:00" ), WEEKDAY( C1239,1+N("Lines 19-38 = weekday day period")) &gt;=2, ( WEEKDAY( C1239,1) &lt;=6) ) = TRUE, "Day",
IF( AND( D1239 &gt;= TIMEVALUE( "13:00:01" ), D1239 &lt;= TIMEVALUE( "22:00:00" ), WEEKDAY( C1239) =(7+N("Lines 40-56 = saturday evening period")) ) = TRUE, "Evening",
IF( AND( D1239 &gt;= TIMEVALUE( "18:00:01" ), D1239 &lt;= TIMEVALUE( "22:00:00" ), WEEKDAY( C1239,1+N("Lines 57-77 = weekday evening period")) &gt;=2, ( WEEKDAY( C1239,1) &lt;=6) ) = TRUE, "Evening",
IF( AND( D1239 &gt;= TIMEVALUE( "07:00:01" ), D1239 &lt;= TIMEVALUE( "22:00:00" ), WEEKDAY( C1239) =(1+N("Lines 78-94 = sunday evening period")) ) = TRUE, "Evening",
IF( AND( D1239 &gt;= TIMEVALUE( "22:00:01" ), D1239 &lt;= TIMEVALUE( "23:59:59" ), WEEKDAY( C1239) =(7+N("Lines 95-111 = saturday night1 period")) ) = TRUE, "Night",
IF( AND( D1239 &gt;= TIMEVALUE( "00:00:00" ), D1239 &lt;= TIMEVALUE( "07:00:00" ), WEEKDAY( C1239) =(7+N("Lines 112-128 = saturday night2 period")) ) = TRUE, "Night",
IF( AND( D1239 &gt;= TIMEVALUE( "22:00:01" ), D1239 &lt;= TIMEVALUE( "23:59:59" ), WEEKDAY( C1239,1+N("Lines 129-149 = weekday night1 period")) &gt;=2, ( WEEKDAY( C1239,1) &lt;=6) ) = TRUE, "Night",
IF( AND( D1239 &gt;= TIMEVALUE( "00:00:00" ), D1239 &lt;= TIMEVALUE( "07:00:00" ), WEEKDAY( C1239,1+N("Lines 150-170 = weekday night2 period")) &gt;=2, ( WEEKDAY( C1239,1) &lt;=6) ) = TRUE, "Night",
IF( AND( D1239 &gt;= TIMEVALUE( "20:00:01" ), D1239 &lt;= TIMEVALUE( "23:59:59" ), WEEKDAY( C1239) =(1+N("Lines 171-187 = sunday night1 period")) ) = TRUE, "Night",
IF( AND( D1239 &gt;= TIMEVALUE( "00:00:00" ), D1239 &lt;= TIMEVALUE( "07:00:00" ), WEEKDAY( C1239) =(1+N("Lines 188-204 = sunday night2 period")) ) = TRUE, "Night", )))))))))))))</f>
        <v/>
      </c>
      <c r="J1239" s="141" t="str">
        <f t="shared" si="97"/>
        <v/>
      </c>
      <c r="K1239" s="141" t="str">
        <f t="shared" si="98"/>
        <v/>
      </c>
      <c r="L1239" s="141" t="str">
        <f t="shared" si="99"/>
        <v/>
      </c>
    </row>
    <row r="1240" spans="1:12" x14ac:dyDescent="0.3">
      <c r="A1240" s="36" t="str">
        <f xml:space="preserve"> IF( 'From SvanPC++'!A1240= "", "", ('From SvanPC++'!A1240))</f>
        <v/>
      </c>
      <c r="C1240" s="47" t="s">
        <v>10</v>
      </c>
      <c r="G1240" s="38" t="str">
        <f t="shared" si="96"/>
        <v/>
      </c>
      <c r="H1240" s="36" t="str">
        <f t="shared" si="100"/>
        <v/>
      </c>
      <c r="J1240" s="141" t="str">
        <f t="shared" si="97"/>
        <v/>
      </c>
      <c r="K1240" s="141" t="str">
        <f t="shared" si="98"/>
        <v/>
      </c>
      <c r="L1240" s="141" t="str">
        <f t="shared" si="99"/>
        <v/>
      </c>
    </row>
    <row r="1241" spans="1:12" x14ac:dyDescent="0.3">
      <c r="A1241" s="36" t="str">
        <f xml:space="preserve"> IF( 'From SvanPC++'!A1241= "", "", ('From SvanPC++'!A1241))</f>
        <v/>
      </c>
      <c r="C1241" s="47" t="s">
        <v>10</v>
      </c>
      <c r="G1241" s="38" t="str">
        <f t="shared" si="96"/>
        <v/>
      </c>
      <c r="H1241" s="36" t="str">
        <f t="shared" si="100"/>
        <v/>
      </c>
      <c r="J1241" s="141" t="str">
        <f t="shared" si="97"/>
        <v/>
      </c>
      <c r="K1241" s="141" t="str">
        <f t="shared" si="98"/>
        <v/>
      </c>
      <c r="L1241" s="141" t="str">
        <f t="shared" si="99"/>
        <v/>
      </c>
    </row>
    <row r="1242" spans="1:12" x14ac:dyDescent="0.3">
      <c r="A1242" s="36" t="str">
        <f xml:space="preserve"> IF( 'From SvanPC++'!A1242= "", "", ('From SvanPC++'!A1242))</f>
        <v/>
      </c>
      <c r="C1242" s="47" t="s">
        <v>10</v>
      </c>
      <c r="G1242" s="38" t="str">
        <f t="shared" si="96"/>
        <v/>
      </c>
      <c r="H1242" s="36" t="str">
        <f t="shared" si="100"/>
        <v/>
      </c>
      <c r="J1242" s="141" t="str">
        <f t="shared" si="97"/>
        <v/>
      </c>
      <c r="K1242" s="141" t="str">
        <f t="shared" si="98"/>
        <v/>
      </c>
      <c r="L1242" s="141" t="str">
        <f t="shared" si="99"/>
        <v/>
      </c>
    </row>
    <row r="1243" spans="1:12" x14ac:dyDescent="0.3">
      <c r="A1243" s="36" t="str">
        <f xml:space="preserve"> IF( 'From SvanPC++'!A1243= "", "", ('From SvanPC++'!A1243))</f>
        <v/>
      </c>
      <c r="C1243" s="47" t="s">
        <v>10</v>
      </c>
      <c r="G1243" s="38" t="str">
        <f t="shared" si="96"/>
        <v/>
      </c>
      <c r="H1243" s="36" t="str">
        <f t="shared" si="100"/>
        <v/>
      </c>
      <c r="J1243" s="141" t="str">
        <f t="shared" si="97"/>
        <v/>
      </c>
      <c r="K1243" s="141" t="str">
        <f t="shared" si="98"/>
        <v/>
      </c>
      <c r="L1243" s="141" t="str">
        <f t="shared" si="99"/>
        <v/>
      </c>
    </row>
    <row r="1244" spans="1:12" x14ac:dyDescent="0.3">
      <c r="A1244" s="36" t="str">
        <f xml:space="preserve"> IF( 'From SvanPC++'!A1244= "", "", ('From SvanPC++'!A1244))</f>
        <v/>
      </c>
      <c r="C1244" s="47" t="s">
        <v>10</v>
      </c>
      <c r="G1244" s="38" t="str">
        <f t="shared" si="96"/>
        <v/>
      </c>
      <c r="H1244" s="36" t="str">
        <f t="shared" si="100"/>
        <v/>
      </c>
      <c r="J1244" s="141" t="str">
        <f t="shared" si="97"/>
        <v/>
      </c>
      <c r="K1244" s="141" t="str">
        <f t="shared" si="98"/>
        <v/>
      </c>
      <c r="L1244" s="141" t="str">
        <f t="shared" si="99"/>
        <v/>
      </c>
    </row>
    <row r="1245" spans="1:12" x14ac:dyDescent="0.3">
      <c r="A1245" s="36" t="str">
        <f xml:space="preserve"> IF( 'From SvanPC++'!A1245= "", "", ('From SvanPC++'!A1245))</f>
        <v/>
      </c>
      <c r="C1245" s="47" t="s">
        <v>10</v>
      </c>
      <c r="G1245" s="38" t="str">
        <f t="shared" si="96"/>
        <v/>
      </c>
      <c r="H1245" s="36" t="str">
        <f t="shared" si="100"/>
        <v/>
      </c>
      <c r="J1245" s="141" t="str">
        <f t="shared" si="97"/>
        <v/>
      </c>
      <c r="K1245" s="141" t="str">
        <f t="shared" si="98"/>
        <v/>
      </c>
      <c r="L1245" s="141" t="str">
        <f t="shared" si="99"/>
        <v/>
      </c>
    </row>
    <row r="1246" spans="1:12" x14ac:dyDescent="0.3">
      <c r="A1246" s="36" t="str">
        <f xml:space="preserve"> IF( 'From SvanPC++'!A1246= "", "", ('From SvanPC++'!A1246))</f>
        <v/>
      </c>
      <c r="C1246" s="47" t="s">
        <v>10</v>
      </c>
      <c r="G1246" s="38" t="str">
        <f t="shared" si="96"/>
        <v/>
      </c>
      <c r="H1246" s="36" t="str">
        <f t="shared" si="100"/>
        <v/>
      </c>
      <c r="J1246" s="141" t="str">
        <f t="shared" si="97"/>
        <v/>
      </c>
      <c r="K1246" s="141" t="str">
        <f t="shared" si="98"/>
        <v/>
      </c>
      <c r="L1246" s="141" t="str">
        <f t="shared" si="99"/>
        <v/>
      </c>
    </row>
    <row r="1247" spans="1:12" x14ac:dyDescent="0.3">
      <c r="A1247" s="36" t="str">
        <f xml:space="preserve"> IF( 'From SvanPC++'!A1247= "", "", ('From SvanPC++'!A1247))</f>
        <v/>
      </c>
      <c r="C1247" s="47" t="s">
        <v>10</v>
      </c>
      <c r="G1247" s="38" t="str">
        <f t="shared" si="96"/>
        <v/>
      </c>
      <c r="H1247" s="36" t="str">
        <f t="shared" si="100"/>
        <v/>
      </c>
      <c r="J1247" s="141" t="str">
        <f t="shared" si="97"/>
        <v/>
      </c>
      <c r="K1247" s="141" t="str">
        <f t="shared" si="98"/>
        <v/>
      </c>
      <c r="L1247" s="141" t="str">
        <f t="shared" si="99"/>
        <v/>
      </c>
    </row>
    <row r="1248" spans="1:12" x14ac:dyDescent="0.3">
      <c r="A1248" s="36" t="str">
        <f xml:space="preserve"> IF( 'From SvanPC++'!A1248= "", "", ('From SvanPC++'!A1248))</f>
        <v/>
      </c>
      <c r="C1248" s="47" t="s">
        <v>10</v>
      </c>
      <c r="G1248" s="38" t="str">
        <f t="shared" si="96"/>
        <v/>
      </c>
      <c r="H1248" s="36" t="str">
        <f t="shared" si="100"/>
        <v/>
      </c>
      <c r="J1248" s="141" t="str">
        <f t="shared" si="97"/>
        <v/>
      </c>
      <c r="K1248" s="141" t="str">
        <f t="shared" si="98"/>
        <v/>
      </c>
      <c r="L1248" s="141" t="str">
        <f t="shared" si="99"/>
        <v/>
      </c>
    </row>
    <row r="1249" spans="1:12" x14ac:dyDescent="0.3">
      <c r="A1249" s="36" t="str">
        <f xml:space="preserve"> IF( 'From SvanPC++'!A1249= "", "", ('From SvanPC++'!A1249))</f>
        <v/>
      </c>
      <c r="C1249" s="47" t="s">
        <v>10</v>
      </c>
      <c r="G1249" s="38" t="str">
        <f t="shared" si="96"/>
        <v/>
      </c>
      <c r="H1249" s="36" t="str">
        <f t="shared" si="100"/>
        <v/>
      </c>
      <c r="J1249" s="141" t="str">
        <f t="shared" si="97"/>
        <v/>
      </c>
      <c r="K1249" s="141" t="str">
        <f t="shared" si="98"/>
        <v/>
      </c>
      <c r="L1249" s="141" t="str">
        <f t="shared" si="99"/>
        <v/>
      </c>
    </row>
    <row r="1250" spans="1:12" x14ac:dyDescent="0.3">
      <c r="A1250" s="36" t="str">
        <f xml:space="preserve"> IF( 'From SvanPC++'!A1250= "", "", ('From SvanPC++'!A1250))</f>
        <v/>
      </c>
      <c r="C1250" s="47" t="s">
        <v>10</v>
      </c>
      <c r="G1250" s="38" t="str">
        <f t="shared" si="96"/>
        <v/>
      </c>
      <c r="H1250" s="36" t="str">
        <f t="shared" si="100"/>
        <v/>
      </c>
      <c r="J1250" s="141" t="str">
        <f t="shared" si="97"/>
        <v/>
      </c>
      <c r="K1250" s="141" t="str">
        <f t="shared" si="98"/>
        <v/>
      </c>
      <c r="L1250" s="141" t="str">
        <f t="shared" si="99"/>
        <v/>
      </c>
    </row>
    <row r="1251" spans="1:12" x14ac:dyDescent="0.3">
      <c r="A1251" s="36" t="str">
        <f xml:space="preserve"> IF( 'From SvanPC++'!A1251= "", "", ('From SvanPC++'!A1251))</f>
        <v/>
      </c>
      <c r="C1251" s="47" t="s">
        <v>10</v>
      </c>
      <c r="G1251" s="38" t="str">
        <f t="shared" si="96"/>
        <v/>
      </c>
      <c r="H1251" s="36" t="str">
        <f t="shared" si="100"/>
        <v/>
      </c>
      <c r="J1251" s="141" t="str">
        <f t="shared" si="97"/>
        <v/>
      </c>
      <c r="K1251" s="141" t="str">
        <f t="shared" si="98"/>
        <v/>
      </c>
      <c r="L1251" s="141" t="str">
        <f t="shared" si="99"/>
        <v/>
      </c>
    </row>
    <row r="1252" spans="1:12" x14ac:dyDescent="0.3">
      <c r="A1252" s="36" t="str">
        <f xml:space="preserve"> IF( 'From SvanPC++'!A1252= "", "", ('From SvanPC++'!A1252))</f>
        <v/>
      </c>
      <c r="C1252" s="47" t="s">
        <v>10</v>
      </c>
      <c r="G1252" s="38" t="str">
        <f t="shared" si="96"/>
        <v/>
      </c>
      <c r="H1252" s="36" t="str">
        <f t="shared" si="100"/>
        <v/>
      </c>
      <c r="J1252" s="141" t="str">
        <f t="shared" si="97"/>
        <v/>
      </c>
      <c r="K1252" s="141" t="str">
        <f t="shared" si="98"/>
        <v/>
      </c>
      <c r="L1252" s="141" t="str">
        <f t="shared" si="99"/>
        <v/>
      </c>
    </row>
    <row r="1253" spans="1:12" x14ac:dyDescent="0.3">
      <c r="A1253" s="36" t="str">
        <f xml:space="preserve"> IF( 'From SvanPC++'!A1253= "", "", ('From SvanPC++'!A1253))</f>
        <v/>
      </c>
      <c r="C1253" s="47" t="s">
        <v>10</v>
      </c>
      <c r="G1253" s="38" t="str">
        <f t="shared" si="96"/>
        <v/>
      </c>
      <c r="H1253" s="36" t="str">
        <f t="shared" si="100"/>
        <v/>
      </c>
      <c r="J1253" s="141" t="str">
        <f t="shared" si="97"/>
        <v/>
      </c>
      <c r="K1253" s="141" t="str">
        <f t="shared" si="98"/>
        <v/>
      </c>
      <c r="L1253" s="141" t="str">
        <f t="shared" si="99"/>
        <v/>
      </c>
    </row>
    <row r="1254" spans="1:12" x14ac:dyDescent="0.3">
      <c r="A1254" s="36" t="str">
        <f xml:space="preserve"> IF( 'From SvanPC++'!A1254= "", "", ('From SvanPC++'!A1254))</f>
        <v/>
      </c>
      <c r="C1254" s="47" t="s">
        <v>10</v>
      </c>
      <c r="G1254" s="38" t="str">
        <f t="shared" si="96"/>
        <v/>
      </c>
      <c r="H1254" s="36" t="str">
        <f t="shared" si="100"/>
        <v/>
      </c>
      <c r="J1254" s="141" t="str">
        <f t="shared" si="97"/>
        <v/>
      </c>
      <c r="K1254" s="141" t="str">
        <f t="shared" si="98"/>
        <v/>
      </c>
      <c r="L1254" s="141" t="str">
        <f t="shared" si="99"/>
        <v/>
      </c>
    </row>
    <row r="1255" spans="1:12" x14ac:dyDescent="0.3">
      <c r="A1255" s="36" t="str">
        <f xml:space="preserve"> IF( 'From SvanPC++'!A1255= "", "", ('From SvanPC++'!A1255))</f>
        <v/>
      </c>
      <c r="C1255" s="47" t="s">
        <v>10</v>
      </c>
      <c r="G1255" s="38" t="str">
        <f t="shared" si="96"/>
        <v/>
      </c>
      <c r="H1255" s="36" t="str">
        <f t="shared" si="100"/>
        <v/>
      </c>
      <c r="J1255" s="141" t="str">
        <f t="shared" si="97"/>
        <v/>
      </c>
      <c r="K1255" s="141" t="str">
        <f t="shared" si="98"/>
        <v/>
      </c>
      <c r="L1255" s="141" t="str">
        <f t="shared" si="99"/>
        <v/>
      </c>
    </row>
    <row r="1256" spans="1:12" x14ac:dyDescent="0.3">
      <c r="A1256" s="36" t="str">
        <f xml:space="preserve"> IF( 'From SvanPC++'!A1256= "", "", ('From SvanPC++'!A1256))</f>
        <v/>
      </c>
      <c r="C1256" s="47" t="s">
        <v>10</v>
      </c>
      <c r="G1256" s="38" t="str">
        <f t="shared" si="96"/>
        <v/>
      </c>
      <c r="H1256" s="36" t="str">
        <f t="shared" si="100"/>
        <v/>
      </c>
      <c r="J1256" s="141" t="str">
        <f t="shared" si="97"/>
        <v/>
      </c>
      <c r="K1256" s="141" t="str">
        <f t="shared" si="98"/>
        <v/>
      </c>
      <c r="L1256" s="141" t="str">
        <f t="shared" si="99"/>
        <v/>
      </c>
    </row>
    <row r="1257" spans="1:12" x14ac:dyDescent="0.3">
      <c r="A1257" s="36" t="str">
        <f xml:space="preserve"> IF( 'From SvanPC++'!A1257= "", "", ('From SvanPC++'!A1257))</f>
        <v/>
      </c>
      <c r="C1257" s="47" t="s">
        <v>10</v>
      </c>
      <c r="G1257" s="38" t="str">
        <f t="shared" si="96"/>
        <v/>
      </c>
      <c r="H1257" s="36" t="str">
        <f t="shared" si="100"/>
        <v/>
      </c>
      <c r="J1257" s="141" t="str">
        <f t="shared" si="97"/>
        <v/>
      </c>
      <c r="K1257" s="141" t="str">
        <f t="shared" si="98"/>
        <v/>
      </c>
      <c r="L1257" s="141" t="str">
        <f t="shared" si="99"/>
        <v/>
      </c>
    </row>
    <row r="1258" spans="1:12" x14ac:dyDescent="0.3">
      <c r="A1258" s="36" t="str">
        <f xml:space="preserve"> IF( 'From SvanPC++'!A1258= "", "", ('From SvanPC++'!A1258))</f>
        <v/>
      </c>
      <c r="C1258" s="47" t="s">
        <v>10</v>
      </c>
      <c r="G1258" s="38" t="str">
        <f t="shared" si="96"/>
        <v/>
      </c>
      <c r="H1258" s="36" t="str">
        <f t="shared" si="100"/>
        <v/>
      </c>
      <c r="J1258" s="141" t="str">
        <f t="shared" si="97"/>
        <v/>
      </c>
      <c r="K1258" s="141" t="str">
        <f t="shared" si="98"/>
        <v/>
      </c>
      <c r="L1258" s="141" t="str">
        <f t="shared" si="99"/>
        <v/>
      </c>
    </row>
    <row r="1259" spans="1:12" x14ac:dyDescent="0.3">
      <c r="A1259" s="36" t="str">
        <f xml:space="preserve"> IF( 'From SvanPC++'!A1259= "", "", ('From SvanPC++'!A1259))</f>
        <v/>
      </c>
      <c r="C1259" s="47" t="s">
        <v>10</v>
      </c>
      <c r="G1259" s="38" t="str">
        <f t="shared" si="96"/>
        <v/>
      </c>
      <c r="H1259" s="36" t="str">
        <f t="shared" si="100"/>
        <v/>
      </c>
      <c r="J1259" s="141" t="str">
        <f t="shared" si="97"/>
        <v/>
      </c>
      <c r="K1259" s="141" t="str">
        <f t="shared" si="98"/>
        <v/>
      </c>
      <c r="L1259" s="141" t="str">
        <f t="shared" si="99"/>
        <v/>
      </c>
    </row>
    <row r="1260" spans="1:12" x14ac:dyDescent="0.3">
      <c r="A1260" s="36" t="str">
        <f xml:space="preserve"> IF( 'From SvanPC++'!A1260= "", "", ('From SvanPC++'!A1260))</f>
        <v/>
      </c>
      <c r="C1260" s="47" t="s">
        <v>10</v>
      </c>
      <c r="G1260" s="38" t="str">
        <f t="shared" si="96"/>
        <v/>
      </c>
      <c r="H1260" s="36" t="str">
        <f t="shared" si="100"/>
        <v/>
      </c>
      <c r="J1260" s="141" t="str">
        <f t="shared" si="97"/>
        <v/>
      </c>
      <c r="K1260" s="141" t="str">
        <f t="shared" si="98"/>
        <v/>
      </c>
      <c r="L1260" s="141" t="str">
        <f t="shared" si="99"/>
        <v/>
      </c>
    </row>
    <row r="1261" spans="1:12" x14ac:dyDescent="0.3">
      <c r="A1261" s="36" t="str">
        <f xml:space="preserve"> IF( 'From SvanPC++'!A1261= "", "", ('From SvanPC++'!A1261))</f>
        <v/>
      </c>
      <c r="C1261" s="47" t="s">
        <v>10</v>
      </c>
      <c r="G1261" s="38" t="str">
        <f t="shared" si="96"/>
        <v/>
      </c>
      <c r="H1261" s="36" t="str">
        <f t="shared" si="100"/>
        <v/>
      </c>
      <c r="J1261" s="141" t="str">
        <f t="shared" si="97"/>
        <v/>
      </c>
      <c r="K1261" s="141" t="str">
        <f t="shared" si="98"/>
        <v/>
      </c>
      <c r="L1261" s="141" t="str">
        <f t="shared" si="99"/>
        <v/>
      </c>
    </row>
    <row r="1262" spans="1:12" x14ac:dyDescent="0.3">
      <c r="A1262" s="36" t="str">
        <f xml:space="preserve"> IF( 'From SvanPC++'!A1262= "", "", ('From SvanPC++'!A1262))</f>
        <v/>
      </c>
      <c r="C1262" s="47" t="s">
        <v>10</v>
      </c>
      <c r="G1262" s="38" t="str">
        <f t="shared" si="96"/>
        <v/>
      </c>
      <c r="H1262" s="36" t="str">
        <f t="shared" si="100"/>
        <v/>
      </c>
      <c r="J1262" s="141" t="str">
        <f t="shared" si="97"/>
        <v/>
      </c>
      <c r="K1262" s="141" t="str">
        <f t="shared" si="98"/>
        <v/>
      </c>
      <c r="L1262" s="141" t="str">
        <f t="shared" si="99"/>
        <v/>
      </c>
    </row>
    <row r="1263" spans="1:12" x14ac:dyDescent="0.3">
      <c r="A1263" s="36" t="str">
        <f xml:space="preserve"> IF( 'From SvanPC++'!A1263= "", "", ('From SvanPC++'!A1263))</f>
        <v/>
      </c>
      <c r="C1263" s="47" t="s">
        <v>10</v>
      </c>
      <c r="G1263" s="38" t="str">
        <f t="shared" si="96"/>
        <v/>
      </c>
      <c r="H1263" s="36" t="str">
        <f t="shared" si="100"/>
        <v/>
      </c>
      <c r="J1263" s="141" t="str">
        <f t="shared" si="97"/>
        <v/>
      </c>
      <c r="K1263" s="141" t="str">
        <f t="shared" si="98"/>
        <v/>
      </c>
      <c r="L1263" s="141" t="str">
        <f t="shared" si="99"/>
        <v/>
      </c>
    </row>
    <row r="1264" spans="1:12" x14ac:dyDescent="0.3">
      <c r="A1264" s="36" t="str">
        <f xml:space="preserve"> IF( 'From SvanPC++'!A1264= "", "", ('From SvanPC++'!A1264))</f>
        <v/>
      </c>
      <c r="C1264" s="47" t="s">
        <v>10</v>
      </c>
      <c r="G1264" s="38" t="str">
        <f t="shared" si="96"/>
        <v/>
      </c>
      <c r="H1264" s="36" t="str">
        <f t="shared" si="100"/>
        <v/>
      </c>
      <c r="J1264" s="141" t="str">
        <f t="shared" si="97"/>
        <v/>
      </c>
      <c r="K1264" s="141" t="str">
        <f t="shared" si="98"/>
        <v/>
      </c>
      <c r="L1264" s="141" t="str">
        <f t="shared" si="99"/>
        <v/>
      </c>
    </row>
    <row r="1265" spans="1:12" x14ac:dyDescent="0.3">
      <c r="A1265" s="36" t="str">
        <f xml:space="preserve"> IF( 'From SvanPC++'!A1265= "", "", ('From SvanPC++'!A1265))</f>
        <v/>
      </c>
      <c r="C1265" s="47" t="s">
        <v>10</v>
      </c>
      <c r="G1265" s="38" t="str">
        <f t="shared" si="96"/>
        <v/>
      </c>
      <c r="H1265" s="36" t="str">
        <f t="shared" si="100"/>
        <v/>
      </c>
      <c r="J1265" s="141" t="str">
        <f t="shared" si="97"/>
        <v/>
      </c>
      <c r="K1265" s="141" t="str">
        <f t="shared" si="98"/>
        <v/>
      </c>
      <c r="L1265" s="141" t="str">
        <f t="shared" si="99"/>
        <v/>
      </c>
    </row>
    <row r="1266" spans="1:12" x14ac:dyDescent="0.3">
      <c r="A1266" s="36" t="str">
        <f xml:space="preserve"> IF( 'From SvanPC++'!A1266= "", "", ('From SvanPC++'!A1266))</f>
        <v/>
      </c>
      <c r="C1266" s="47" t="s">
        <v>10</v>
      </c>
      <c r="G1266" s="38" t="str">
        <f t="shared" si="96"/>
        <v/>
      </c>
      <c r="H1266" s="36" t="str">
        <f t="shared" si="100"/>
        <v/>
      </c>
      <c r="J1266" s="141" t="str">
        <f t="shared" si="97"/>
        <v/>
      </c>
      <c r="K1266" s="141" t="str">
        <f t="shared" si="98"/>
        <v/>
      </c>
      <c r="L1266" s="141" t="str">
        <f t="shared" si="99"/>
        <v/>
      </c>
    </row>
    <row r="1267" spans="1:12" x14ac:dyDescent="0.3">
      <c r="A1267" s="36" t="str">
        <f xml:space="preserve"> IF( 'From SvanPC++'!A1267= "", "", ('From SvanPC++'!A1267))</f>
        <v/>
      </c>
      <c r="C1267" s="47" t="s">
        <v>10</v>
      </c>
      <c r="G1267" s="38" t="str">
        <f t="shared" si="96"/>
        <v/>
      </c>
      <c r="H1267" s="36" t="str">
        <f t="shared" si="100"/>
        <v/>
      </c>
      <c r="J1267" s="141" t="str">
        <f t="shared" si="97"/>
        <v/>
      </c>
      <c r="K1267" s="141" t="str">
        <f t="shared" si="98"/>
        <v/>
      </c>
      <c r="L1267" s="141" t="str">
        <f t="shared" si="99"/>
        <v/>
      </c>
    </row>
    <row r="1268" spans="1:12" x14ac:dyDescent="0.3">
      <c r="A1268" s="36" t="str">
        <f xml:space="preserve"> IF( 'From SvanPC++'!A1268= "", "", ('From SvanPC++'!A1268))</f>
        <v/>
      </c>
      <c r="C1268" s="47" t="s">
        <v>10</v>
      </c>
      <c r="G1268" s="38" t="str">
        <f t="shared" si="96"/>
        <v/>
      </c>
      <c r="H1268" s="36" t="str">
        <f t="shared" si="100"/>
        <v/>
      </c>
      <c r="J1268" s="141" t="str">
        <f t="shared" si="97"/>
        <v/>
      </c>
      <c r="K1268" s="141" t="str">
        <f t="shared" si="98"/>
        <v/>
      </c>
      <c r="L1268" s="141" t="str">
        <f t="shared" si="99"/>
        <v/>
      </c>
    </row>
    <row r="1269" spans="1:12" x14ac:dyDescent="0.3">
      <c r="A1269" s="36" t="str">
        <f xml:space="preserve"> IF( 'From SvanPC++'!A1269= "", "", ('From SvanPC++'!A1269))</f>
        <v/>
      </c>
      <c r="C1269" s="47" t="s">
        <v>10</v>
      </c>
      <c r="G1269" s="38" t="str">
        <f t="shared" si="96"/>
        <v/>
      </c>
      <c r="H1269" s="36" t="str">
        <f t="shared" si="100"/>
        <v/>
      </c>
      <c r="J1269" s="141" t="str">
        <f t="shared" si="97"/>
        <v/>
      </c>
      <c r="K1269" s="141" t="str">
        <f t="shared" si="98"/>
        <v/>
      </c>
      <c r="L1269" s="141" t="str">
        <f t="shared" si="99"/>
        <v/>
      </c>
    </row>
    <row r="1270" spans="1:12" x14ac:dyDescent="0.3">
      <c r="A1270" s="36" t="str">
        <f xml:space="preserve"> IF( 'From SvanPC++'!A1270= "", "", ('From SvanPC++'!A1270))</f>
        <v/>
      </c>
      <c r="C1270" s="47" t="s">
        <v>10</v>
      </c>
      <c r="G1270" s="38" t="str">
        <f t="shared" si="96"/>
        <v/>
      </c>
      <c r="H1270" s="36" t="str">
        <f t="shared" si="100"/>
        <v/>
      </c>
      <c r="J1270" s="141" t="str">
        <f t="shared" si="97"/>
        <v/>
      </c>
      <c r="K1270" s="141" t="str">
        <f t="shared" si="98"/>
        <v/>
      </c>
      <c r="L1270" s="141" t="str">
        <f t="shared" si="99"/>
        <v/>
      </c>
    </row>
    <row r="1271" spans="1:12" x14ac:dyDescent="0.3">
      <c r="A1271" s="36" t="str">
        <f xml:space="preserve"> IF( 'From SvanPC++'!A1271= "", "", ('From SvanPC++'!A1271))</f>
        <v/>
      </c>
      <c r="C1271" s="47" t="s">
        <v>10</v>
      </c>
      <c r="G1271" s="38" t="str">
        <f t="shared" si="96"/>
        <v/>
      </c>
      <c r="H1271" s="36" t="str">
        <f t="shared" si="100"/>
        <v/>
      </c>
      <c r="J1271" s="141" t="str">
        <f t="shared" si="97"/>
        <v/>
      </c>
      <c r="K1271" s="141" t="str">
        <f t="shared" si="98"/>
        <v/>
      </c>
      <c r="L1271" s="141" t="str">
        <f t="shared" si="99"/>
        <v/>
      </c>
    </row>
    <row r="1272" spans="1:12" x14ac:dyDescent="0.3">
      <c r="A1272" s="36" t="str">
        <f xml:space="preserve"> IF( 'From SvanPC++'!A1272= "", "", ('From SvanPC++'!A1272))</f>
        <v/>
      </c>
      <c r="C1272" s="47" t="s">
        <v>10</v>
      </c>
      <c r="G1272" s="38" t="str">
        <f t="shared" si="96"/>
        <v/>
      </c>
      <c r="H1272" s="36" t="str">
        <f t="shared" si="100"/>
        <v/>
      </c>
      <c r="J1272" s="141" t="str">
        <f t="shared" si="97"/>
        <v/>
      </c>
      <c r="K1272" s="141" t="str">
        <f t="shared" si="98"/>
        <v/>
      </c>
      <c r="L1272" s="141" t="str">
        <f t="shared" si="99"/>
        <v/>
      </c>
    </row>
    <row r="1273" spans="1:12" x14ac:dyDescent="0.3">
      <c r="A1273" s="36" t="str">
        <f xml:space="preserve"> IF( 'From SvanPC++'!A1273= "", "", ('From SvanPC++'!A1273))</f>
        <v/>
      </c>
      <c r="C1273" s="47" t="s">
        <v>10</v>
      </c>
      <c r="G1273" s="38" t="str">
        <f t="shared" si="96"/>
        <v/>
      </c>
      <c r="H1273" s="36" t="str">
        <f t="shared" si="100"/>
        <v/>
      </c>
      <c r="J1273" s="141" t="str">
        <f t="shared" si="97"/>
        <v/>
      </c>
      <c r="K1273" s="141" t="str">
        <f t="shared" si="98"/>
        <v/>
      </c>
      <c r="L1273" s="141" t="str">
        <f t="shared" si="99"/>
        <v/>
      </c>
    </row>
    <row r="1274" spans="1:12" x14ac:dyDescent="0.3">
      <c r="A1274" s="36" t="str">
        <f xml:space="preserve"> IF( 'From SvanPC++'!A1274= "", "", ('From SvanPC++'!A1274))</f>
        <v/>
      </c>
      <c r="C1274" s="47" t="s">
        <v>10</v>
      </c>
      <c r="G1274" s="38" t="str">
        <f t="shared" si="96"/>
        <v/>
      </c>
      <c r="H1274" s="36" t="str">
        <f t="shared" si="100"/>
        <v/>
      </c>
      <c r="J1274" s="141" t="str">
        <f t="shared" si="97"/>
        <v/>
      </c>
      <c r="K1274" s="141" t="str">
        <f t="shared" si="98"/>
        <v/>
      </c>
      <c r="L1274" s="141" t="str">
        <f t="shared" si="99"/>
        <v/>
      </c>
    </row>
    <row r="1275" spans="1:12" x14ac:dyDescent="0.3">
      <c r="A1275" s="36" t="str">
        <f xml:space="preserve"> IF( 'From SvanPC++'!A1275= "", "", ('From SvanPC++'!A1275))</f>
        <v/>
      </c>
      <c r="C1275" s="47" t="s">
        <v>10</v>
      </c>
      <c r="G1275" s="38" t="str">
        <f t="shared" si="96"/>
        <v/>
      </c>
      <c r="H1275" s="36" t="str">
        <f t="shared" si="100"/>
        <v/>
      </c>
      <c r="J1275" s="141" t="str">
        <f t="shared" si="97"/>
        <v/>
      </c>
      <c r="K1275" s="141" t="str">
        <f t="shared" si="98"/>
        <v/>
      </c>
      <c r="L1275" s="141" t="str">
        <f t="shared" si="99"/>
        <v/>
      </c>
    </row>
    <row r="1276" spans="1:12" x14ac:dyDescent="0.3">
      <c r="A1276" s="36" t="str">
        <f xml:space="preserve"> IF( 'From SvanPC++'!A1276= "", "", ('From SvanPC++'!A1276))</f>
        <v/>
      </c>
      <c r="C1276" s="47" t="s">
        <v>10</v>
      </c>
      <c r="G1276" s="38" t="str">
        <f t="shared" si="96"/>
        <v/>
      </c>
      <c r="H1276" s="36" t="str">
        <f t="shared" si="100"/>
        <v/>
      </c>
      <c r="J1276" s="141" t="str">
        <f t="shared" si="97"/>
        <v/>
      </c>
      <c r="K1276" s="141" t="str">
        <f t="shared" si="98"/>
        <v/>
      </c>
      <c r="L1276" s="141" t="str">
        <f t="shared" si="99"/>
        <v/>
      </c>
    </row>
    <row r="1277" spans="1:12" x14ac:dyDescent="0.3">
      <c r="A1277" s="36" t="str">
        <f xml:space="preserve"> IF( 'From SvanPC++'!A1277= "", "", ('From SvanPC++'!A1277))</f>
        <v/>
      </c>
      <c r="C1277" s="47" t="s">
        <v>10</v>
      </c>
      <c r="G1277" s="38" t="str">
        <f t="shared" si="96"/>
        <v/>
      </c>
      <c r="H1277" s="36" t="str">
        <f t="shared" si="100"/>
        <v/>
      </c>
      <c r="J1277" s="141" t="str">
        <f t="shared" si="97"/>
        <v/>
      </c>
      <c r="K1277" s="141" t="str">
        <f t="shared" si="98"/>
        <v/>
      </c>
      <c r="L1277" s="141" t="str">
        <f t="shared" si="99"/>
        <v/>
      </c>
    </row>
    <row r="1278" spans="1:12" x14ac:dyDescent="0.3">
      <c r="A1278" s="36" t="str">
        <f xml:space="preserve"> IF( 'From SvanPC++'!A1278= "", "", ('From SvanPC++'!A1278))</f>
        <v/>
      </c>
      <c r="C1278" s="47" t="s">
        <v>10</v>
      </c>
      <c r="G1278" s="38" t="str">
        <f t="shared" si="96"/>
        <v/>
      </c>
      <c r="H1278" s="36" t="str">
        <f t="shared" si="100"/>
        <v/>
      </c>
      <c r="J1278" s="141" t="str">
        <f t="shared" si="97"/>
        <v/>
      </c>
      <c r="K1278" s="141" t="str">
        <f t="shared" si="98"/>
        <v/>
      </c>
      <c r="L1278" s="141" t="str">
        <f t="shared" si="99"/>
        <v/>
      </c>
    </row>
    <row r="1279" spans="1:12" x14ac:dyDescent="0.3">
      <c r="A1279" s="36" t="str">
        <f xml:space="preserve"> IF( 'From SvanPC++'!A1279= "", "", ('From SvanPC++'!A1279))</f>
        <v/>
      </c>
      <c r="C1279" s="47" t="s">
        <v>10</v>
      </c>
      <c r="G1279" s="38" t="str">
        <f t="shared" si="96"/>
        <v/>
      </c>
      <c r="H1279" s="36" t="str">
        <f t="shared" si="100"/>
        <v/>
      </c>
      <c r="J1279" s="141" t="str">
        <f t="shared" si="97"/>
        <v/>
      </c>
      <c r="K1279" s="141" t="str">
        <f t="shared" si="98"/>
        <v/>
      </c>
      <c r="L1279" s="141" t="str">
        <f t="shared" si="99"/>
        <v/>
      </c>
    </row>
    <row r="1280" spans="1:12" x14ac:dyDescent="0.3">
      <c r="A1280" s="36" t="str">
        <f xml:space="preserve"> IF( 'From SvanPC++'!A1280= "", "", ('From SvanPC++'!A1280))</f>
        <v/>
      </c>
      <c r="C1280" s="47" t="s">
        <v>10</v>
      </c>
      <c r="G1280" s="38" t="str">
        <f t="shared" si="96"/>
        <v/>
      </c>
      <c r="H1280" s="36" t="str">
        <f t="shared" si="100"/>
        <v/>
      </c>
      <c r="J1280" s="141" t="str">
        <f t="shared" si="97"/>
        <v/>
      </c>
      <c r="K1280" s="141" t="str">
        <f t="shared" si="98"/>
        <v/>
      </c>
      <c r="L1280" s="141" t="str">
        <f t="shared" si="99"/>
        <v/>
      </c>
    </row>
    <row r="1281" spans="1:12" x14ac:dyDescent="0.3">
      <c r="A1281" s="36" t="str">
        <f xml:space="preserve"> IF( 'From SvanPC++'!A1281= "", "", ('From SvanPC++'!A1281))</f>
        <v/>
      </c>
      <c r="C1281" s="47" t="s">
        <v>10</v>
      </c>
      <c r="G1281" s="38" t="str">
        <f t="shared" si="96"/>
        <v/>
      </c>
      <c r="H1281" s="36" t="str">
        <f t="shared" si="100"/>
        <v/>
      </c>
      <c r="J1281" s="141" t="str">
        <f t="shared" si="97"/>
        <v/>
      </c>
      <c r="K1281" s="141" t="str">
        <f t="shared" si="98"/>
        <v/>
      </c>
      <c r="L1281" s="141" t="str">
        <f t="shared" si="99"/>
        <v/>
      </c>
    </row>
    <row r="1282" spans="1:12" x14ac:dyDescent="0.3">
      <c r="A1282" s="36" t="str">
        <f xml:space="preserve"> IF( 'From SvanPC++'!A1282= "", "", ('From SvanPC++'!A1282))</f>
        <v/>
      </c>
      <c r="C1282" s="47" t="s">
        <v>10</v>
      </c>
      <c r="G1282" s="38" t="str">
        <f t="shared" si="96"/>
        <v/>
      </c>
      <c r="H1282" s="36" t="str">
        <f t="shared" si="100"/>
        <v/>
      </c>
      <c r="J1282" s="141" t="str">
        <f t="shared" si="97"/>
        <v/>
      </c>
      <c r="K1282" s="141" t="str">
        <f t="shared" si="98"/>
        <v/>
      </c>
      <c r="L1282" s="141" t="str">
        <f t="shared" si="99"/>
        <v/>
      </c>
    </row>
    <row r="1283" spans="1:12" x14ac:dyDescent="0.3">
      <c r="A1283" s="36" t="str">
        <f xml:space="preserve"> IF( 'From SvanPC++'!A1283= "", "", ('From SvanPC++'!A1283))</f>
        <v/>
      </c>
      <c r="C1283" s="47" t="s">
        <v>10</v>
      </c>
      <c r="G1283" s="38" t="str">
        <f t="shared" si="96"/>
        <v/>
      </c>
      <c r="H1283" s="36" t="str">
        <f t="shared" si="100"/>
        <v/>
      </c>
      <c r="J1283" s="141" t="str">
        <f t="shared" si="97"/>
        <v/>
      </c>
      <c r="K1283" s="141" t="str">
        <f t="shared" si="98"/>
        <v/>
      </c>
      <c r="L1283" s="141" t="str">
        <f t="shared" si="99"/>
        <v/>
      </c>
    </row>
    <row r="1284" spans="1:12" x14ac:dyDescent="0.3">
      <c r="A1284" s="36" t="str">
        <f xml:space="preserve"> IF( 'From SvanPC++'!A1284= "", "", ('From SvanPC++'!A1284))</f>
        <v/>
      </c>
      <c r="C1284" s="47" t="s">
        <v>10</v>
      </c>
      <c r="G1284" s="38" t="str">
        <f t="shared" si="96"/>
        <v/>
      </c>
      <c r="H1284" s="36" t="str">
        <f t="shared" si="100"/>
        <v/>
      </c>
      <c r="J1284" s="141" t="str">
        <f t="shared" si="97"/>
        <v/>
      </c>
      <c r="K1284" s="141" t="str">
        <f t="shared" si="98"/>
        <v/>
      </c>
      <c r="L1284" s="141" t="str">
        <f t="shared" si="99"/>
        <v/>
      </c>
    </row>
    <row r="1285" spans="1:12" x14ac:dyDescent="0.3">
      <c r="A1285" s="36" t="str">
        <f xml:space="preserve"> IF( 'From SvanPC++'!A1285= "", "", ('From SvanPC++'!A1285))</f>
        <v/>
      </c>
      <c r="C1285" s="47" t="s">
        <v>10</v>
      </c>
      <c r="G1285" s="38" t="str">
        <f t="shared" si="96"/>
        <v/>
      </c>
      <c r="H1285" s="36" t="str">
        <f t="shared" si="100"/>
        <v/>
      </c>
      <c r="J1285" s="141" t="str">
        <f t="shared" si="97"/>
        <v/>
      </c>
      <c r="K1285" s="141" t="str">
        <f t="shared" si="98"/>
        <v/>
      </c>
      <c r="L1285" s="141" t="str">
        <f t="shared" si="99"/>
        <v/>
      </c>
    </row>
    <row r="1286" spans="1:12" x14ac:dyDescent="0.3">
      <c r="A1286" s="36" t="str">
        <f xml:space="preserve"> IF( 'From SvanPC++'!A1286= "", "", ('From SvanPC++'!A1286))</f>
        <v/>
      </c>
      <c r="C1286" s="47" t="s">
        <v>10</v>
      </c>
      <c r="G1286" s="38" t="str">
        <f t="shared" si="96"/>
        <v/>
      </c>
      <c r="H1286" s="36" t="str">
        <f t="shared" si="100"/>
        <v/>
      </c>
      <c r="J1286" s="141" t="str">
        <f t="shared" si="97"/>
        <v/>
      </c>
      <c r="K1286" s="141" t="str">
        <f t="shared" si="98"/>
        <v/>
      </c>
      <c r="L1286" s="141" t="str">
        <f t="shared" si="99"/>
        <v/>
      </c>
    </row>
    <row r="1287" spans="1:12" x14ac:dyDescent="0.3">
      <c r="A1287" s="36" t="str">
        <f xml:space="preserve"> IF( 'From SvanPC++'!A1287= "", "", ('From SvanPC++'!A1287))</f>
        <v/>
      </c>
      <c r="C1287" s="47" t="s">
        <v>10</v>
      </c>
      <c r="G1287" s="38" t="str">
        <f t="shared" ref="G1287:G1350" si="101" xml:space="preserve"> IF( D1287= "", "", ( IF( AND( D1287 &gt;= TIMEVALUE( "07:00:01" ), D1287 &lt; TIMEVALUE( "08:00:01" ) ) = TRUE, (G1286+1), (G1286+0) )))</f>
        <v/>
      </c>
      <c r="H1287" s="36" t="str">
        <f t="shared" si="100"/>
        <v/>
      </c>
      <c r="J1287" s="141" t="str">
        <f t="shared" si="97"/>
        <v/>
      </c>
      <c r="K1287" s="141" t="str">
        <f t="shared" si="98"/>
        <v/>
      </c>
      <c r="L1287" s="141" t="str">
        <f t="shared" si="99"/>
        <v/>
      </c>
    </row>
    <row r="1288" spans="1:12" x14ac:dyDescent="0.3">
      <c r="A1288" s="36" t="str">
        <f xml:space="preserve"> IF( 'From SvanPC++'!A1288= "", "", ('From SvanPC++'!A1288))</f>
        <v/>
      </c>
      <c r="C1288" s="47" t="s">
        <v>10</v>
      </c>
      <c r="G1288" s="38" t="str">
        <f t="shared" si="101"/>
        <v/>
      </c>
      <c r="H1288" s="36" t="str">
        <f t="shared" si="100"/>
        <v/>
      </c>
      <c r="J1288" s="141" t="str">
        <f t="shared" ref="J1288:J1351" si="102" xml:space="preserve"> IF( ISERROR( IF( D1288= "", "", ( IF( G1288= (G1287+1), ( AVERAGEIFS( E1288:E1432, G1288:G1432, G1288, H1288:H1432, "Day" )), "" )))), "",( IF( D1288= "", "", ( IF( G1288= (G1287+1), ( AVERAGEIFS( E1288:E1432, G1288:G1432, G1288, H1288:H1432, "Day" )), "" )))))</f>
        <v/>
      </c>
      <c r="K1288" s="141" t="str">
        <f t="shared" ref="K1288:K1351" si="103" xml:space="preserve"> IF( ISERROR( IF( D1288= "", "", ( IF( G1288= (G1287+1), ( AVERAGEIFS( E1288:E1432, G1288:G1432, G1288, H1288:H1432, "Evening" )), "" )))), "",( IF( D1288= "", "", ( IF( G1288= (G1287+1), ( AVERAGEIFS( E1288:E1432, G1288:G1432, G1288, H1288:H1432, "Evening" )), "" )))))</f>
        <v/>
      </c>
      <c r="L1288" s="141" t="str">
        <f t="shared" ref="L1288:L1351" si="104" xml:space="preserve"> IF( ISERROR( IF( D1288= "", "", ( IF( G1288= (G1287+1), ( AVERAGEIFS( E1288:E1432, G1288:G1432, G1288, H1288:H1432, "Night" )), "" )))), "",( IF( D1288= "", "", ( IF( G1288= (G1287+1), ( AVERAGEIFS( E1288:E1432, G1288:G1432, G1288, H1288:H1432, "Night" )), "" )))))</f>
        <v/>
      </c>
    </row>
    <row r="1289" spans="1:12" x14ac:dyDescent="0.3">
      <c r="A1289" s="36" t="str">
        <f xml:space="preserve"> IF( 'From SvanPC++'!A1289= "", "", ('From SvanPC++'!A1289))</f>
        <v/>
      </c>
      <c r="C1289" s="47" t="s">
        <v>10</v>
      </c>
      <c r="G1289" s="38" t="str">
        <f t="shared" si="101"/>
        <v/>
      </c>
      <c r="H1289" s="36" t="str">
        <f t="shared" si="100"/>
        <v/>
      </c>
      <c r="J1289" s="141" t="str">
        <f t="shared" si="102"/>
        <v/>
      </c>
      <c r="K1289" s="141" t="str">
        <f t="shared" si="103"/>
        <v/>
      </c>
      <c r="L1289" s="141" t="str">
        <f t="shared" si="104"/>
        <v/>
      </c>
    </row>
    <row r="1290" spans="1:12" x14ac:dyDescent="0.3">
      <c r="A1290" s="36" t="str">
        <f xml:space="preserve"> IF( 'From SvanPC++'!A1290= "", "", ('From SvanPC++'!A1290))</f>
        <v/>
      </c>
      <c r="C1290" s="47" t="s">
        <v>10</v>
      </c>
      <c r="G1290" s="38" t="str">
        <f t="shared" si="101"/>
        <v/>
      </c>
      <c r="H1290" s="36" t="str">
        <f t="shared" si="100"/>
        <v/>
      </c>
      <c r="J1290" s="141" t="str">
        <f t="shared" si="102"/>
        <v/>
      </c>
      <c r="K1290" s="141" t="str">
        <f t="shared" si="103"/>
        <v/>
      </c>
      <c r="L1290" s="141" t="str">
        <f t="shared" si="104"/>
        <v/>
      </c>
    </row>
    <row r="1291" spans="1:12" x14ac:dyDescent="0.3">
      <c r="A1291" s="36" t="str">
        <f xml:space="preserve"> IF( 'From SvanPC++'!A1291= "", "", ('From SvanPC++'!A1291))</f>
        <v/>
      </c>
      <c r="C1291" s="47" t="s">
        <v>10</v>
      </c>
      <c r="G1291" s="38" t="str">
        <f t="shared" si="101"/>
        <v/>
      </c>
      <c r="H1291" s="36" t="str">
        <f t="shared" si="100"/>
        <v/>
      </c>
      <c r="J1291" s="141" t="str">
        <f t="shared" si="102"/>
        <v/>
      </c>
      <c r="K1291" s="141" t="str">
        <f t="shared" si="103"/>
        <v/>
      </c>
      <c r="L1291" s="141" t="str">
        <f t="shared" si="104"/>
        <v/>
      </c>
    </row>
    <row r="1292" spans="1:12" x14ac:dyDescent="0.3">
      <c r="A1292" s="36" t="str">
        <f xml:space="preserve"> IF( 'From SvanPC++'!A1292= "", "", ('From SvanPC++'!A1292))</f>
        <v/>
      </c>
      <c r="C1292" s="47" t="s">
        <v>10</v>
      </c>
      <c r="G1292" s="38" t="str">
        <f t="shared" si="101"/>
        <v/>
      </c>
      <c r="H1292" s="36" t="str">
        <f t="shared" si="100"/>
        <v/>
      </c>
      <c r="J1292" s="141" t="str">
        <f t="shared" si="102"/>
        <v/>
      </c>
      <c r="K1292" s="141" t="str">
        <f t="shared" si="103"/>
        <v/>
      </c>
      <c r="L1292" s="141" t="str">
        <f t="shared" si="104"/>
        <v/>
      </c>
    </row>
    <row r="1293" spans="1:12" x14ac:dyDescent="0.3">
      <c r="A1293" s="36" t="str">
        <f xml:space="preserve"> IF( 'From SvanPC++'!A1293= "", "", ('From SvanPC++'!A1293))</f>
        <v/>
      </c>
      <c r="C1293" s="47" t="s">
        <v>10</v>
      </c>
      <c r="G1293" s="38" t="str">
        <f t="shared" si="101"/>
        <v/>
      </c>
      <c r="H1293" s="36" t="str">
        <f t="shared" si="100"/>
        <v/>
      </c>
      <c r="J1293" s="141" t="str">
        <f t="shared" si="102"/>
        <v/>
      </c>
      <c r="K1293" s="141" t="str">
        <f t="shared" si="103"/>
        <v/>
      </c>
      <c r="L1293" s="141" t="str">
        <f t="shared" si="104"/>
        <v/>
      </c>
    </row>
    <row r="1294" spans="1:12" x14ac:dyDescent="0.3">
      <c r="A1294" s="36" t="str">
        <f xml:space="preserve"> IF( 'From SvanPC++'!A1294= "", "", ('From SvanPC++'!A1294))</f>
        <v/>
      </c>
      <c r="C1294" s="47" t="s">
        <v>10</v>
      </c>
      <c r="G1294" s="38" t="str">
        <f t="shared" si="101"/>
        <v/>
      </c>
      <c r="H1294" s="36" t="str">
        <f t="shared" si="100"/>
        <v/>
      </c>
      <c r="J1294" s="141" t="str">
        <f t="shared" si="102"/>
        <v/>
      </c>
      <c r="K1294" s="141" t="str">
        <f t="shared" si="103"/>
        <v/>
      </c>
      <c r="L1294" s="141" t="str">
        <f t="shared" si="104"/>
        <v/>
      </c>
    </row>
    <row r="1295" spans="1:12" x14ac:dyDescent="0.3">
      <c r="A1295" s="36" t="str">
        <f xml:space="preserve"> IF( 'From SvanPC++'!A1295= "", "", ('From SvanPC++'!A1295))</f>
        <v/>
      </c>
      <c r="C1295" s="47" t="s">
        <v>10</v>
      </c>
      <c r="G1295" s="38" t="str">
        <f t="shared" si="101"/>
        <v/>
      </c>
      <c r="H1295" s="36" t="str">
        <f t="shared" si="100"/>
        <v/>
      </c>
      <c r="J1295" s="141" t="str">
        <f t="shared" si="102"/>
        <v/>
      </c>
      <c r="K1295" s="141" t="str">
        <f t="shared" si="103"/>
        <v/>
      </c>
      <c r="L1295" s="141" t="str">
        <f t="shared" si="104"/>
        <v/>
      </c>
    </row>
    <row r="1296" spans="1:12" x14ac:dyDescent="0.3">
      <c r="A1296" s="36" t="str">
        <f xml:space="preserve"> IF( 'From SvanPC++'!A1296= "", "", ('From SvanPC++'!A1296))</f>
        <v/>
      </c>
      <c r="C1296" s="47" t="s">
        <v>10</v>
      </c>
      <c r="G1296" s="38" t="str">
        <f t="shared" si="101"/>
        <v/>
      </c>
      <c r="H1296" s="36" t="str">
        <f t="shared" si="100"/>
        <v/>
      </c>
      <c r="J1296" s="141" t="str">
        <f t="shared" si="102"/>
        <v/>
      </c>
      <c r="K1296" s="141" t="str">
        <f t="shared" si="103"/>
        <v/>
      </c>
      <c r="L1296" s="141" t="str">
        <f t="shared" si="104"/>
        <v/>
      </c>
    </row>
    <row r="1297" spans="1:12" x14ac:dyDescent="0.3">
      <c r="A1297" s="36" t="str">
        <f xml:space="preserve"> IF( 'From SvanPC++'!A1297= "", "", ('From SvanPC++'!A1297))</f>
        <v/>
      </c>
      <c r="C1297" s="47" t="s">
        <v>10</v>
      </c>
      <c r="G1297" s="38" t="str">
        <f t="shared" si="101"/>
        <v/>
      </c>
      <c r="H1297" s="36" t="str">
        <f t="shared" si="100"/>
        <v/>
      </c>
      <c r="J1297" s="141" t="str">
        <f t="shared" si="102"/>
        <v/>
      </c>
      <c r="K1297" s="141" t="str">
        <f t="shared" si="103"/>
        <v/>
      </c>
      <c r="L1297" s="141" t="str">
        <f t="shared" si="104"/>
        <v/>
      </c>
    </row>
    <row r="1298" spans="1:12" x14ac:dyDescent="0.3">
      <c r="A1298" s="36" t="str">
        <f xml:space="preserve"> IF( 'From SvanPC++'!A1298= "", "", ('From SvanPC++'!A1298))</f>
        <v/>
      </c>
      <c r="C1298" s="47" t="s">
        <v>10</v>
      </c>
      <c r="G1298" s="38" t="str">
        <f t="shared" si="101"/>
        <v/>
      </c>
      <c r="H1298" s="36" t="str">
        <f t="shared" si="100"/>
        <v/>
      </c>
      <c r="J1298" s="141" t="str">
        <f t="shared" si="102"/>
        <v/>
      </c>
      <c r="K1298" s="141" t="str">
        <f t="shared" si="103"/>
        <v/>
      </c>
      <c r="L1298" s="141" t="str">
        <f t="shared" si="104"/>
        <v/>
      </c>
    </row>
    <row r="1299" spans="1:12" x14ac:dyDescent="0.3">
      <c r="A1299" s="36" t="str">
        <f xml:space="preserve"> IF( 'From SvanPC++'!A1299= "", "", ('From SvanPC++'!A1299))</f>
        <v/>
      </c>
      <c r="C1299" s="47" t="s">
        <v>10</v>
      </c>
      <c r="G1299" s="38" t="str">
        <f t="shared" si="101"/>
        <v/>
      </c>
      <c r="H1299" s="36" t="str">
        <f t="shared" si="100"/>
        <v/>
      </c>
      <c r="J1299" s="141" t="str">
        <f t="shared" si="102"/>
        <v/>
      </c>
      <c r="K1299" s="141" t="str">
        <f t="shared" si="103"/>
        <v/>
      </c>
      <c r="L1299" s="141" t="str">
        <f t="shared" si="104"/>
        <v/>
      </c>
    </row>
    <row r="1300" spans="1:12" x14ac:dyDescent="0.3">
      <c r="A1300" s="36" t="str">
        <f xml:space="preserve"> IF( 'From SvanPC++'!A1300= "", "", ('From SvanPC++'!A1300))</f>
        <v/>
      </c>
      <c r="C1300" s="47" t="s">
        <v>10</v>
      </c>
      <c r="G1300" s="38" t="str">
        <f t="shared" si="101"/>
        <v/>
      </c>
      <c r="H1300" s="36" t="str">
        <f t="shared" si="100"/>
        <v/>
      </c>
      <c r="J1300" s="141" t="str">
        <f t="shared" si="102"/>
        <v/>
      </c>
      <c r="K1300" s="141" t="str">
        <f t="shared" si="103"/>
        <v/>
      </c>
      <c r="L1300" s="141" t="str">
        <f t="shared" si="104"/>
        <v/>
      </c>
    </row>
    <row r="1301" spans="1:12" x14ac:dyDescent="0.3">
      <c r="A1301" s="36" t="str">
        <f xml:space="preserve"> IF( 'From SvanPC++'!A1301= "", "", ('From SvanPC++'!A1301))</f>
        <v/>
      </c>
      <c r="C1301" s="47" t="s">
        <v>10</v>
      </c>
      <c r="G1301" s="38" t="str">
        <f t="shared" si="101"/>
        <v/>
      </c>
      <c r="H1301" s="36" t="str">
        <f t="shared" si="100"/>
        <v/>
      </c>
      <c r="J1301" s="141" t="str">
        <f t="shared" si="102"/>
        <v/>
      </c>
      <c r="K1301" s="141" t="str">
        <f t="shared" si="103"/>
        <v/>
      </c>
      <c r="L1301" s="141" t="str">
        <f t="shared" si="104"/>
        <v/>
      </c>
    </row>
    <row r="1302" spans="1:12" x14ac:dyDescent="0.3">
      <c r="A1302" s="36" t="str">
        <f xml:space="preserve"> IF( 'From SvanPC++'!A1302= "", "", ('From SvanPC++'!A1302))</f>
        <v/>
      </c>
      <c r="C1302" s="47" t="s">
        <v>10</v>
      </c>
      <c r="G1302" s="38" t="str">
        <f t="shared" si="101"/>
        <v/>
      </c>
      <c r="H1302" s="36" t="str">
        <f t="shared" si="100"/>
        <v/>
      </c>
      <c r="J1302" s="141" t="str">
        <f t="shared" si="102"/>
        <v/>
      </c>
      <c r="K1302" s="141" t="str">
        <f t="shared" si="103"/>
        <v/>
      </c>
      <c r="L1302" s="141" t="str">
        <f t="shared" si="104"/>
        <v/>
      </c>
    </row>
    <row r="1303" spans="1:12" x14ac:dyDescent="0.3">
      <c r="A1303" s="36" t="str">
        <f xml:space="preserve"> IF( 'From SvanPC++'!A1303= "", "", ('From SvanPC++'!A1303))</f>
        <v/>
      </c>
      <c r="C1303" s="47" t="s">
        <v>10</v>
      </c>
      <c r="G1303" s="38" t="str">
        <f t="shared" si="101"/>
        <v/>
      </c>
      <c r="H1303" s="36" t="str">
        <f t="shared" ref="H1303:H1366" si="105" xml:space="preserve"> IF( D1303= "", "", ( IF( AND( D1303 &gt;= TIMEVALUE( "07:00:01" ), D1303 &lt;= TIMEVALUE( "13:00:00" ), WEEKDAY( C1303) =(7+N("Lines 2-17 = saturday day period")) ) = TRUE, "Day",
IF( AND( D1303 &gt;= TIMEVALUE( "07:00:01" ), D1303 &lt;= TIMEVALUE( "18:00:00" ), WEEKDAY( C1303,1+N("Lines 19-38 = weekday day period")) &gt;=2, ( WEEKDAY( C1303,1) &lt;=6) ) = TRUE, "Day",
IF( AND( D1303 &gt;= TIMEVALUE( "13:00:01" ), D1303 &lt;= TIMEVALUE( "22:00:00" ), WEEKDAY( C1303) =(7+N("Lines 40-56 = saturday evening period")) ) = TRUE, "Evening",
IF( AND( D1303 &gt;= TIMEVALUE( "18:00:01" ), D1303 &lt;= TIMEVALUE( "22:00:00" ), WEEKDAY( C1303,1+N("Lines 57-77 = weekday evening period")) &gt;=2, ( WEEKDAY( C1303,1) &lt;=6) ) = TRUE, "Evening",
IF( AND( D1303 &gt;= TIMEVALUE( "07:00:01" ), D1303 &lt;= TIMEVALUE( "22:00:00" ), WEEKDAY( C1303) =(1+N("Lines 78-94 = sunday evening period")) ) = TRUE, "Evening",
IF( AND( D1303 &gt;= TIMEVALUE( "22:00:01" ), D1303 &lt;= TIMEVALUE( "23:59:59" ), WEEKDAY( C1303) =(7+N("Lines 95-111 = saturday night1 period")) ) = TRUE, "Night",
IF( AND( D1303 &gt;= TIMEVALUE( "00:00:00" ), D1303 &lt;= TIMEVALUE( "07:00:00" ), WEEKDAY( C1303) =(7+N("Lines 112-128 = saturday night2 period")) ) = TRUE, "Night",
IF( AND( D1303 &gt;= TIMEVALUE( "22:00:01" ), D1303 &lt;= TIMEVALUE( "23:59:59" ), WEEKDAY( C1303,1+N("Lines 129-149 = weekday night1 period")) &gt;=2, ( WEEKDAY( C1303,1) &lt;=6) ) = TRUE, "Night",
IF( AND( D1303 &gt;= TIMEVALUE( "00:00:00" ), D1303 &lt;= TIMEVALUE( "07:00:00" ), WEEKDAY( C1303,1+N("Lines 150-170 = weekday night2 period")) &gt;=2, ( WEEKDAY( C1303,1) &lt;=6) ) = TRUE, "Night",
IF( AND( D1303 &gt;= TIMEVALUE( "20:00:01" ), D1303 &lt;= TIMEVALUE( "23:59:59" ), WEEKDAY( C1303) =(1+N("Lines 171-187 = sunday night1 period")) ) = TRUE, "Night",
IF( AND( D1303 &gt;= TIMEVALUE( "00:00:00" ), D1303 &lt;= TIMEVALUE( "07:00:00" ), WEEKDAY( C1303) =(1+N("Lines 188-204 = sunday night2 period")) ) = TRUE, "Night", )))))))))))))</f>
        <v/>
      </c>
      <c r="J1303" s="141" t="str">
        <f t="shared" si="102"/>
        <v/>
      </c>
      <c r="K1303" s="141" t="str">
        <f t="shared" si="103"/>
        <v/>
      </c>
      <c r="L1303" s="141" t="str">
        <f t="shared" si="104"/>
        <v/>
      </c>
    </row>
    <row r="1304" spans="1:12" x14ac:dyDescent="0.3">
      <c r="A1304" s="36" t="str">
        <f xml:space="preserve"> IF( 'From SvanPC++'!A1304= "", "", ('From SvanPC++'!A1304))</f>
        <v/>
      </c>
      <c r="C1304" s="47" t="s">
        <v>10</v>
      </c>
      <c r="G1304" s="38" t="str">
        <f t="shared" si="101"/>
        <v/>
      </c>
      <c r="H1304" s="36" t="str">
        <f t="shared" si="105"/>
        <v/>
      </c>
      <c r="J1304" s="141" t="str">
        <f t="shared" si="102"/>
        <v/>
      </c>
      <c r="K1304" s="141" t="str">
        <f t="shared" si="103"/>
        <v/>
      </c>
      <c r="L1304" s="141" t="str">
        <f t="shared" si="104"/>
        <v/>
      </c>
    </row>
    <row r="1305" spans="1:12" x14ac:dyDescent="0.3">
      <c r="A1305" s="36" t="str">
        <f xml:space="preserve"> IF( 'From SvanPC++'!A1305= "", "", ('From SvanPC++'!A1305))</f>
        <v/>
      </c>
      <c r="C1305" s="47" t="s">
        <v>10</v>
      </c>
      <c r="G1305" s="38" t="str">
        <f t="shared" si="101"/>
        <v/>
      </c>
      <c r="H1305" s="36" t="str">
        <f t="shared" si="105"/>
        <v/>
      </c>
      <c r="J1305" s="141" t="str">
        <f t="shared" si="102"/>
        <v/>
      </c>
      <c r="K1305" s="141" t="str">
        <f t="shared" si="103"/>
        <v/>
      </c>
      <c r="L1305" s="141" t="str">
        <f t="shared" si="104"/>
        <v/>
      </c>
    </row>
    <row r="1306" spans="1:12" x14ac:dyDescent="0.3">
      <c r="A1306" s="36" t="str">
        <f xml:space="preserve"> IF( 'From SvanPC++'!A1306= "", "", ('From SvanPC++'!A1306))</f>
        <v/>
      </c>
      <c r="C1306" s="47" t="s">
        <v>10</v>
      </c>
      <c r="G1306" s="38" t="str">
        <f t="shared" si="101"/>
        <v/>
      </c>
      <c r="H1306" s="36" t="str">
        <f t="shared" si="105"/>
        <v/>
      </c>
      <c r="J1306" s="141" t="str">
        <f t="shared" si="102"/>
        <v/>
      </c>
      <c r="K1306" s="141" t="str">
        <f t="shared" si="103"/>
        <v/>
      </c>
      <c r="L1306" s="141" t="str">
        <f t="shared" si="104"/>
        <v/>
      </c>
    </row>
    <row r="1307" spans="1:12" x14ac:dyDescent="0.3">
      <c r="A1307" s="36" t="str">
        <f xml:space="preserve"> IF( 'From SvanPC++'!A1307= "", "", ('From SvanPC++'!A1307))</f>
        <v/>
      </c>
      <c r="C1307" s="47" t="s">
        <v>10</v>
      </c>
      <c r="G1307" s="38" t="str">
        <f t="shared" si="101"/>
        <v/>
      </c>
      <c r="H1307" s="36" t="str">
        <f t="shared" si="105"/>
        <v/>
      </c>
      <c r="J1307" s="141" t="str">
        <f t="shared" si="102"/>
        <v/>
      </c>
      <c r="K1307" s="141" t="str">
        <f t="shared" si="103"/>
        <v/>
      </c>
      <c r="L1307" s="141" t="str">
        <f t="shared" si="104"/>
        <v/>
      </c>
    </row>
    <row r="1308" spans="1:12" x14ac:dyDescent="0.3">
      <c r="A1308" s="36" t="str">
        <f xml:space="preserve"> IF( 'From SvanPC++'!A1308= "", "", ('From SvanPC++'!A1308))</f>
        <v/>
      </c>
      <c r="C1308" s="47" t="s">
        <v>10</v>
      </c>
      <c r="G1308" s="38" t="str">
        <f t="shared" si="101"/>
        <v/>
      </c>
      <c r="H1308" s="36" t="str">
        <f t="shared" si="105"/>
        <v/>
      </c>
      <c r="J1308" s="141" t="str">
        <f t="shared" si="102"/>
        <v/>
      </c>
      <c r="K1308" s="141" t="str">
        <f t="shared" si="103"/>
        <v/>
      </c>
      <c r="L1308" s="141" t="str">
        <f t="shared" si="104"/>
        <v/>
      </c>
    </row>
    <row r="1309" spans="1:12" x14ac:dyDescent="0.3">
      <c r="A1309" s="36" t="str">
        <f xml:space="preserve"> IF( 'From SvanPC++'!A1309= "", "", ('From SvanPC++'!A1309))</f>
        <v/>
      </c>
      <c r="C1309" s="47" t="s">
        <v>10</v>
      </c>
      <c r="G1309" s="38" t="str">
        <f t="shared" si="101"/>
        <v/>
      </c>
      <c r="H1309" s="36" t="str">
        <f t="shared" si="105"/>
        <v/>
      </c>
      <c r="J1309" s="141" t="str">
        <f t="shared" si="102"/>
        <v/>
      </c>
      <c r="K1309" s="141" t="str">
        <f t="shared" si="103"/>
        <v/>
      </c>
      <c r="L1309" s="141" t="str">
        <f t="shared" si="104"/>
        <v/>
      </c>
    </row>
    <row r="1310" spans="1:12" x14ac:dyDescent="0.3">
      <c r="A1310" s="36" t="str">
        <f xml:space="preserve"> IF( 'From SvanPC++'!A1310= "", "", ('From SvanPC++'!A1310))</f>
        <v/>
      </c>
      <c r="C1310" s="47" t="s">
        <v>10</v>
      </c>
      <c r="G1310" s="38" t="str">
        <f t="shared" si="101"/>
        <v/>
      </c>
      <c r="H1310" s="36" t="str">
        <f t="shared" si="105"/>
        <v/>
      </c>
      <c r="J1310" s="141" t="str">
        <f t="shared" si="102"/>
        <v/>
      </c>
      <c r="K1310" s="141" t="str">
        <f t="shared" si="103"/>
        <v/>
      </c>
      <c r="L1310" s="141" t="str">
        <f t="shared" si="104"/>
        <v/>
      </c>
    </row>
    <row r="1311" spans="1:12" x14ac:dyDescent="0.3">
      <c r="A1311" s="36" t="str">
        <f xml:space="preserve"> IF( 'From SvanPC++'!A1311= "", "", ('From SvanPC++'!A1311))</f>
        <v/>
      </c>
      <c r="C1311" s="47" t="s">
        <v>10</v>
      </c>
      <c r="G1311" s="38" t="str">
        <f t="shared" si="101"/>
        <v/>
      </c>
      <c r="H1311" s="36" t="str">
        <f t="shared" si="105"/>
        <v/>
      </c>
      <c r="J1311" s="141" t="str">
        <f t="shared" si="102"/>
        <v/>
      </c>
      <c r="K1311" s="141" t="str">
        <f t="shared" si="103"/>
        <v/>
      </c>
      <c r="L1311" s="141" t="str">
        <f t="shared" si="104"/>
        <v/>
      </c>
    </row>
    <row r="1312" spans="1:12" x14ac:dyDescent="0.3">
      <c r="A1312" s="36" t="str">
        <f xml:space="preserve"> IF( 'From SvanPC++'!A1312= "", "", ('From SvanPC++'!A1312))</f>
        <v/>
      </c>
      <c r="C1312" s="47" t="s">
        <v>10</v>
      </c>
      <c r="G1312" s="38" t="str">
        <f t="shared" si="101"/>
        <v/>
      </c>
      <c r="H1312" s="36" t="str">
        <f t="shared" si="105"/>
        <v/>
      </c>
      <c r="J1312" s="141" t="str">
        <f t="shared" si="102"/>
        <v/>
      </c>
      <c r="K1312" s="141" t="str">
        <f t="shared" si="103"/>
        <v/>
      </c>
      <c r="L1312" s="141" t="str">
        <f t="shared" si="104"/>
        <v/>
      </c>
    </row>
    <row r="1313" spans="1:12" x14ac:dyDescent="0.3">
      <c r="A1313" s="36" t="str">
        <f xml:space="preserve"> IF( 'From SvanPC++'!A1313= "", "", ('From SvanPC++'!A1313))</f>
        <v/>
      </c>
      <c r="C1313" s="47" t="s">
        <v>10</v>
      </c>
      <c r="G1313" s="38" t="str">
        <f t="shared" si="101"/>
        <v/>
      </c>
      <c r="H1313" s="36" t="str">
        <f t="shared" si="105"/>
        <v/>
      </c>
      <c r="J1313" s="141" t="str">
        <f t="shared" si="102"/>
        <v/>
      </c>
      <c r="K1313" s="141" t="str">
        <f t="shared" si="103"/>
        <v/>
      </c>
      <c r="L1313" s="141" t="str">
        <f t="shared" si="104"/>
        <v/>
      </c>
    </row>
    <row r="1314" spans="1:12" x14ac:dyDescent="0.3">
      <c r="A1314" s="36" t="str">
        <f xml:space="preserve"> IF( 'From SvanPC++'!A1314= "", "", ('From SvanPC++'!A1314))</f>
        <v/>
      </c>
      <c r="C1314" s="47" t="s">
        <v>10</v>
      </c>
      <c r="G1314" s="38" t="str">
        <f t="shared" si="101"/>
        <v/>
      </c>
      <c r="H1314" s="36" t="str">
        <f t="shared" si="105"/>
        <v/>
      </c>
      <c r="J1314" s="141" t="str">
        <f t="shared" si="102"/>
        <v/>
      </c>
      <c r="K1314" s="141" t="str">
        <f t="shared" si="103"/>
        <v/>
      </c>
      <c r="L1314" s="141" t="str">
        <f t="shared" si="104"/>
        <v/>
      </c>
    </row>
    <row r="1315" spans="1:12" x14ac:dyDescent="0.3">
      <c r="A1315" s="36" t="str">
        <f xml:space="preserve"> IF( 'From SvanPC++'!A1315= "", "", ('From SvanPC++'!A1315))</f>
        <v/>
      </c>
      <c r="C1315" s="47" t="s">
        <v>10</v>
      </c>
      <c r="G1315" s="38" t="str">
        <f t="shared" si="101"/>
        <v/>
      </c>
      <c r="H1315" s="36" t="str">
        <f t="shared" si="105"/>
        <v/>
      </c>
      <c r="J1315" s="141" t="str">
        <f t="shared" si="102"/>
        <v/>
      </c>
      <c r="K1315" s="141" t="str">
        <f t="shared" si="103"/>
        <v/>
      </c>
      <c r="L1315" s="141" t="str">
        <f t="shared" si="104"/>
        <v/>
      </c>
    </row>
    <row r="1316" spans="1:12" x14ac:dyDescent="0.3">
      <c r="A1316" s="36" t="str">
        <f xml:space="preserve"> IF( 'From SvanPC++'!A1316= "", "", ('From SvanPC++'!A1316))</f>
        <v/>
      </c>
      <c r="C1316" s="47" t="s">
        <v>10</v>
      </c>
      <c r="G1316" s="38" t="str">
        <f t="shared" si="101"/>
        <v/>
      </c>
      <c r="H1316" s="36" t="str">
        <f t="shared" si="105"/>
        <v/>
      </c>
      <c r="J1316" s="141" t="str">
        <f t="shared" si="102"/>
        <v/>
      </c>
      <c r="K1316" s="141" t="str">
        <f t="shared" si="103"/>
        <v/>
      </c>
      <c r="L1316" s="141" t="str">
        <f t="shared" si="104"/>
        <v/>
      </c>
    </row>
    <row r="1317" spans="1:12" x14ac:dyDescent="0.3">
      <c r="A1317" s="36" t="str">
        <f xml:space="preserve"> IF( 'From SvanPC++'!A1317= "", "", ('From SvanPC++'!A1317))</f>
        <v/>
      </c>
      <c r="C1317" s="47" t="s">
        <v>10</v>
      </c>
      <c r="G1317" s="38" t="str">
        <f t="shared" si="101"/>
        <v/>
      </c>
      <c r="H1317" s="36" t="str">
        <f t="shared" si="105"/>
        <v/>
      </c>
      <c r="J1317" s="141" t="str">
        <f t="shared" si="102"/>
        <v/>
      </c>
      <c r="K1317" s="141" t="str">
        <f t="shared" si="103"/>
        <v/>
      </c>
      <c r="L1317" s="141" t="str">
        <f t="shared" si="104"/>
        <v/>
      </c>
    </row>
    <row r="1318" spans="1:12" x14ac:dyDescent="0.3">
      <c r="A1318" s="36" t="str">
        <f xml:space="preserve"> IF( 'From SvanPC++'!A1318= "", "", ('From SvanPC++'!A1318))</f>
        <v/>
      </c>
      <c r="C1318" s="47" t="s">
        <v>10</v>
      </c>
      <c r="G1318" s="38" t="str">
        <f t="shared" si="101"/>
        <v/>
      </c>
      <c r="H1318" s="36" t="str">
        <f t="shared" si="105"/>
        <v/>
      </c>
      <c r="J1318" s="141" t="str">
        <f t="shared" si="102"/>
        <v/>
      </c>
      <c r="K1318" s="141" t="str">
        <f t="shared" si="103"/>
        <v/>
      </c>
      <c r="L1318" s="141" t="str">
        <f t="shared" si="104"/>
        <v/>
      </c>
    </row>
    <row r="1319" spans="1:12" x14ac:dyDescent="0.3">
      <c r="A1319" s="36" t="str">
        <f xml:space="preserve"> IF( 'From SvanPC++'!A1319= "", "", ('From SvanPC++'!A1319))</f>
        <v/>
      </c>
      <c r="C1319" s="47" t="s">
        <v>10</v>
      </c>
      <c r="G1319" s="38" t="str">
        <f t="shared" si="101"/>
        <v/>
      </c>
      <c r="H1319" s="36" t="str">
        <f t="shared" si="105"/>
        <v/>
      </c>
      <c r="J1319" s="141" t="str">
        <f t="shared" si="102"/>
        <v/>
      </c>
      <c r="K1319" s="141" t="str">
        <f t="shared" si="103"/>
        <v/>
      </c>
      <c r="L1319" s="141" t="str">
        <f t="shared" si="104"/>
        <v/>
      </c>
    </row>
    <row r="1320" spans="1:12" x14ac:dyDescent="0.3">
      <c r="A1320" s="36" t="str">
        <f xml:space="preserve"> IF( 'From SvanPC++'!A1320= "", "", ('From SvanPC++'!A1320))</f>
        <v/>
      </c>
      <c r="C1320" s="47" t="s">
        <v>10</v>
      </c>
      <c r="G1320" s="38" t="str">
        <f t="shared" si="101"/>
        <v/>
      </c>
      <c r="H1320" s="36" t="str">
        <f t="shared" si="105"/>
        <v/>
      </c>
      <c r="J1320" s="141" t="str">
        <f t="shared" si="102"/>
        <v/>
      </c>
      <c r="K1320" s="141" t="str">
        <f t="shared" si="103"/>
        <v/>
      </c>
      <c r="L1320" s="141" t="str">
        <f t="shared" si="104"/>
        <v/>
      </c>
    </row>
    <row r="1321" spans="1:12" x14ac:dyDescent="0.3">
      <c r="A1321" s="36" t="str">
        <f xml:space="preserve"> IF( 'From SvanPC++'!A1321= "", "", ('From SvanPC++'!A1321))</f>
        <v/>
      </c>
      <c r="C1321" s="47" t="s">
        <v>10</v>
      </c>
      <c r="G1321" s="38" t="str">
        <f t="shared" si="101"/>
        <v/>
      </c>
      <c r="H1321" s="36" t="str">
        <f t="shared" si="105"/>
        <v/>
      </c>
      <c r="J1321" s="141" t="str">
        <f t="shared" si="102"/>
        <v/>
      </c>
      <c r="K1321" s="141" t="str">
        <f t="shared" si="103"/>
        <v/>
      </c>
      <c r="L1321" s="141" t="str">
        <f t="shared" si="104"/>
        <v/>
      </c>
    </row>
    <row r="1322" spans="1:12" x14ac:dyDescent="0.3">
      <c r="A1322" s="36" t="str">
        <f xml:space="preserve"> IF( 'From SvanPC++'!A1322= "", "", ('From SvanPC++'!A1322))</f>
        <v/>
      </c>
      <c r="C1322" s="47" t="s">
        <v>10</v>
      </c>
      <c r="G1322" s="38" t="str">
        <f t="shared" si="101"/>
        <v/>
      </c>
      <c r="H1322" s="36" t="str">
        <f t="shared" si="105"/>
        <v/>
      </c>
      <c r="J1322" s="141" t="str">
        <f t="shared" si="102"/>
        <v/>
      </c>
      <c r="K1322" s="141" t="str">
        <f t="shared" si="103"/>
        <v/>
      </c>
      <c r="L1322" s="141" t="str">
        <f t="shared" si="104"/>
        <v/>
      </c>
    </row>
    <row r="1323" spans="1:12" x14ac:dyDescent="0.3">
      <c r="A1323" s="36" t="str">
        <f xml:space="preserve"> IF( 'From SvanPC++'!A1323= "", "", ('From SvanPC++'!A1323))</f>
        <v/>
      </c>
      <c r="C1323" s="47" t="s">
        <v>10</v>
      </c>
      <c r="G1323" s="38" t="str">
        <f t="shared" si="101"/>
        <v/>
      </c>
      <c r="H1323" s="36" t="str">
        <f t="shared" si="105"/>
        <v/>
      </c>
      <c r="J1323" s="141" t="str">
        <f t="shared" si="102"/>
        <v/>
      </c>
      <c r="K1323" s="141" t="str">
        <f t="shared" si="103"/>
        <v/>
      </c>
      <c r="L1323" s="141" t="str">
        <f t="shared" si="104"/>
        <v/>
      </c>
    </row>
    <row r="1324" spans="1:12" x14ac:dyDescent="0.3">
      <c r="A1324" s="36" t="str">
        <f xml:space="preserve"> IF( 'From SvanPC++'!A1324= "", "", ('From SvanPC++'!A1324))</f>
        <v/>
      </c>
      <c r="C1324" s="47" t="s">
        <v>10</v>
      </c>
      <c r="G1324" s="38" t="str">
        <f t="shared" si="101"/>
        <v/>
      </c>
      <c r="H1324" s="36" t="str">
        <f t="shared" si="105"/>
        <v/>
      </c>
      <c r="J1324" s="141" t="str">
        <f t="shared" si="102"/>
        <v/>
      </c>
      <c r="K1324" s="141" t="str">
        <f t="shared" si="103"/>
        <v/>
      </c>
      <c r="L1324" s="141" t="str">
        <f t="shared" si="104"/>
        <v/>
      </c>
    </row>
    <row r="1325" spans="1:12" x14ac:dyDescent="0.3">
      <c r="A1325" s="36" t="str">
        <f xml:space="preserve"> IF( 'From SvanPC++'!A1325= "", "", ('From SvanPC++'!A1325))</f>
        <v/>
      </c>
      <c r="C1325" s="47" t="s">
        <v>10</v>
      </c>
      <c r="G1325" s="38" t="str">
        <f t="shared" si="101"/>
        <v/>
      </c>
      <c r="H1325" s="36" t="str">
        <f t="shared" si="105"/>
        <v/>
      </c>
      <c r="J1325" s="141" t="str">
        <f t="shared" si="102"/>
        <v/>
      </c>
      <c r="K1325" s="141" t="str">
        <f t="shared" si="103"/>
        <v/>
      </c>
      <c r="L1325" s="141" t="str">
        <f t="shared" si="104"/>
        <v/>
      </c>
    </row>
    <row r="1326" spans="1:12" x14ac:dyDescent="0.3">
      <c r="A1326" s="36" t="str">
        <f xml:space="preserve"> IF( 'From SvanPC++'!A1326= "", "", ('From SvanPC++'!A1326))</f>
        <v/>
      </c>
      <c r="C1326" s="47" t="s">
        <v>10</v>
      </c>
      <c r="G1326" s="38" t="str">
        <f t="shared" si="101"/>
        <v/>
      </c>
      <c r="H1326" s="36" t="str">
        <f t="shared" si="105"/>
        <v/>
      </c>
      <c r="J1326" s="141" t="str">
        <f t="shared" si="102"/>
        <v/>
      </c>
      <c r="K1326" s="141" t="str">
        <f t="shared" si="103"/>
        <v/>
      </c>
      <c r="L1326" s="141" t="str">
        <f t="shared" si="104"/>
        <v/>
      </c>
    </row>
    <row r="1327" spans="1:12" x14ac:dyDescent="0.3">
      <c r="A1327" s="36" t="str">
        <f xml:space="preserve"> IF( 'From SvanPC++'!A1327= "", "", ('From SvanPC++'!A1327))</f>
        <v/>
      </c>
      <c r="C1327" s="47" t="s">
        <v>10</v>
      </c>
      <c r="G1327" s="38" t="str">
        <f t="shared" si="101"/>
        <v/>
      </c>
      <c r="H1327" s="36" t="str">
        <f t="shared" si="105"/>
        <v/>
      </c>
      <c r="J1327" s="141" t="str">
        <f t="shared" si="102"/>
        <v/>
      </c>
      <c r="K1327" s="141" t="str">
        <f t="shared" si="103"/>
        <v/>
      </c>
      <c r="L1327" s="141" t="str">
        <f t="shared" si="104"/>
        <v/>
      </c>
    </row>
    <row r="1328" spans="1:12" x14ac:dyDescent="0.3">
      <c r="A1328" s="36" t="str">
        <f xml:space="preserve"> IF( 'From SvanPC++'!A1328= "", "", ('From SvanPC++'!A1328))</f>
        <v/>
      </c>
      <c r="C1328" s="47" t="s">
        <v>10</v>
      </c>
      <c r="G1328" s="38" t="str">
        <f t="shared" si="101"/>
        <v/>
      </c>
      <c r="H1328" s="36" t="str">
        <f t="shared" si="105"/>
        <v/>
      </c>
      <c r="J1328" s="141" t="str">
        <f t="shared" si="102"/>
        <v/>
      </c>
      <c r="K1328" s="141" t="str">
        <f t="shared" si="103"/>
        <v/>
      </c>
      <c r="L1328" s="141" t="str">
        <f t="shared" si="104"/>
        <v/>
      </c>
    </row>
    <row r="1329" spans="1:12" x14ac:dyDescent="0.3">
      <c r="A1329" s="36" t="str">
        <f xml:space="preserve"> IF( 'From SvanPC++'!A1329= "", "", ('From SvanPC++'!A1329))</f>
        <v/>
      </c>
      <c r="C1329" s="47" t="s">
        <v>10</v>
      </c>
      <c r="G1329" s="38" t="str">
        <f t="shared" si="101"/>
        <v/>
      </c>
      <c r="H1329" s="36" t="str">
        <f t="shared" si="105"/>
        <v/>
      </c>
      <c r="J1329" s="141" t="str">
        <f t="shared" si="102"/>
        <v/>
      </c>
      <c r="K1329" s="141" t="str">
        <f t="shared" si="103"/>
        <v/>
      </c>
      <c r="L1329" s="141" t="str">
        <f t="shared" si="104"/>
        <v/>
      </c>
    </row>
    <row r="1330" spans="1:12" x14ac:dyDescent="0.3">
      <c r="A1330" s="36" t="str">
        <f xml:space="preserve"> IF( 'From SvanPC++'!A1330= "", "", ('From SvanPC++'!A1330))</f>
        <v/>
      </c>
      <c r="C1330" s="47" t="s">
        <v>10</v>
      </c>
      <c r="G1330" s="38" t="str">
        <f t="shared" si="101"/>
        <v/>
      </c>
      <c r="H1330" s="36" t="str">
        <f t="shared" si="105"/>
        <v/>
      </c>
      <c r="J1330" s="141" t="str">
        <f t="shared" si="102"/>
        <v/>
      </c>
      <c r="K1330" s="141" t="str">
        <f t="shared" si="103"/>
        <v/>
      </c>
      <c r="L1330" s="141" t="str">
        <f t="shared" si="104"/>
        <v/>
      </c>
    </row>
    <row r="1331" spans="1:12" x14ac:dyDescent="0.3">
      <c r="A1331" s="36" t="str">
        <f xml:space="preserve"> IF( 'From SvanPC++'!A1331= "", "", ('From SvanPC++'!A1331))</f>
        <v/>
      </c>
      <c r="C1331" s="47" t="s">
        <v>10</v>
      </c>
      <c r="G1331" s="38" t="str">
        <f t="shared" si="101"/>
        <v/>
      </c>
      <c r="H1331" s="36" t="str">
        <f t="shared" si="105"/>
        <v/>
      </c>
      <c r="J1331" s="141" t="str">
        <f t="shared" si="102"/>
        <v/>
      </c>
      <c r="K1331" s="141" t="str">
        <f t="shared" si="103"/>
        <v/>
      </c>
      <c r="L1331" s="141" t="str">
        <f t="shared" si="104"/>
        <v/>
      </c>
    </row>
    <row r="1332" spans="1:12" x14ac:dyDescent="0.3">
      <c r="A1332" s="36" t="str">
        <f xml:space="preserve"> IF( 'From SvanPC++'!A1332= "", "", ('From SvanPC++'!A1332))</f>
        <v/>
      </c>
      <c r="C1332" s="47" t="s">
        <v>10</v>
      </c>
      <c r="G1332" s="38" t="str">
        <f t="shared" si="101"/>
        <v/>
      </c>
      <c r="H1332" s="36" t="str">
        <f t="shared" si="105"/>
        <v/>
      </c>
      <c r="J1332" s="141" t="str">
        <f t="shared" si="102"/>
        <v/>
      </c>
      <c r="K1332" s="141" t="str">
        <f t="shared" si="103"/>
        <v/>
      </c>
      <c r="L1332" s="141" t="str">
        <f t="shared" si="104"/>
        <v/>
      </c>
    </row>
    <row r="1333" spans="1:12" x14ac:dyDescent="0.3">
      <c r="A1333" s="36" t="str">
        <f xml:space="preserve"> IF( 'From SvanPC++'!A1333= "", "", ('From SvanPC++'!A1333))</f>
        <v/>
      </c>
      <c r="C1333" s="47" t="s">
        <v>10</v>
      </c>
      <c r="G1333" s="38" t="str">
        <f t="shared" si="101"/>
        <v/>
      </c>
      <c r="H1333" s="36" t="str">
        <f t="shared" si="105"/>
        <v/>
      </c>
      <c r="J1333" s="141" t="str">
        <f t="shared" si="102"/>
        <v/>
      </c>
      <c r="K1333" s="141" t="str">
        <f t="shared" si="103"/>
        <v/>
      </c>
      <c r="L1333" s="141" t="str">
        <f t="shared" si="104"/>
        <v/>
      </c>
    </row>
    <row r="1334" spans="1:12" x14ac:dyDescent="0.3">
      <c r="A1334" s="36" t="str">
        <f xml:space="preserve"> IF( 'From SvanPC++'!A1334= "", "", ('From SvanPC++'!A1334))</f>
        <v/>
      </c>
      <c r="C1334" s="47" t="s">
        <v>10</v>
      </c>
      <c r="G1334" s="38" t="str">
        <f t="shared" si="101"/>
        <v/>
      </c>
      <c r="H1334" s="36" t="str">
        <f t="shared" si="105"/>
        <v/>
      </c>
      <c r="J1334" s="141" t="str">
        <f t="shared" si="102"/>
        <v/>
      </c>
      <c r="K1334" s="141" t="str">
        <f t="shared" si="103"/>
        <v/>
      </c>
      <c r="L1334" s="141" t="str">
        <f t="shared" si="104"/>
        <v/>
      </c>
    </row>
    <row r="1335" spans="1:12" x14ac:dyDescent="0.3">
      <c r="A1335" s="36" t="str">
        <f xml:space="preserve"> IF( 'From SvanPC++'!A1335= "", "", ('From SvanPC++'!A1335))</f>
        <v/>
      </c>
      <c r="C1335" s="47" t="s">
        <v>10</v>
      </c>
      <c r="G1335" s="38" t="str">
        <f t="shared" si="101"/>
        <v/>
      </c>
      <c r="H1335" s="36" t="str">
        <f t="shared" si="105"/>
        <v/>
      </c>
      <c r="J1335" s="141" t="str">
        <f t="shared" si="102"/>
        <v/>
      </c>
      <c r="K1335" s="141" t="str">
        <f t="shared" si="103"/>
        <v/>
      </c>
      <c r="L1335" s="141" t="str">
        <f t="shared" si="104"/>
        <v/>
      </c>
    </row>
    <row r="1336" spans="1:12" x14ac:dyDescent="0.3">
      <c r="A1336" s="36" t="str">
        <f xml:space="preserve"> IF( 'From SvanPC++'!A1336= "", "", ('From SvanPC++'!A1336))</f>
        <v/>
      </c>
      <c r="C1336" s="47" t="s">
        <v>10</v>
      </c>
      <c r="G1336" s="38" t="str">
        <f t="shared" si="101"/>
        <v/>
      </c>
      <c r="H1336" s="36" t="str">
        <f t="shared" si="105"/>
        <v/>
      </c>
      <c r="J1336" s="141" t="str">
        <f t="shared" si="102"/>
        <v/>
      </c>
      <c r="K1336" s="141" t="str">
        <f t="shared" si="103"/>
        <v/>
      </c>
      <c r="L1336" s="141" t="str">
        <f t="shared" si="104"/>
        <v/>
      </c>
    </row>
    <row r="1337" spans="1:12" x14ac:dyDescent="0.3">
      <c r="A1337" s="36" t="str">
        <f xml:space="preserve"> IF( 'From SvanPC++'!A1337= "", "", ('From SvanPC++'!A1337))</f>
        <v/>
      </c>
      <c r="C1337" s="47" t="s">
        <v>10</v>
      </c>
      <c r="G1337" s="38" t="str">
        <f t="shared" si="101"/>
        <v/>
      </c>
      <c r="H1337" s="36" t="str">
        <f t="shared" si="105"/>
        <v/>
      </c>
      <c r="J1337" s="141" t="str">
        <f t="shared" si="102"/>
        <v/>
      </c>
      <c r="K1337" s="141" t="str">
        <f t="shared" si="103"/>
        <v/>
      </c>
      <c r="L1337" s="141" t="str">
        <f t="shared" si="104"/>
        <v/>
      </c>
    </row>
    <row r="1338" spans="1:12" x14ac:dyDescent="0.3">
      <c r="A1338" s="36" t="str">
        <f xml:space="preserve"> IF( 'From SvanPC++'!A1338= "", "", ('From SvanPC++'!A1338))</f>
        <v/>
      </c>
      <c r="C1338" s="47" t="s">
        <v>10</v>
      </c>
      <c r="G1338" s="38" t="str">
        <f t="shared" si="101"/>
        <v/>
      </c>
      <c r="H1338" s="36" t="str">
        <f t="shared" si="105"/>
        <v/>
      </c>
      <c r="J1338" s="141" t="str">
        <f t="shared" si="102"/>
        <v/>
      </c>
      <c r="K1338" s="141" t="str">
        <f t="shared" si="103"/>
        <v/>
      </c>
      <c r="L1338" s="141" t="str">
        <f t="shared" si="104"/>
        <v/>
      </c>
    </row>
    <row r="1339" spans="1:12" x14ac:dyDescent="0.3">
      <c r="A1339" s="36" t="str">
        <f xml:space="preserve"> IF( 'From SvanPC++'!A1339= "", "", ('From SvanPC++'!A1339))</f>
        <v/>
      </c>
      <c r="C1339" s="47" t="s">
        <v>10</v>
      </c>
      <c r="G1339" s="38" t="str">
        <f t="shared" si="101"/>
        <v/>
      </c>
      <c r="H1339" s="36" t="str">
        <f t="shared" si="105"/>
        <v/>
      </c>
      <c r="J1339" s="141" t="str">
        <f t="shared" si="102"/>
        <v/>
      </c>
      <c r="K1339" s="141" t="str">
        <f t="shared" si="103"/>
        <v/>
      </c>
      <c r="L1339" s="141" t="str">
        <f t="shared" si="104"/>
        <v/>
      </c>
    </row>
    <row r="1340" spans="1:12" x14ac:dyDescent="0.3">
      <c r="A1340" s="36" t="str">
        <f xml:space="preserve"> IF( 'From SvanPC++'!A1340= "", "", ('From SvanPC++'!A1340))</f>
        <v/>
      </c>
      <c r="C1340" s="47" t="s">
        <v>10</v>
      </c>
      <c r="G1340" s="38" t="str">
        <f t="shared" si="101"/>
        <v/>
      </c>
      <c r="H1340" s="36" t="str">
        <f t="shared" si="105"/>
        <v/>
      </c>
      <c r="J1340" s="141" t="str">
        <f t="shared" si="102"/>
        <v/>
      </c>
      <c r="K1340" s="141" t="str">
        <f t="shared" si="103"/>
        <v/>
      </c>
      <c r="L1340" s="141" t="str">
        <f t="shared" si="104"/>
        <v/>
      </c>
    </row>
    <row r="1341" spans="1:12" x14ac:dyDescent="0.3">
      <c r="A1341" s="36" t="str">
        <f xml:space="preserve"> IF( 'From SvanPC++'!A1341= "", "", ('From SvanPC++'!A1341))</f>
        <v/>
      </c>
      <c r="C1341" s="47" t="s">
        <v>10</v>
      </c>
      <c r="G1341" s="38" t="str">
        <f t="shared" si="101"/>
        <v/>
      </c>
      <c r="H1341" s="36" t="str">
        <f t="shared" si="105"/>
        <v/>
      </c>
      <c r="J1341" s="141" t="str">
        <f t="shared" si="102"/>
        <v/>
      </c>
      <c r="K1341" s="141" t="str">
        <f t="shared" si="103"/>
        <v/>
      </c>
      <c r="L1341" s="141" t="str">
        <f t="shared" si="104"/>
        <v/>
      </c>
    </row>
    <row r="1342" spans="1:12" x14ac:dyDescent="0.3">
      <c r="A1342" s="36" t="str">
        <f xml:space="preserve"> IF( 'From SvanPC++'!A1342= "", "", ('From SvanPC++'!A1342))</f>
        <v/>
      </c>
      <c r="C1342" s="47" t="s">
        <v>10</v>
      </c>
      <c r="G1342" s="38" t="str">
        <f t="shared" si="101"/>
        <v/>
      </c>
      <c r="H1342" s="36" t="str">
        <f t="shared" si="105"/>
        <v/>
      </c>
      <c r="J1342" s="141" t="str">
        <f t="shared" si="102"/>
        <v/>
      </c>
      <c r="K1342" s="141" t="str">
        <f t="shared" si="103"/>
        <v/>
      </c>
      <c r="L1342" s="141" t="str">
        <f t="shared" si="104"/>
        <v/>
      </c>
    </row>
    <row r="1343" spans="1:12" x14ac:dyDescent="0.3">
      <c r="A1343" s="36" t="str">
        <f xml:space="preserve"> IF( 'From SvanPC++'!A1343= "", "", ('From SvanPC++'!A1343))</f>
        <v/>
      </c>
      <c r="C1343" s="47" t="s">
        <v>10</v>
      </c>
      <c r="G1343" s="38" t="str">
        <f t="shared" si="101"/>
        <v/>
      </c>
      <c r="H1343" s="36" t="str">
        <f t="shared" si="105"/>
        <v/>
      </c>
      <c r="J1343" s="141" t="str">
        <f t="shared" si="102"/>
        <v/>
      </c>
      <c r="K1343" s="141" t="str">
        <f t="shared" si="103"/>
        <v/>
      </c>
      <c r="L1343" s="141" t="str">
        <f t="shared" si="104"/>
        <v/>
      </c>
    </row>
    <row r="1344" spans="1:12" x14ac:dyDescent="0.3">
      <c r="A1344" s="36" t="str">
        <f xml:space="preserve"> IF( 'From SvanPC++'!A1344= "", "", ('From SvanPC++'!A1344))</f>
        <v/>
      </c>
      <c r="C1344" s="47" t="s">
        <v>10</v>
      </c>
      <c r="G1344" s="38" t="str">
        <f t="shared" si="101"/>
        <v/>
      </c>
      <c r="H1344" s="36" t="str">
        <f t="shared" si="105"/>
        <v/>
      </c>
      <c r="J1344" s="141" t="str">
        <f t="shared" si="102"/>
        <v/>
      </c>
      <c r="K1344" s="141" t="str">
        <f t="shared" si="103"/>
        <v/>
      </c>
      <c r="L1344" s="141" t="str">
        <f t="shared" si="104"/>
        <v/>
      </c>
    </row>
    <row r="1345" spans="1:12" x14ac:dyDescent="0.3">
      <c r="A1345" s="36" t="str">
        <f xml:space="preserve"> IF( 'From SvanPC++'!A1345= "", "", ('From SvanPC++'!A1345))</f>
        <v/>
      </c>
      <c r="C1345" s="47" t="s">
        <v>10</v>
      </c>
      <c r="G1345" s="38" t="str">
        <f t="shared" si="101"/>
        <v/>
      </c>
      <c r="H1345" s="36" t="str">
        <f t="shared" si="105"/>
        <v/>
      </c>
      <c r="J1345" s="141" t="str">
        <f t="shared" si="102"/>
        <v/>
      </c>
      <c r="K1345" s="141" t="str">
        <f t="shared" si="103"/>
        <v/>
      </c>
      <c r="L1345" s="141" t="str">
        <f t="shared" si="104"/>
        <v/>
      </c>
    </row>
    <row r="1346" spans="1:12" x14ac:dyDescent="0.3">
      <c r="A1346" s="36" t="str">
        <f xml:space="preserve"> IF( 'From SvanPC++'!A1346= "", "", ('From SvanPC++'!A1346))</f>
        <v/>
      </c>
      <c r="C1346" s="47" t="s">
        <v>10</v>
      </c>
      <c r="G1346" s="38" t="str">
        <f t="shared" si="101"/>
        <v/>
      </c>
      <c r="H1346" s="36" t="str">
        <f t="shared" si="105"/>
        <v/>
      </c>
      <c r="J1346" s="141" t="str">
        <f t="shared" si="102"/>
        <v/>
      </c>
      <c r="K1346" s="141" t="str">
        <f t="shared" si="103"/>
        <v/>
      </c>
      <c r="L1346" s="141" t="str">
        <f t="shared" si="104"/>
        <v/>
      </c>
    </row>
    <row r="1347" spans="1:12" x14ac:dyDescent="0.3">
      <c r="A1347" s="36" t="str">
        <f xml:space="preserve"> IF( 'From SvanPC++'!A1347= "", "", ('From SvanPC++'!A1347))</f>
        <v/>
      </c>
      <c r="C1347" s="47" t="s">
        <v>10</v>
      </c>
      <c r="G1347" s="38" t="str">
        <f t="shared" si="101"/>
        <v/>
      </c>
      <c r="H1347" s="36" t="str">
        <f t="shared" si="105"/>
        <v/>
      </c>
      <c r="J1347" s="141" t="str">
        <f t="shared" si="102"/>
        <v/>
      </c>
      <c r="K1347" s="141" t="str">
        <f t="shared" si="103"/>
        <v/>
      </c>
      <c r="L1347" s="141" t="str">
        <f t="shared" si="104"/>
        <v/>
      </c>
    </row>
    <row r="1348" spans="1:12" x14ac:dyDescent="0.3">
      <c r="A1348" s="36" t="str">
        <f xml:space="preserve"> IF( 'From SvanPC++'!A1348= "", "", ('From SvanPC++'!A1348))</f>
        <v/>
      </c>
      <c r="C1348" s="47" t="s">
        <v>10</v>
      </c>
      <c r="G1348" s="38" t="str">
        <f t="shared" si="101"/>
        <v/>
      </c>
      <c r="H1348" s="36" t="str">
        <f t="shared" si="105"/>
        <v/>
      </c>
      <c r="J1348" s="141" t="str">
        <f t="shared" si="102"/>
        <v/>
      </c>
      <c r="K1348" s="141" t="str">
        <f t="shared" si="103"/>
        <v/>
      </c>
      <c r="L1348" s="141" t="str">
        <f t="shared" si="104"/>
        <v/>
      </c>
    </row>
    <row r="1349" spans="1:12" x14ac:dyDescent="0.3">
      <c r="A1349" s="36" t="str">
        <f xml:space="preserve"> IF( 'From SvanPC++'!A1349= "", "", ('From SvanPC++'!A1349))</f>
        <v/>
      </c>
      <c r="C1349" s="47" t="s">
        <v>10</v>
      </c>
      <c r="G1349" s="38" t="str">
        <f t="shared" si="101"/>
        <v/>
      </c>
      <c r="H1349" s="36" t="str">
        <f t="shared" si="105"/>
        <v/>
      </c>
      <c r="J1349" s="141" t="str">
        <f t="shared" si="102"/>
        <v/>
      </c>
      <c r="K1349" s="141" t="str">
        <f t="shared" si="103"/>
        <v/>
      </c>
      <c r="L1349" s="141" t="str">
        <f t="shared" si="104"/>
        <v/>
      </c>
    </row>
    <row r="1350" spans="1:12" x14ac:dyDescent="0.3">
      <c r="A1350" s="36" t="str">
        <f xml:space="preserve"> IF( 'From SvanPC++'!A1350= "", "", ('From SvanPC++'!A1350))</f>
        <v/>
      </c>
      <c r="C1350" s="47" t="s">
        <v>10</v>
      </c>
      <c r="G1350" s="38" t="str">
        <f t="shared" si="101"/>
        <v/>
      </c>
      <c r="H1350" s="36" t="str">
        <f t="shared" si="105"/>
        <v/>
      </c>
      <c r="J1350" s="141" t="str">
        <f t="shared" si="102"/>
        <v/>
      </c>
      <c r="K1350" s="141" t="str">
        <f t="shared" si="103"/>
        <v/>
      </c>
      <c r="L1350" s="141" t="str">
        <f t="shared" si="104"/>
        <v/>
      </c>
    </row>
    <row r="1351" spans="1:12" x14ac:dyDescent="0.3">
      <c r="A1351" s="36" t="str">
        <f xml:space="preserve"> IF( 'From SvanPC++'!A1351= "", "", ('From SvanPC++'!A1351))</f>
        <v/>
      </c>
      <c r="C1351" s="47" t="s">
        <v>10</v>
      </c>
      <c r="G1351" s="38" t="str">
        <f t="shared" ref="G1351:G1414" si="106" xml:space="preserve"> IF( D1351= "", "", ( IF( AND( D1351 &gt;= TIMEVALUE( "07:00:01" ), D1351 &lt; TIMEVALUE( "08:00:01" ) ) = TRUE, (G1350+1), (G1350+0) )))</f>
        <v/>
      </c>
      <c r="H1351" s="36" t="str">
        <f t="shared" si="105"/>
        <v/>
      </c>
      <c r="J1351" s="141" t="str">
        <f t="shared" si="102"/>
        <v/>
      </c>
      <c r="K1351" s="141" t="str">
        <f t="shared" si="103"/>
        <v/>
      </c>
      <c r="L1351" s="141" t="str">
        <f t="shared" si="104"/>
        <v/>
      </c>
    </row>
    <row r="1352" spans="1:12" x14ac:dyDescent="0.3">
      <c r="A1352" s="36" t="str">
        <f xml:space="preserve"> IF( 'From SvanPC++'!A1352= "", "", ('From SvanPC++'!A1352))</f>
        <v/>
      </c>
      <c r="C1352" s="47" t="s">
        <v>10</v>
      </c>
      <c r="G1352" s="38" t="str">
        <f t="shared" si="106"/>
        <v/>
      </c>
      <c r="H1352" s="36" t="str">
        <f t="shared" si="105"/>
        <v/>
      </c>
      <c r="J1352" s="141" t="str">
        <f t="shared" ref="J1352:J1415" si="107" xml:space="preserve"> IF( ISERROR( IF( D1352= "", "", ( IF( G1352= (G1351+1), ( AVERAGEIFS( E1352:E1496, G1352:G1496, G1352, H1352:H1496, "Day" )), "" )))), "",( IF( D1352= "", "", ( IF( G1352= (G1351+1), ( AVERAGEIFS( E1352:E1496, G1352:G1496, G1352, H1352:H1496, "Day" )), "" )))))</f>
        <v/>
      </c>
      <c r="K1352" s="141" t="str">
        <f t="shared" ref="K1352:K1415" si="108" xml:space="preserve"> IF( ISERROR( IF( D1352= "", "", ( IF( G1352= (G1351+1), ( AVERAGEIFS( E1352:E1496, G1352:G1496, G1352, H1352:H1496, "Evening" )), "" )))), "",( IF( D1352= "", "", ( IF( G1352= (G1351+1), ( AVERAGEIFS( E1352:E1496, G1352:G1496, G1352, H1352:H1496, "Evening" )), "" )))))</f>
        <v/>
      </c>
      <c r="L1352" s="141" t="str">
        <f t="shared" ref="L1352:L1415" si="109" xml:space="preserve"> IF( ISERROR( IF( D1352= "", "", ( IF( G1352= (G1351+1), ( AVERAGEIFS( E1352:E1496, G1352:G1496, G1352, H1352:H1496, "Night" )), "" )))), "",( IF( D1352= "", "", ( IF( G1352= (G1351+1), ( AVERAGEIFS( E1352:E1496, G1352:G1496, G1352, H1352:H1496, "Night" )), "" )))))</f>
        <v/>
      </c>
    </row>
    <row r="1353" spans="1:12" x14ac:dyDescent="0.3">
      <c r="A1353" s="36" t="str">
        <f xml:space="preserve"> IF( 'From SvanPC++'!A1353= "", "", ('From SvanPC++'!A1353))</f>
        <v/>
      </c>
      <c r="C1353" s="47" t="s">
        <v>10</v>
      </c>
      <c r="G1353" s="38" t="str">
        <f t="shared" si="106"/>
        <v/>
      </c>
      <c r="H1353" s="36" t="str">
        <f t="shared" si="105"/>
        <v/>
      </c>
      <c r="J1353" s="141" t="str">
        <f t="shared" si="107"/>
        <v/>
      </c>
      <c r="K1353" s="141" t="str">
        <f t="shared" si="108"/>
        <v/>
      </c>
      <c r="L1353" s="141" t="str">
        <f t="shared" si="109"/>
        <v/>
      </c>
    </row>
    <row r="1354" spans="1:12" x14ac:dyDescent="0.3">
      <c r="A1354" s="36" t="str">
        <f xml:space="preserve"> IF( 'From SvanPC++'!A1354= "", "", ('From SvanPC++'!A1354))</f>
        <v/>
      </c>
      <c r="C1354" s="47" t="s">
        <v>10</v>
      </c>
      <c r="G1354" s="38" t="str">
        <f t="shared" si="106"/>
        <v/>
      </c>
      <c r="H1354" s="36" t="str">
        <f t="shared" si="105"/>
        <v/>
      </c>
      <c r="J1354" s="141" t="str">
        <f t="shared" si="107"/>
        <v/>
      </c>
      <c r="K1354" s="141" t="str">
        <f t="shared" si="108"/>
        <v/>
      </c>
      <c r="L1354" s="141" t="str">
        <f t="shared" si="109"/>
        <v/>
      </c>
    </row>
    <row r="1355" spans="1:12" x14ac:dyDescent="0.3">
      <c r="A1355" s="36" t="str">
        <f xml:space="preserve"> IF( 'From SvanPC++'!A1355= "", "", ('From SvanPC++'!A1355))</f>
        <v/>
      </c>
      <c r="C1355" s="47" t="s">
        <v>10</v>
      </c>
      <c r="G1355" s="38" t="str">
        <f t="shared" si="106"/>
        <v/>
      </c>
      <c r="H1355" s="36" t="str">
        <f t="shared" si="105"/>
        <v/>
      </c>
      <c r="J1355" s="141" t="str">
        <f t="shared" si="107"/>
        <v/>
      </c>
      <c r="K1355" s="141" t="str">
        <f t="shared" si="108"/>
        <v/>
      </c>
      <c r="L1355" s="141" t="str">
        <f t="shared" si="109"/>
        <v/>
      </c>
    </row>
    <row r="1356" spans="1:12" x14ac:dyDescent="0.3">
      <c r="A1356" s="36" t="str">
        <f xml:space="preserve"> IF( 'From SvanPC++'!A1356= "", "", ('From SvanPC++'!A1356))</f>
        <v/>
      </c>
      <c r="C1356" s="47" t="s">
        <v>10</v>
      </c>
      <c r="G1356" s="38" t="str">
        <f t="shared" si="106"/>
        <v/>
      </c>
      <c r="H1356" s="36" t="str">
        <f t="shared" si="105"/>
        <v/>
      </c>
      <c r="J1356" s="141" t="str">
        <f t="shared" si="107"/>
        <v/>
      </c>
      <c r="K1356" s="141" t="str">
        <f t="shared" si="108"/>
        <v/>
      </c>
      <c r="L1356" s="141" t="str">
        <f t="shared" si="109"/>
        <v/>
      </c>
    </row>
    <row r="1357" spans="1:12" x14ac:dyDescent="0.3">
      <c r="A1357" s="36" t="str">
        <f xml:space="preserve"> IF( 'From SvanPC++'!A1357= "", "", ('From SvanPC++'!A1357))</f>
        <v/>
      </c>
      <c r="C1357" s="47" t="s">
        <v>10</v>
      </c>
      <c r="G1357" s="38" t="str">
        <f t="shared" si="106"/>
        <v/>
      </c>
      <c r="H1357" s="36" t="str">
        <f t="shared" si="105"/>
        <v/>
      </c>
      <c r="J1357" s="141" t="str">
        <f t="shared" si="107"/>
        <v/>
      </c>
      <c r="K1357" s="141" t="str">
        <f t="shared" si="108"/>
        <v/>
      </c>
      <c r="L1357" s="141" t="str">
        <f t="shared" si="109"/>
        <v/>
      </c>
    </row>
    <row r="1358" spans="1:12" x14ac:dyDescent="0.3">
      <c r="A1358" s="36" t="str">
        <f xml:space="preserve"> IF( 'From SvanPC++'!A1358= "", "", ('From SvanPC++'!A1358))</f>
        <v/>
      </c>
      <c r="C1358" s="47" t="s">
        <v>10</v>
      </c>
      <c r="G1358" s="38" t="str">
        <f t="shared" si="106"/>
        <v/>
      </c>
      <c r="H1358" s="36" t="str">
        <f t="shared" si="105"/>
        <v/>
      </c>
      <c r="J1358" s="141" t="str">
        <f t="shared" si="107"/>
        <v/>
      </c>
      <c r="K1358" s="141" t="str">
        <f t="shared" si="108"/>
        <v/>
      </c>
      <c r="L1358" s="141" t="str">
        <f t="shared" si="109"/>
        <v/>
      </c>
    </row>
    <row r="1359" spans="1:12" x14ac:dyDescent="0.3">
      <c r="A1359" s="36" t="str">
        <f xml:space="preserve"> IF( 'From SvanPC++'!A1359= "", "", ('From SvanPC++'!A1359))</f>
        <v/>
      </c>
      <c r="C1359" s="47" t="s">
        <v>10</v>
      </c>
      <c r="G1359" s="38" t="str">
        <f t="shared" si="106"/>
        <v/>
      </c>
      <c r="H1359" s="36" t="str">
        <f t="shared" si="105"/>
        <v/>
      </c>
      <c r="J1359" s="141" t="str">
        <f t="shared" si="107"/>
        <v/>
      </c>
      <c r="K1359" s="141" t="str">
        <f t="shared" si="108"/>
        <v/>
      </c>
      <c r="L1359" s="141" t="str">
        <f t="shared" si="109"/>
        <v/>
      </c>
    </row>
    <row r="1360" spans="1:12" x14ac:dyDescent="0.3">
      <c r="A1360" s="36" t="str">
        <f xml:space="preserve"> IF( 'From SvanPC++'!A1360= "", "", ('From SvanPC++'!A1360))</f>
        <v/>
      </c>
      <c r="C1360" s="47" t="s">
        <v>10</v>
      </c>
      <c r="G1360" s="38" t="str">
        <f t="shared" si="106"/>
        <v/>
      </c>
      <c r="H1360" s="36" t="str">
        <f t="shared" si="105"/>
        <v/>
      </c>
      <c r="J1360" s="141" t="str">
        <f t="shared" si="107"/>
        <v/>
      </c>
      <c r="K1360" s="141" t="str">
        <f t="shared" si="108"/>
        <v/>
      </c>
      <c r="L1360" s="141" t="str">
        <f t="shared" si="109"/>
        <v/>
      </c>
    </row>
    <row r="1361" spans="1:12" x14ac:dyDescent="0.3">
      <c r="A1361" s="36" t="str">
        <f xml:space="preserve"> IF( 'From SvanPC++'!A1361= "", "", ('From SvanPC++'!A1361))</f>
        <v/>
      </c>
      <c r="C1361" s="47" t="s">
        <v>10</v>
      </c>
      <c r="G1361" s="38" t="str">
        <f t="shared" si="106"/>
        <v/>
      </c>
      <c r="H1361" s="36" t="str">
        <f t="shared" si="105"/>
        <v/>
      </c>
      <c r="J1361" s="141" t="str">
        <f t="shared" si="107"/>
        <v/>
      </c>
      <c r="K1361" s="141" t="str">
        <f t="shared" si="108"/>
        <v/>
      </c>
      <c r="L1361" s="141" t="str">
        <f t="shared" si="109"/>
        <v/>
      </c>
    </row>
    <row r="1362" spans="1:12" x14ac:dyDescent="0.3">
      <c r="A1362" s="36" t="str">
        <f xml:space="preserve"> IF( 'From SvanPC++'!A1362= "", "", ('From SvanPC++'!A1362))</f>
        <v/>
      </c>
      <c r="C1362" s="47" t="s">
        <v>10</v>
      </c>
      <c r="G1362" s="38" t="str">
        <f t="shared" si="106"/>
        <v/>
      </c>
      <c r="H1362" s="36" t="str">
        <f t="shared" si="105"/>
        <v/>
      </c>
      <c r="J1362" s="141" t="str">
        <f t="shared" si="107"/>
        <v/>
      </c>
      <c r="K1362" s="141" t="str">
        <f t="shared" si="108"/>
        <v/>
      </c>
      <c r="L1362" s="141" t="str">
        <f t="shared" si="109"/>
        <v/>
      </c>
    </row>
    <row r="1363" spans="1:12" x14ac:dyDescent="0.3">
      <c r="A1363" s="36" t="str">
        <f xml:space="preserve"> IF( 'From SvanPC++'!A1363= "", "", ('From SvanPC++'!A1363))</f>
        <v/>
      </c>
      <c r="C1363" s="47" t="s">
        <v>10</v>
      </c>
      <c r="G1363" s="38" t="str">
        <f t="shared" si="106"/>
        <v/>
      </c>
      <c r="H1363" s="36" t="str">
        <f t="shared" si="105"/>
        <v/>
      </c>
      <c r="J1363" s="141" t="str">
        <f t="shared" si="107"/>
        <v/>
      </c>
      <c r="K1363" s="141" t="str">
        <f t="shared" si="108"/>
        <v/>
      </c>
      <c r="L1363" s="141" t="str">
        <f t="shared" si="109"/>
        <v/>
      </c>
    </row>
    <row r="1364" spans="1:12" x14ac:dyDescent="0.3">
      <c r="A1364" s="36" t="str">
        <f xml:space="preserve"> IF( 'From SvanPC++'!A1364= "", "", ('From SvanPC++'!A1364))</f>
        <v/>
      </c>
      <c r="C1364" s="47" t="s">
        <v>10</v>
      </c>
      <c r="G1364" s="38" t="str">
        <f t="shared" si="106"/>
        <v/>
      </c>
      <c r="H1364" s="36" t="str">
        <f t="shared" si="105"/>
        <v/>
      </c>
      <c r="J1364" s="141" t="str">
        <f t="shared" si="107"/>
        <v/>
      </c>
      <c r="K1364" s="141" t="str">
        <f t="shared" si="108"/>
        <v/>
      </c>
      <c r="L1364" s="141" t="str">
        <f t="shared" si="109"/>
        <v/>
      </c>
    </row>
    <row r="1365" spans="1:12" x14ac:dyDescent="0.3">
      <c r="A1365" s="36" t="str">
        <f xml:space="preserve"> IF( 'From SvanPC++'!A1365= "", "", ('From SvanPC++'!A1365))</f>
        <v/>
      </c>
      <c r="C1365" s="47" t="s">
        <v>10</v>
      </c>
      <c r="G1365" s="38" t="str">
        <f t="shared" si="106"/>
        <v/>
      </c>
      <c r="H1365" s="36" t="str">
        <f t="shared" si="105"/>
        <v/>
      </c>
      <c r="J1365" s="141" t="str">
        <f t="shared" si="107"/>
        <v/>
      </c>
      <c r="K1365" s="141" t="str">
        <f t="shared" si="108"/>
        <v/>
      </c>
      <c r="L1365" s="141" t="str">
        <f t="shared" si="109"/>
        <v/>
      </c>
    </row>
    <row r="1366" spans="1:12" x14ac:dyDescent="0.3">
      <c r="A1366" s="36" t="str">
        <f xml:space="preserve"> IF( 'From SvanPC++'!A1366= "", "", ('From SvanPC++'!A1366))</f>
        <v/>
      </c>
      <c r="C1366" s="47" t="s">
        <v>10</v>
      </c>
      <c r="G1366" s="38" t="str">
        <f t="shared" si="106"/>
        <v/>
      </c>
      <c r="H1366" s="36" t="str">
        <f t="shared" si="105"/>
        <v/>
      </c>
      <c r="J1366" s="141" t="str">
        <f t="shared" si="107"/>
        <v/>
      </c>
      <c r="K1366" s="141" t="str">
        <f t="shared" si="108"/>
        <v/>
      </c>
      <c r="L1366" s="141" t="str">
        <f t="shared" si="109"/>
        <v/>
      </c>
    </row>
    <row r="1367" spans="1:12" x14ac:dyDescent="0.3">
      <c r="A1367" s="36" t="str">
        <f xml:space="preserve"> IF( 'From SvanPC++'!A1367= "", "", ('From SvanPC++'!A1367))</f>
        <v/>
      </c>
      <c r="C1367" s="47" t="s">
        <v>10</v>
      </c>
      <c r="G1367" s="38" t="str">
        <f t="shared" si="106"/>
        <v/>
      </c>
      <c r="H1367" s="36" t="str">
        <f t="shared" ref="H1367:H1430" si="110" xml:space="preserve"> IF( D1367= "", "", ( IF( AND( D1367 &gt;= TIMEVALUE( "07:00:01" ), D1367 &lt;= TIMEVALUE( "13:00:00" ), WEEKDAY( C1367) =(7+N("Lines 2-17 = saturday day period")) ) = TRUE, "Day",
IF( AND( D1367 &gt;= TIMEVALUE( "07:00:01" ), D1367 &lt;= TIMEVALUE( "18:00:00" ), WEEKDAY( C1367,1+N("Lines 19-38 = weekday day period")) &gt;=2, ( WEEKDAY( C1367,1) &lt;=6) ) = TRUE, "Day",
IF( AND( D1367 &gt;= TIMEVALUE( "13:00:01" ), D1367 &lt;= TIMEVALUE( "22:00:00" ), WEEKDAY( C1367) =(7+N("Lines 40-56 = saturday evening period")) ) = TRUE, "Evening",
IF( AND( D1367 &gt;= TIMEVALUE( "18:00:01" ), D1367 &lt;= TIMEVALUE( "22:00:00" ), WEEKDAY( C1367,1+N("Lines 57-77 = weekday evening period")) &gt;=2, ( WEEKDAY( C1367,1) &lt;=6) ) = TRUE, "Evening",
IF( AND( D1367 &gt;= TIMEVALUE( "07:00:01" ), D1367 &lt;= TIMEVALUE( "22:00:00" ), WEEKDAY( C1367) =(1+N("Lines 78-94 = sunday evening period")) ) = TRUE, "Evening",
IF( AND( D1367 &gt;= TIMEVALUE( "22:00:01" ), D1367 &lt;= TIMEVALUE( "23:59:59" ), WEEKDAY( C1367) =(7+N("Lines 95-111 = saturday night1 period")) ) = TRUE, "Night",
IF( AND( D1367 &gt;= TIMEVALUE( "00:00:00" ), D1367 &lt;= TIMEVALUE( "07:00:00" ), WEEKDAY( C1367) =(7+N("Lines 112-128 = saturday night2 period")) ) = TRUE, "Night",
IF( AND( D1367 &gt;= TIMEVALUE( "22:00:01" ), D1367 &lt;= TIMEVALUE( "23:59:59" ), WEEKDAY( C1367,1+N("Lines 129-149 = weekday night1 period")) &gt;=2, ( WEEKDAY( C1367,1) &lt;=6) ) = TRUE, "Night",
IF( AND( D1367 &gt;= TIMEVALUE( "00:00:00" ), D1367 &lt;= TIMEVALUE( "07:00:00" ), WEEKDAY( C1367,1+N("Lines 150-170 = weekday night2 period")) &gt;=2, ( WEEKDAY( C1367,1) &lt;=6) ) = TRUE, "Night",
IF( AND( D1367 &gt;= TIMEVALUE( "20:00:01" ), D1367 &lt;= TIMEVALUE( "23:59:59" ), WEEKDAY( C1367) =(1+N("Lines 171-187 = sunday night1 period")) ) = TRUE, "Night",
IF( AND( D1367 &gt;= TIMEVALUE( "00:00:00" ), D1367 &lt;= TIMEVALUE( "07:00:00" ), WEEKDAY( C1367) =(1+N("Lines 188-204 = sunday night2 period")) ) = TRUE, "Night", )))))))))))))</f>
        <v/>
      </c>
      <c r="J1367" s="141" t="str">
        <f t="shared" si="107"/>
        <v/>
      </c>
      <c r="K1367" s="141" t="str">
        <f t="shared" si="108"/>
        <v/>
      </c>
      <c r="L1367" s="141" t="str">
        <f t="shared" si="109"/>
        <v/>
      </c>
    </row>
    <row r="1368" spans="1:12" x14ac:dyDescent="0.3">
      <c r="A1368" s="36" t="str">
        <f xml:space="preserve"> IF( 'From SvanPC++'!A1368= "", "", ('From SvanPC++'!A1368))</f>
        <v/>
      </c>
      <c r="C1368" s="47" t="s">
        <v>10</v>
      </c>
      <c r="G1368" s="38" t="str">
        <f t="shared" si="106"/>
        <v/>
      </c>
      <c r="H1368" s="36" t="str">
        <f t="shared" si="110"/>
        <v/>
      </c>
      <c r="J1368" s="141" t="str">
        <f t="shared" si="107"/>
        <v/>
      </c>
      <c r="K1368" s="141" t="str">
        <f t="shared" si="108"/>
        <v/>
      </c>
      <c r="L1368" s="141" t="str">
        <f t="shared" si="109"/>
        <v/>
      </c>
    </row>
    <row r="1369" spans="1:12" x14ac:dyDescent="0.3">
      <c r="A1369" s="36" t="str">
        <f xml:space="preserve"> IF( 'From SvanPC++'!A1369= "", "", ('From SvanPC++'!A1369))</f>
        <v/>
      </c>
      <c r="C1369" s="47" t="s">
        <v>10</v>
      </c>
      <c r="G1369" s="38" t="str">
        <f t="shared" si="106"/>
        <v/>
      </c>
      <c r="H1369" s="36" t="str">
        <f t="shared" si="110"/>
        <v/>
      </c>
      <c r="J1369" s="141" t="str">
        <f t="shared" si="107"/>
        <v/>
      </c>
      <c r="K1369" s="141" t="str">
        <f t="shared" si="108"/>
        <v/>
      </c>
      <c r="L1369" s="141" t="str">
        <f t="shared" si="109"/>
        <v/>
      </c>
    </row>
    <row r="1370" spans="1:12" x14ac:dyDescent="0.3">
      <c r="A1370" s="36" t="str">
        <f xml:space="preserve"> IF( 'From SvanPC++'!A1370= "", "", ('From SvanPC++'!A1370))</f>
        <v/>
      </c>
      <c r="C1370" s="47" t="s">
        <v>10</v>
      </c>
      <c r="G1370" s="38" t="str">
        <f t="shared" si="106"/>
        <v/>
      </c>
      <c r="H1370" s="36" t="str">
        <f t="shared" si="110"/>
        <v/>
      </c>
      <c r="J1370" s="141" t="str">
        <f t="shared" si="107"/>
        <v/>
      </c>
      <c r="K1370" s="141" t="str">
        <f t="shared" si="108"/>
        <v/>
      </c>
      <c r="L1370" s="141" t="str">
        <f t="shared" si="109"/>
        <v/>
      </c>
    </row>
    <row r="1371" spans="1:12" x14ac:dyDescent="0.3">
      <c r="A1371" s="36" t="str">
        <f xml:space="preserve"> IF( 'From SvanPC++'!A1371= "", "", ('From SvanPC++'!A1371))</f>
        <v/>
      </c>
      <c r="C1371" s="47" t="s">
        <v>10</v>
      </c>
      <c r="G1371" s="38" t="str">
        <f t="shared" si="106"/>
        <v/>
      </c>
      <c r="H1371" s="36" t="str">
        <f t="shared" si="110"/>
        <v/>
      </c>
      <c r="J1371" s="141" t="str">
        <f t="shared" si="107"/>
        <v/>
      </c>
      <c r="K1371" s="141" t="str">
        <f t="shared" si="108"/>
        <v/>
      </c>
      <c r="L1371" s="141" t="str">
        <f t="shared" si="109"/>
        <v/>
      </c>
    </row>
    <row r="1372" spans="1:12" x14ac:dyDescent="0.3">
      <c r="A1372" s="36" t="str">
        <f xml:space="preserve"> IF( 'From SvanPC++'!A1372= "", "", ('From SvanPC++'!A1372))</f>
        <v/>
      </c>
      <c r="C1372" s="47" t="s">
        <v>10</v>
      </c>
      <c r="G1372" s="38" t="str">
        <f t="shared" si="106"/>
        <v/>
      </c>
      <c r="H1372" s="36" t="str">
        <f t="shared" si="110"/>
        <v/>
      </c>
      <c r="J1372" s="141" t="str">
        <f t="shared" si="107"/>
        <v/>
      </c>
      <c r="K1372" s="141" t="str">
        <f t="shared" si="108"/>
        <v/>
      </c>
      <c r="L1372" s="141" t="str">
        <f t="shared" si="109"/>
        <v/>
      </c>
    </row>
    <row r="1373" spans="1:12" x14ac:dyDescent="0.3">
      <c r="A1373" s="36" t="str">
        <f xml:space="preserve"> IF( 'From SvanPC++'!A1373= "", "", ('From SvanPC++'!A1373))</f>
        <v/>
      </c>
      <c r="C1373" s="47" t="s">
        <v>10</v>
      </c>
      <c r="G1373" s="38" t="str">
        <f t="shared" si="106"/>
        <v/>
      </c>
      <c r="H1373" s="36" t="str">
        <f t="shared" si="110"/>
        <v/>
      </c>
      <c r="J1373" s="141" t="str">
        <f t="shared" si="107"/>
        <v/>
      </c>
      <c r="K1373" s="141" t="str">
        <f t="shared" si="108"/>
        <v/>
      </c>
      <c r="L1373" s="141" t="str">
        <f t="shared" si="109"/>
        <v/>
      </c>
    </row>
    <row r="1374" spans="1:12" x14ac:dyDescent="0.3">
      <c r="A1374" s="36" t="str">
        <f xml:space="preserve"> IF( 'From SvanPC++'!A1374= "", "", ('From SvanPC++'!A1374))</f>
        <v/>
      </c>
      <c r="C1374" s="47" t="s">
        <v>10</v>
      </c>
      <c r="G1374" s="38" t="str">
        <f t="shared" si="106"/>
        <v/>
      </c>
      <c r="H1374" s="36" t="str">
        <f t="shared" si="110"/>
        <v/>
      </c>
      <c r="J1374" s="141" t="str">
        <f t="shared" si="107"/>
        <v/>
      </c>
      <c r="K1374" s="141" t="str">
        <f t="shared" si="108"/>
        <v/>
      </c>
      <c r="L1374" s="141" t="str">
        <f t="shared" si="109"/>
        <v/>
      </c>
    </row>
    <row r="1375" spans="1:12" x14ac:dyDescent="0.3">
      <c r="A1375" s="36" t="str">
        <f xml:space="preserve"> IF( 'From SvanPC++'!A1375= "", "", ('From SvanPC++'!A1375))</f>
        <v/>
      </c>
      <c r="C1375" s="47" t="s">
        <v>10</v>
      </c>
      <c r="G1375" s="38" t="str">
        <f t="shared" si="106"/>
        <v/>
      </c>
      <c r="H1375" s="36" t="str">
        <f t="shared" si="110"/>
        <v/>
      </c>
      <c r="J1375" s="141" t="str">
        <f t="shared" si="107"/>
        <v/>
      </c>
      <c r="K1375" s="141" t="str">
        <f t="shared" si="108"/>
        <v/>
      </c>
      <c r="L1375" s="141" t="str">
        <f t="shared" si="109"/>
        <v/>
      </c>
    </row>
    <row r="1376" spans="1:12" x14ac:dyDescent="0.3">
      <c r="A1376" s="36" t="str">
        <f xml:space="preserve"> IF( 'From SvanPC++'!A1376= "", "", ('From SvanPC++'!A1376))</f>
        <v/>
      </c>
      <c r="C1376" s="47" t="s">
        <v>10</v>
      </c>
      <c r="G1376" s="38" t="str">
        <f t="shared" si="106"/>
        <v/>
      </c>
      <c r="H1376" s="36" t="str">
        <f t="shared" si="110"/>
        <v/>
      </c>
      <c r="J1376" s="141" t="str">
        <f t="shared" si="107"/>
        <v/>
      </c>
      <c r="K1376" s="141" t="str">
        <f t="shared" si="108"/>
        <v/>
      </c>
      <c r="L1376" s="141" t="str">
        <f t="shared" si="109"/>
        <v/>
      </c>
    </row>
    <row r="1377" spans="1:12" x14ac:dyDescent="0.3">
      <c r="A1377" s="36" t="str">
        <f xml:space="preserve"> IF( 'From SvanPC++'!A1377= "", "", ('From SvanPC++'!A1377))</f>
        <v/>
      </c>
      <c r="C1377" s="47" t="s">
        <v>10</v>
      </c>
      <c r="G1377" s="38" t="str">
        <f t="shared" si="106"/>
        <v/>
      </c>
      <c r="H1377" s="36" t="str">
        <f t="shared" si="110"/>
        <v/>
      </c>
      <c r="J1377" s="141" t="str">
        <f t="shared" si="107"/>
        <v/>
      </c>
      <c r="K1377" s="141" t="str">
        <f t="shared" si="108"/>
        <v/>
      </c>
      <c r="L1377" s="141" t="str">
        <f t="shared" si="109"/>
        <v/>
      </c>
    </row>
    <row r="1378" spans="1:12" x14ac:dyDescent="0.3">
      <c r="A1378" s="36" t="str">
        <f xml:space="preserve"> IF( 'From SvanPC++'!A1378= "", "", ('From SvanPC++'!A1378))</f>
        <v/>
      </c>
      <c r="C1378" s="47" t="s">
        <v>10</v>
      </c>
      <c r="G1378" s="38" t="str">
        <f t="shared" si="106"/>
        <v/>
      </c>
      <c r="H1378" s="36" t="str">
        <f t="shared" si="110"/>
        <v/>
      </c>
      <c r="J1378" s="141" t="str">
        <f t="shared" si="107"/>
        <v/>
      </c>
      <c r="K1378" s="141" t="str">
        <f t="shared" si="108"/>
        <v/>
      </c>
      <c r="L1378" s="141" t="str">
        <f t="shared" si="109"/>
        <v/>
      </c>
    </row>
    <row r="1379" spans="1:12" x14ac:dyDescent="0.3">
      <c r="A1379" s="36" t="str">
        <f xml:space="preserve"> IF( 'From SvanPC++'!A1379= "", "", ('From SvanPC++'!A1379))</f>
        <v/>
      </c>
      <c r="C1379" s="47" t="s">
        <v>10</v>
      </c>
      <c r="G1379" s="38" t="str">
        <f t="shared" si="106"/>
        <v/>
      </c>
      <c r="H1379" s="36" t="str">
        <f t="shared" si="110"/>
        <v/>
      </c>
      <c r="J1379" s="141" t="str">
        <f t="shared" si="107"/>
        <v/>
      </c>
      <c r="K1379" s="141" t="str">
        <f t="shared" si="108"/>
        <v/>
      </c>
      <c r="L1379" s="141" t="str">
        <f t="shared" si="109"/>
        <v/>
      </c>
    </row>
    <row r="1380" spans="1:12" x14ac:dyDescent="0.3">
      <c r="A1380" s="36" t="str">
        <f xml:space="preserve"> IF( 'From SvanPC++'!A1380= "", "", ('From SvanPC++'!A1380))</f>
        <v/>
      </c>
      <c r="C1380" s="47" t="s">
        <v>10</v>
      </c>
      <c r="G1380" s="38" t="str">
        <f t="shared" si="106"/>
        <v/>
      </c>
      <c r="H1380" s="36" t="str">
        <f t="shared" si="110"/>
        <v/>
      </c>
      <c r="J1380" s="141" t="str">
        <f t="shared" si="107"/>
        <v/>
      </c>
      <c r="K1380" s="141" t="str">
        <f t="shared" si="108"/>
        <v/>
      </c>
      <c r="L1380" s="141" t="str">
        <f t="shared" si="109"/>
        <v/>
      </c>
    </row>
    <row r="1381" spans="1:12" x14ac:dyDescent="0.3">
      <c r="A1381" s="36" t="str">
        <f xml:space="preserve"> IF( 'From SvanPC++'!A1381= "", "", ('From SvanPC++'!A1381))</f>
        <v/>
      </c>
      <c r="C1381" s="47" t="s">
        <v>10</v>
      </c>
      <c r="G1381" s="38" t="str">
        <f t="shared" si="106"/>
        <v/>
      </c>
      <c r="H1381" s="36" t="str">
        <f t="shared" si="110"/>
        <v/>
      </c>
      <c r="J1381" s="141" t="str">
        <f t="shared" si="107"/>
        <v/>
      </c>
      <c r="K1381" s="141" t="str">
        <f t="shared" si="108"/>
        <v/>
      </c>
      <c r="L1381" s="141" t="str">
        <f t="shared" si="109"/>
        <v/>
      </c>
    </row>
    <row r="1382" spans="1:12" x14ac:dyDescent="0.3">
      <c r="A1382" s="36" t="str">
        <f xml:space="preserve"> IF( 'From SvanPC++'!A1382= "", "", ('From SvanPC++'!A1382))</f>
        <v/>
      </c>
      <c r="C1382" s="47" t="s">
        <v>10</v>
      </c>
      <c r="G1382" s="38" t="str">
        <f t="shared" si="106"/>
        <v/>
      </c>
      <c r="H1382" s="36" t="str">
        <f t="shared" si="110"/>
        <v/>
      </c>
      <c r="J1382" s="141" t="str">
        <f t="shared" si="107"/>
        <v/>
      </c>
      <c r="K1382" s="141" t="str">
        <f t="shared" si="108"/>
        <v/>
      </c>
      <c r="L1382" s="141" t="str">
        <f t="shared" si="109"/>
        <v/>
      </c>
    </row>
    <row r="1383" spans="1:12" x14ac:dyDescent="0.3">
      <c r="A1383" s="36" t="str">
        <f xml:space="preserve"> IF( 'From SvanPC++'!A1383= "", "", ('From SvanPC++'!A1383))</f>
        <v/>
      </c>
      <c r="C1383" s="47" t="s">
        <v>10</v>
      </c>
      <c r="G1383" s="38" t="str">
        <f t="shared" si="106"/>
        <v/>
      </c>
      <c r="H1383" s="36" t="str">
        <f t="shared" si="110"/>
        <v/>
      </c>
      <c r="J1383" s="141" t="str">
        <f t="shared" si="107"/>
        <v/>
      </c>
      <c r="K1383" s="141" t="str">
        <f t="shared" si="108"/>
        <v/>
      </c>
      <c r="L1383" s="141" t="str">
        <f t="shared" si="109"/>
        <v/>
      </c>
    </row>
    <row r="1384" spans="1:12" x14ac:dyDescent="0.3">
      <c r="A1384" s="36" t="str">
        <f xml:space="preserve"> IF( 'From SvanPC++'!A1384= "", "", ('From SvanPC++'!A1384))</f>
        <v/>
      </c>
      <c r="C1384" s="47" t="s">
        <v>10</v>
      </c>
      <c r="G1384" s="38" t="str">
        <f t="shared" si="106"/>
        <v/>
      </c>
      <c r="H1384" s="36" t="str">
        <f t="shared" si="110"/>
        <v/>
      </c>
      <c r="J1384" s="141" t="str">
        <f t="shared" si="107"/>
        <v/>
      </c>
      <c r="K1384" s="141" t="str">
        <f t="shared" si="108"/>
        <v/>
      </c>
      <c r="L1384" s="141" t="str">
        <f t="shared" si="109"/>
        <v/>
      </c>
    </row>
    <row r="1385" spans="1:12" x14ac:dyDescent="0.3">
      <c r="A1385" s="36" t="str">
        <f xml:space="preserve"> IF( 'From SvanPC++'!A1385= "", "", ('From SvanPC++'!A1385))</f>
        <v/>
      </c>
      <c r="C1385" s="47" t="s">
        <v>10</v>
      </c>
      <c r="G1385" s="38" t="str">
        <f t="shared" si="106"/>
        <v/>
      </c>
      <c r="H1385" s="36" t="str">
        <f t="shared" si="110"/>
        <v/>
      </c>
      <c r="J1385" s="141" t="str">
        <f t="shared" si="107"/>
        <v/>
      </c>
      <c r="K1385" s="141" t="str">
        <f t="shared" si="108"/>
        <v/>
      </c>
      <c r="L1385" s="141" t="str">
        <f t="shared" si="109"/>
        <v/>
      </c>
    </row>
    <row r="1386" spans="1:12" x14ac:dyDescent="0.3">
      <c r="A1386" s="36" t="str">
        <f xml:space="preserve"> IF( 'From SvanPC++'!A1386= "", "", ('From SvanPC++'!A1386))</f>
        <v/>
      </c>
      <c r="C1386" s="47" t="s">
        <v>10</v>
      </c>
      <c r="G1386" s="38" t="str">
        <f t="shared" si="106"/>
        <v/>
      </c>
      <c r="H1386" s="36" t="str">
        <f t="shared" si="110"/>
        <v/>
      </c>
      <c r="J1386" s="141" t="str">
        <f t="shared" si="107"/>
        <v/>
      </c>
      <c r="K1386" s="141" t="str">
        <f t="shared" si="108"/>
        <v/>
      </c>
      <c r="L1386" s="141" t="str">
        <f t="shared" si="109"/>
        <v/>
      </c>
    </row>
    <row r="1387" spans="1:12" x14ac:dyDescent="0.3">
      <c r="A1387" s="36" t="str">
        <f xml:space="preserve"> IF( 'From SvanPC++'!A1387= "", "", ('From SvanPC++'!A1387))</f>
        <v/>
      </c>
      <c r="C1387" s="47" t="s">
        <v>10</v>
      </c>
      <c r="G1387" s="38" t="str">
        <f t="shared" si="106"/>
        <v/>
      </c>
      <c r="H1387" s="36" t="str">
        <f t="shared" si="110"/>
        <v/>
      </c>
      <c r="J1387" s="141" t="str">
        <f t="shared" si="107"/>
        <v/>
      </c>
      <c r="K1387" s="141" t="str">
        <f t="shared" si="108"/>
        <v/>
      </c>
      <c r="L1387" s="141" t="str">
        <f t="shared" si="109"/>
        <v/>
      </c>
    </row>
    <row r="1388" spans="1:12" x14ac:dyDescent="0.3">
      <c r="A1388" s="36" t="str">
        <f xml:space="preserve"> IF( 'From SvanPC++'!A1388= "", "", ('From SvanPC++'!A1388))</f>
        <v/>
      </c>
      <c r="C1388" s="47" t="s">
        <v>10</v>
      </c>
      <c r="G1388" s="38" t="str">
        <f t="shared" si="106"/>
        <v/>
      </c>
      <c r="H1388" s="36" t="str">
        <f t="shared" si="110"/>
        <v/>
      </c>
      <c r="J1388" s="141" t="str">
        <f t="shared" si="107"/>
        <v/>
      </c>
      <c r="K1388" s="141" t="str">
        <f t="shared" si="108"/>
        <v/>
      </c>
      <c r="L1388" s="141" t="str">
        <f t="shared" si="109"/>
        <v/>
      </c>
    </row>
    <row r="1389" spans="1:12" x14ac:dyDescent="0.3">
      <c r="A1389" s="36" t="str">
        <f xml:space="preserve"> IF( 'From SvanPC++'!A1389= "", "", ('From SvanPC++'!A1389))</f>
        <v/>
      </c>
      <c r="C1389" s="47" t="s">
        <v>10</v>
      </c>
      <c r="G1389" s="38" t="str">
        <f t="shared" si="106"/>
        <v/>
      </c>
      <c r="H1389" s="36" t="str">
        <f t="shared" si="110"/>
        <v/>
      </c>
      <c r="J1389" s="141" t="str">
        <f t="shared" si="107"/>
        <v/>
      </c>
      <c r="K1389" s="141" t="str">
        <f t="shared" si="108"/>
        <v/>
      </c>
      <c r="L1389" s="141" t="str">
        <f t="shared" si="109"/>
        <v/>
      </c>
    </row>
    <row r="1390" spans="1:12" x14ac:dyDescent="0.3">
      <c r="A1390" s="36" t="str">
        <f xml:space="preserve"> IF( 'From SvanPC++'!A1390= "", "", ('From SvanPC++'!A1390))</f>
        <v/>
      </c>
      <c r="C1390" s="47" t="s">
        <v>10</v>
      </c>
      <c r="G1390" s="38" t="str">
        <f t="shared" si="106"/>
        <v/>
      </c>
      <c r="H1390" s="36" t="str">
        <f t="shared" si="110"/>
        <v/>
      </c>
      <c r="J1390" s="141" t="str">
        <f t="shared" si="107"/>
        <v/>
      </c>
      <c r="K1390" s="141" t="str">
        <f t="shared" si="108"/>
        <v/>
      </c>
      <c r="L1390" s="141" t="str">
        <f t="shared" si="109"/>
        <v/>
      </c>
    </row>
    <row r="1391" spans="1:12" x14ac:dyDescent="0.3">
      <c r="A1391" s="36" t="str">
        <f xml:space="preserve"> IF( 'From SvanPC++'!A1391= "", "", ('From SvanPC++'!A1391))</f>
        <v/>
      </c>
      <c r="C1391" s="47" t="s">
        <v>10</v>
      </c>
      <c r="G1391" s="38" t="str">
        <f t="shared" si="106"/>
        <v/>
      </c>
      <c r="H1391" s="36" t="str">
        <f t="shared" si="110"/>
        <v/>
      </c>
      <c r="J1391" s="141" t="str">
        <f t="shared" si="107"/>
        <v/>
      </c>
      <c r="K1391" s="141" t="str">
        <f t="shared" si="108"/>
        <v/>
      </c>
      <c r="L1391" s="141" t="str">
        <f t="shared" si="109"/>
        <v/>
      </c>
    </row>
    <row r="1392" spans="1:12" x14ac:dyDescent="0.3">
      <c r="A1392" s="36" t="str">
        <f xml:space="preserve"> IF( 'From SvanPC++'!A1392= "", "", ('From SvanPC++'!A1392))</f>
        <v/>
      </c>
      <c r="C1392" s="47" t="s">
        <v>10</v>
      </c>
      <c r="G1392" s="38" t="str">
        <f t="shared" si="106"/>
        <v/>
      </c>
      <c r="H1392" s="36" t="str">
        <f t="shared" si="110"/>
        <v/>
      </c>
      <c r="J1392" s="141" t="str">
        <f t="shared" si="107"/>
        <v/>
      </c>
      <c r="K1392" s="141" t="str">
        <f t="shared" si="108"/>
        <v/>
      </c>
      <c r="L1392" s="141" t="str">
        <f t="shared" si="109"/>
        <v/>
      </c>
    </row>
    <row r="1393" spans="1:12" x14ac:dyDescent="0.3">
      <c r="A1393" s="36" t="str">
        <f xml:space="preserve"> IF( 'From SvanPC++'!A1393= "", "", ('From SvanPC++'!A1393))</f>
        <v/>
      </c>
      <c r="C1393" s="47" t="s">
        <v>10</v>
      </c>
      <c r="G1393" s="38" t="str">
        <f t="shared" si="106"/>
        <v/>
      </c>
      <c r="H1393" s="36" t="str">
        <f t="shared" si="110"/>
        <v/>
      </c>
      <c r="J1393" s="141" t="str">
        <f t="shared" si="107"/>
        <v/>
      </c>
      <c r="K1393" s="141" t="str">
        <f t="shared" si="108"/>
        <v/>
      </c>
      <c r="L1393" s="141" t="str">
        <f t="shared" si="109"/>
        <v/>
      </c>
    </row>
    <row r="1394" spans="1:12" x14ac:dyDescent="0.3">
      <c r="A1394" s="36" t="str">
        <f xml:space="preserve"> IF( 'From SvanPC++'!A1394= "", "", ('From SvanPC++'!A1394))</f>
        <v/>
      </c>
      <c r="C1394" s="47" t="s">
        <v>10</v>
      </c>
      <c r="G1394" s="38" t="str">
        <f t="shared" si="106"/>
        <v/>
      </c>
      <c r="H1394" s="36" t="str">
        <f t="shared" si="110"/>
        <v/>
      </c>
      <c r="J1394" s="141" t="str">
        <f t="shared" si="107"/>
        <v/>
      </c>
      <c r="K1394" s="141" t="str">
        <f t="shared" si="108"/>
        <v/>
      </c>
      <c r="L1394" s="141" t="str">
        <f t="shared" si="109"/>
        <v/>
      </c>
    </row>
    <row r="1395" spans="1:12" x14ac:dyDescent="0.3">
      <c r="A1395" s="36" t="str">
        <f xml:space="preserve"> IF( 'From SvanPC++'!A1395= "", "", ('From SvanPC++'!A1395))</f>
        <v/>
      </c>
      <c r="C1395" s="47" t="s">
        <v>10</v>
      </c>
      <c r="G1395" s="38" t="str">
        <f t="shared" si="106"/>
        <v/>
      </c>
      <c r="H1395" s="36" t="str">
        <f t="shared" si="110"/>
        <v/>
      </c>
      <c r="J1395" s="141" t="str">
        <f t="shared" si="107"/>
        <v/>
      </c>
      <c r="K1395" s="141" t="str">
        <f t="shared" si="108"/>
        <v/>
      </c>
      <c r="L1395" s="141" t="str">
        <f t="shared" si="109"/>
        <v/>
      </c>
    </row>
    <row r="1396" spans="1:12" x14ac:dyDescent="0.3">
      <c r="A1396" s="36" t="str">
        <f xml:space="preserve"> IF( 'From SvanPC++'!A1396= "", "", ('From SvanPC++'!A1396))</f>
        <v/>
      </c>
      <c r="C1396" s="47" t="s">
        <v>10</v>
      </c>
      <c r="G1396" s="38" t="str">
        <f t="shared" si="106"/>
        <v/>
      </c>
      <c r="H1396" s="36" t="str">
        <f t="shared" si="110"/>
        <v/>
      </c>
      <c r="J1396" s="141" t="str">
        <f t="shared" si="107"/>
        <v/>
      </c>
      <c r="K1396" s="141" t="str">
        <f t="shared" si="108"/>
        <v/>
      </c>
      <c r="L1396" s="141" t="str">
        <f t="shared" si="109"/>
        <v/>
      </c>
    </row>
    <row r="1397" spans="1:12" x14ac:dyDescent="0.3">
      <c r="A1397" s="36" t="str">
        <f xml:space="preserve"> IF( 'From SvanPC++'!A1397= "", "", ('From SvanPC++'!A1397))</f>
        <v/>
      </c>
      <c r="C1397" s="47" t="s">
        <v>10</v>
      </c>
      <c r="G1397" s="38" t="str">
        <f t="shared" si="106"/>
        <v/>
      </c>
      <c r="H1397" s="36" t="str">
        <f t="shared" si="110"/>
        <v/>
      </c>
      <c r="J1397" s="141" t="str">
        <f t="shared" si="107"/>
        <v/>
      </c>
      <c r="K1397" s="141" t="str">
        <f t="shared" si="108"/>
        <v/>
      </c>
      <c r="L1397" s="141" t="str">
        <f t="shared" si="109"/>
        <v/>
      </c>
    </row>
    <row r="1398" spans="1:12" x14ac:dyDescent="0.3">
      <c r="A1398" s="36" t="str">
        <f xml:space="preserve"> IF( 'From SvanPC++'!A1398= "", "", ('From SvanPC++'!A1398))</f>
        <v/>
      </c>
      <c r="C1398" s="47" t="s">
        <v>10</v>
      </c>
      <c r="G1398" s="38" t="str">
        <f t="shared" si="106"/>
        <v/>
      </c>
      <c r="H1398" s="36" t="str">
        <f t="shared" si="110"/>
        <v/>
      </c>
      <c r="J1398" s="141" t="str">
        <f t="shared" si="107"/>
        <v/>
      </c>
      <c r="K1398" s="141" t="str">
        <f t="shared" si="108"/>
        <v/>
      </c>
      <c r="L1398" s="141" t="str">
        <f t="shared" si="109"/>
        <v/>
      </c>
    </row>
    <row r="1399" spans="1:12" x14ac:dyDescent="0.3">
      <c r="A1399" s="36" t="str">
        <f xml:space="preserve"> IF( 'From SvanPC++'!A1399= "", "", ('From SvanPC++'!A1399))</f>
        <v/>
      </c>
      <c r="C1399" s="47" t="s">
        <v>10</v>
      </c>
      <c r="G1399" s="38" t="str">
        <f t="shared" si="106"/>
        <v/>
      </c>
      <c r="H1399" s="36" t="str">
        <f t="shared" si="110"/>
        <v/>
      </c>
      <c r="J1399" s="141" t="str">
        <f t="shared" si="107"/>
        <v/>
      </c>
      <c r="K1399" s="141" t="str">
        <f t="shared" si="108"/>
        <v/>
      </c>
      <c r="L1399" s="141" t="str">
        <f t="shared" si="109"/>
        <v/>
      </c>
    </row>
    <row r="1400" spans="1:12" x14ac:dyDescent="0.3">
      <c r="A1400" s="36" t="str">
        <f xml:space="preserve"> IF( 'From SvanPC++'!A1400= "", "", ('From SvanPC++'!A1400))</f>
        <v/>
      </c>
      <c r="C1400" s="47" t="s">
        <v>10</v>
      </c>
      <c r="G1400" s="38" t="str">
        <f t="shared" si="106"/>
        <v/>
      </c>
      <c r="H1400" s="36" t="str">
        <f t="shared" si="110"/>
        <v/>
      </c>
      <c r="J1400" s="141" t="str">
        <f t="shared" si="107"/>
        <v/>
      </c>
      <c r="K1400" s="141" t="str">
        <f t="shared" si="108"/>
        <v/>
      </c>
      <c r="L1400" s="141" t="str">
        <f t="shared" si="109"/>
        <v/>
      </c>
    </row>
    <row r="1401" spans="1:12" x14ac:dyDescent="0.3">
      <c r="A1401" s="36" t="str">
        <f xml:space="preserve"> IF( 'From SvanPC++'!A1401= "", "", ('From SvanPC++'!A1401))</f>
        <v/>
      </c>
      <c r="C1401" s="47" t="s">
        <v>10</v>
      </c>
      <c r="G1401" s="38" t="str">
        <f t="shared" si="106"/>
        <v/>
      </c>
      <c r="H1401" s="36" t="str">
        <f t="shared" si="110"/>
        <v/>
      </c>
      <c r="J1401" s="141" t="str">
        <f t="shared" si="107"/>
        <v/>
      </c>
      <c r="K1401" s="141" t="str">
        <f t="shared" si="108"/>
        <v/>
      </c>
      <c r="L1401" s="141" t="str">
        <f t="shared" si="109"/>
        <v/>
      </c>
    </row>
    <row r="1402" spans="1:12" x14ac:dyDescent="0.3">
      <c r="A1402" s="36" t="str">
        <f xml:space="preserve"> IF( 'From SvanPC++'!A1402= "", "", ('From SvanPC++'!A1402))</f>
        <v/>
      </c>
      <c r="C1402" s="47" t="s">
        <v>10</v>
      </c>
      <c r="G1402" s="38" t="str">
        <f t="shared" si="106"/>
        <v/>
      </c>
      <c r="H1402" s="36" t="str">
        <f t="shared" si="110"/>
        <v/>
      </c>
      <c r="J1402" s="141" t="str">
        <f t="shared" si="107"/>
        <v/>
      </c>
      <c r="K1402" s="141" t="str">
        <f t="shared" si="108"/>
        <v/>
      </c>
      <c r="L1402" s="141" t="str">
        <f t="shared" si="109"/>
        <v/>
      </c>
    </row>
    <row r="1403" spans="1:12" x14ac:dyDescent="0.3">
      <c r="A1403" s="36" t="str">
        <f xml:space="preserve"> IF( 'From SvanPC++'!A1403= "", "", ('From SvanPC++'!A1403))</f>
        <v/>
      </c>
      <c r="C1403" s="47" t="s">
        <v>10</v>
      </c>
      <c r="G1403" s="38" t="str">
        <f t="shared" si="106"/>
        <v/>
      </c>
      <c r="H1403" s="36" t="str">
        <f t="shared" si="110"/>
        <v/>
      </c>
      <c r="J1403" s="141" t="str">
        <f t="shared" si="107"/>
        <v/>
      </c>
      <c r="K1403" s="141" t="str">
        <f t="shared" si="108"/>
        <v/>
      </c>
      <c r="L1403" s="141" t="str">
        <f t="shared" si="109"/>
        <v/>
      </c>
    </row>
    <row r="1404" spans="1:12" x14ac:dyDescent="0.3">
      <c r="A1404" s="36" t="str">
        <f xml:space="preserve"> IF( 'From SvanPC++'!A1404= "", "", ('From SvanPC++'!A1404))</f>
        <v/>
      </c>
      <c r="C1404" s="47" t="s">
        <v>10</v>
      </c>
      <c r="G1404" s="38" t="str">
        <f t="shared" si="106"/>
        <v/>
      </c>
      <c r="H1404" s="36" t="str">
        <f t="shared" si="110"/>
        <v/>
      </c>
      <c r="J1404" s="141" t="str">
        <f t="shared" si="107"/>
        <v/>
      </c>
      <c r="K1404" s="141" t="str">
        <f t="shared" si="108"/>
        <v/>
      </c>
      <c r="L1404" s="141" t="str">
        <f t="shared" si="109"/>
        <v/>
      </c>
    </row>
    <row r="1405" spans="1:12" x14ac:dyDescent="0.3">
      <c r="A1405" s="36" t="str">
        <f xml:space="preserve"> IF( 'From SvanPC++'!A1405= "", "", ('From SvanPC++'!A1405))</f>
        <v/>
      </c>
      <c r="C1405" s="47" t="s">
        <v>10</v>
      </c>
      <c r="G1405" s="38" t="str">
        <f t="shared" si="106"/>
        <v/>
      </c>
      <c r="H1405" s="36" t="str">
        <f t="shared" si="110"/>
        <v/>
      </c>
      <c r="J1405" s="141" t="str">
        <f t="shared" si="107"/>
        <v/>
      </c>
      <c r="K1405" s="141" t="str">
        <f t="shared" si="108"/>
        <v/>
      </c>
      <c r="L1405" s="141" t="str">
        <f t="shared" si="109"/>
        <v/>
      </c>
    </row>
    <row r="1406" spans="1:12" x14ac:dyDescent="0.3">
      <c r="A1406" s="36" t="str">
        <f xml:space="preserve"> IF( 'From SvanPC++'!A1406= "", "", ('From SvanPC++'!A1406))</f>
        <v/>
      </c>
      <c r="C1406" s="47" t="s">
        <v>10</v>
      </c>
      <c r="G1406" s="38" t="str">
        <f t="shared" si="106"/>
        <v/>
      </c>
      <c r="H1406" s="36" t="str">
        <f t="shared" si="110"/>
        <v/>
      </c>
      <c r="J1406" s="141" t="str">
        <f t="shared" si="107"/>
        <v/>
      </c>
      <c r="K1406" s="141" t="str">
        <f t="shared" si="108"/>
        <v/>
      </c>
      <c r="L1406" s="141" t="str">
        <f t="shared" si="109"/>
        <v/>
      </c>
    </row>
    <row r="1407" spans="1:12" x14ac:dyDescent="0.3">
      <c r="A1407" s="36" t="str">
        <f xml:space="preserve"> IF( 'From SvanPC++'!A1407= "", "", ('From SvanPC++'!A1407))</f>
        <v/>
      </c>
      <c r="C1407" s="47" t="s">
        <v>10</v>
      </c>
      <c r="G1407" s="38" t="str">
        <f t="shared" si="106"/>
        <v/>
      </c>
      <c r="H1407" s="36" t="str">
        <f t="shared" si="110"/>
        <v/>
      </c>
      <c r="J1407" s="141" t="str">
        <f t="shared" si="107"/>
        <v/>
      </c>
      <c r="K1407" s="141" t="str">
        <f t="shared" si="108"/>
        <v/>
      </c>
      <c r="L1407" s="141" t="str">
        <f t="shared" si="109"/>
        <v/>
      </c>
    </row>
    <row r="1408" spans="1:12" x14ac:dyDescent="0.3">
      <c r="A1408" s="36" t="str">
        <f xml:space="preserve"> IF( 'From SvanPC++'!A1408= "", "", ('From SvanPC++'!A1408))</f>
        <v/>
      </c>
      <c r="C1408" s="47" t="s">
        <v>10</v>
      </c>
      <c r="G1408" s="38" t="str">
        <f t="shared" si="106"/>
        <v/>
      </c>
      <c r="H1408" s="36" t="str">
        <f t="shared" si="110"/>
        <v/>
      </c>
      <c r="J1408" s="141" t="str">
        <f t="shared" si="107"/>
        <v/>
      </c>
      <c r="K1408" s="141" t="str">
        <f t="shared" si="108"/>
        <v/>
      </c>
      <c r="L1408" s="141" t="str">
        <f t="shared" si="109"/>
        <v/>
      </c>
    </row>
    <row r="1409" spans="1:12" x14ac:dyDescent="0.3">
      <c r="A1409" s="36" t="str">
        <f xml:space="preserve"> IF( 'From SvanPC++'!A1409= "", "", ('From SvanPC++'!A1409))</f>
        <v/>
      </c>
      <c r="C1409" s="47" t="s">
        <v>10</v>
      </c>
      <c r="G1409" s="38" t="str">
        <f t="shared" si="106"/>
        <v/>
      </c>
      <c r="H1409" s="36" t="str">
        <f t="shared" si="110"/>
        <v/>
      </c>
      <c r="J1409" s="141" t="str">
        <f t="shared" si="107"/>
        <v/>
      </c>
      <c r="K1409" s="141" t="str">
        <f t="shared" si="108"/>
        <v/>
      </c>
      <c r="L1409" s="141" t="str">
        <f t="shared" si="109"/>
        <v/>
      </c>
    </row>
    <row r="1410" spans="1:12" x14ac:dyDescent="0.3">
      <c r="A1410" s="36" t="str">
        <f xml:space="preserve"> IF( 'From SvanPC++'!A1410= "", "", ('From SvanPC++'!A1410))</f>
        <v/>
      </c>
      <c r="C1410" s="47" t="s">
        <v>10</v>
      </c>
      <c r="G1410" s="38" t="str">
        <f t="shared" si="106"/>
        <v/>
      </c>
      <c r="H1410" s="36" t="str">
        <f t="shared" si="110"/>
        <v/>
      </c>
      <c r="J1410" s="141" t="str">
        <f t="shared" si="107"/>
        <v/>
      </c>
      <c r="K1410" s="141" t="str">
        <f t="shared" si="108"/>
        <v/>
      </c>
      <c r="L1410" s="141" t="str">
        <f t="shared" si="109"/>
        <v/>
      </c>
    </row>
    <row r="1411" spans="1:12" x14ac:dyDescent="0.3">
      <c r="A1411" s="36" t="str">
        <f xml:space="preserve"> IF( 'From SvanPC++'!A1411= "", "", ('From SvanPC++'!A1411))</f>
        <v/>
      </c>
      <c r="C1411" s="47" t="s">
        <v>10</v>
      </c>
      <c r="G1411" s="38" t="str">
        <f t="shared" si="106"/>
        <v/>
      </c>
      <c r="H1411" s="36" t="str">
        <f t="shared" si="110"/>
        <v/>
      </c>
      <c r="J1411" s="141" t="str">
        <f t="shared" si="107"/>
        <v/>
      </c>
      <c r="K1411" s="141" t="str">
        <f t="shared" si="108"/>
        <v/>
      </c>
      <c r="L1411" s="141" t="str">
        <f t="shared" si="109"/>
        <v/>
      </c>
    </row>
    <row r="1412" spans="1:12" x14ac:dyDescent="0.3">
      <c r="A1412" s="36" t="str">
        <f xml:space="preserve"> IF( 'From SvanPC++'!A1412= "", "", ('From SvanPC++'!A1412))</f>
        <v/>
      </c>
      <c r="C1412" s="47" t="s">
        <v>10</v>
      </c>
      <c r="G1412" s="38" t="str">
        <f t="shared" si="106"/>
        <v/>
      </c>
      <c r="H1412" s="36" t="str">
        <f t="shared" si="110"/>
        <v/>
      </c>
      <c r="J1412" s="141" t="str">
        <f t="shared" si="107"/>
        <v/>
      </c>
      <c r="K1412" s="141" t="str">
        <f t="shared" si="108"/>
        <v/>
      </c>
      <c r="L1412" s="141" t="str">
        <f t="shared" si="109"/>
        <v/>
      </c>
    </row>
    <row r="1413" spans="1:12" x14ac:dyDescent="0.3">
      <c r="A1413" s="36" t="str">
        <f xml:space="preserve"> IF( 'From SvanPC++'!A1413= "", "", ('From SvanPC++'!A1413))</f>
        <v/>
      </c>
      <c r="C1413" s="47" t="s">
        <v>10</v>
      </c>
      <c r="G1413" s="38" t="str">
        <f t="shared" si="106"/>
        <v/>
      </c>
      <c r="H1413" s="36" t="str">
        <f t="shared" si="110"/>
        <v/>
      </c>
      <c r="J1413" s="141" t="str">
        <f t="shared" si="107"/>
        <v/>
      </c>
      <c r="K1413" s="141" t="str">
        <f t="shared" si="108"/>
        <v/>
      </c>
      <c r="L1413" s="141" t="str">
        <f t="shared" si="109"/>
        <v/>
      </c>
    </row>
    <row r="1414" spans="1:12" x14ac:dyDescent="0.3">
      <c r="A1414" s="36" t="str">
        <f xml:space="preserve"> IF( 'From SvanPC++'!A1414= "", "", ('From SvanPC++'!A1414))</f>
        <v/>
      </c>
      <c r="C1414" s="47" t="s">
        <v>10</v>
      </c>
      <c r="G1414" s="38" t="str">
        <f t="shared" si="106"/>
        <v/>
      </c>
      <c r="H1414" s="36" t="str">
        <f t="shared" si="110"/>
        <v/>
      </c>
      <c r="J1414" s="141" t="str">
        <f t="shared" si="107"/>
        <v/>
      </c>
      <c r="K1414" s="141" t="str">
        <f t="shared" si="108"/>
        <v/>
      </c>
      <c r="L1414" s="141" t="str">
        <f t="shared" si="109"/>
        <v/>
      </c>
    </row>
    <row r="1415" spans="1:12" x14ac:dyDescent="0.3">
      <c r="A1415" s="36" t="str">
        <f xml:space="preserve"> IF( 'From SvanPC++'!A1415= "", "", ('From SvanPC++'!A1415))</f>
        <v/>
      </c>
      <c r="C1415" s="47" t="s">
        <v>10</v>
      </c>
      <c r="G1415" s="38" t="str">
        <f t="shared" ref="G1415:G1478" si="111" xml:space="preserve"> IF( D1415= "", "", ( IF( AND( D1415 &gt;= TIMEVALUE( "07:00:01" ), D1415 &lt; TIMEVALUE( "08:00:01" ) ) = TRUE, (G1414+1), (G1414+0) )))</f>
        <v/>
      </c>
      <c r="H1415" s="36" t="str">
        <f t="shared" si="110"/>
        <v/>
      </c>
      <c r="J1415" s="141" t="str">
        <f t="shared" si="107"/>
        <v/>
      </c>
      <c r="K1415" s="141" t="str">
        <f t="shared" si="108"/>
        <v/>
      </c>
      <c r="L1415" s="141" t="str">
        <f t="shared" si="109"/>
        <v/>
      </c>
    </row>
    <row r="1416" spans="1:12" x14ac:dyDescent="0.3">
      <c r="A1416" s="36" t="str">
        <f xml:space="preserve"> IF( 'From SvanPC++'!A1416= "", "", ('From SvanPC++'!A1416))</f>
        <v/>
      </c>
      <c r="C1416" s="47" t="s">
        <v>10</v>
      </c>
      <c r="G1416" s="38" t="str">
        <f t="shared" si="111"/>
        <v/>
      </c>
      <c r="H1416" s="36" t="str">
        <f t="shared" si="110"/>
        <v/>
      </c>
      <c r="J1416" s="141" t="str">
        <f t="shared" ref="J1416:J1479" si="112" xml:space="preserve"> IF( ISERROR( IF( D1416= "", "", ( IF( G1416= (G1415+1), ( AVERAGEIFS( E1416:E1560, G1416:G1560, G1416, H1416:H1560, "Day" )), "" )))), "",( IF( D1416= "", "", ( IF( G1416= (G1415+1), ( AVERAGEIFS( E1416:E1560, G1416:G1560, G1416, H1416:H1560, "Day" )), "" )))))</f>
        <v/>
      </c>
      <c r="K1416" s="141" t="str">
        <f t="shared" ref="K1416:K1479" si="113" xml:space="preserve"> IF( ISERROR( IF( D1416= "", "", ( IF( G1416= (G1415+1), ( AVERAGEIFS( E1416:E1560, G1416:G1560, G1416, H1416:H1560, "Evening" )), "" )))), "",( IF( D1416= "", "", ( IF( G1416= (G1415+1), ( AVERAGEIFS( E1416:E1560, G1416:G1560, G1416, H1416:H1560, "Evening" )), "" )))))</f>
        <v/>
      </c>
      <c r="L1416" s="141" t="str">
        <f t="shared" ref="L1416:L1479" si="114" xml:space="preserve"> IF( ISERROR( IF( D1416= "", "", ( IF( G1416= (G1415+1), ( AVERAGEIFS( E1416:E1560, G1416:G1560, G1416, H1416:H1560, "Night" )), "" )))), "",( IF( D1416= "", "", ( IF( G1416= (G1415+1), ( AVERAGEIFS( E1416:E1560, G1416:G1560, G1416, H1416:H1560, "Night" )), "" )))))</f>
        <v/>
      </c>
    </row>
    <row r="1417" spans="1:12" x14ac:dyDescent="0.3">
      <c r="A1417" s="36" t="str">
        <f xml:space="preserve"> IF( 'From SvanPC++'!A1417= "", "", ('From SvanPC++'!A1417))</f>
        <v/>
      </c>
      <c r="C1417" s="47" t="s">
        <v>10</v>
      </c>
      <c r="G1417" s="38" t="str">
        <f t="shared" si="111"/>
        <v/>
      </c>
      <c r="H1417" s="36" t="str">
        <f t="shared" si="110"/>
        <v/>
      </c>
      <c r="J1417" s="141" t="str">
        <f t="shared" si="112"/>
        <v/>
      </c>
      <c r="K1417" s="141" t="str">
        <f t="shared" si="113"/>
        <v/>
      </c>
      <c r="L1417" s="141" t="str">
        <f t="shared" si="114"/>
        <v/>
      </c>
    </row>
    <row r="1418" spans="1:12" x14ac:dyDescent="0.3">
      <c r="A1418" s="36" t="str">
        <f xml:space="preserve"> IF( 'From SvanPC++'!A1418= "", "", ('From SvanPC++'!A1418))</f>
        <v/>
      </c>
      <c r="C1418" s="47" t="s">
        <v>10</v>
      </c>
      <c r="G1418" s="38" t="str">
        <f t="shared" si="111"/>
        <v/>
      </c>
      <c r="H1418" s="36" t="str">
        <f t="shared" si="110"/>
        <v/>
      </c>
      <c r="J1418" s="141" t="str">
        <f t="shared" si="112"/>
        <v/>
      </c>
      <c r="K1418" s="141" t="str">
        <f t="shared" si="113"/>
        <v/>
      </c>
      <c r="L1418" s="141" t="str">
        <f t="shared" si="114"/>
        <v/>
      </c>
    </row>
    <row r="1419" spans="1:12" x14ac:dyDescent="0.3">
      <c r="A1419" s="36" t="str">
        <f xml:space="preserve"> IF( 'From SvanPC++'!A1419= "", "", ('From SvanPC++'!A1419))</f>
        <v/>
      </c>
      <c r="C1419" s="47" t="s">
        <v>10</v>
      </c>
      <c r="G1419" s="38" t="str">
        <f t="shared" si="111"/>
        <v/>
      </c>
      <c r="H1419" s="36" t="str">
        <f t="shared" si="110"/>
        <v/>
      </c>
      <c r="J1419" s="141" t="str">
        <f t="shared" si="112"/>
        <v/>
      </c>
      <c r="K1419" s="141" t="str">
        <f t="shared" si="113"/>
        <v/>
      </c>
      <c r="L1419" s="141" t="str">
        <f t="shared" si="114"/>
        <v/>
      </c>
    </row>
    <row r="1420" spans="1:12" x14ac:dyDescent="0.3">
      <c r="A1420" s="36" t="str">
        <f xml:space="preserve"> IF( 'From SvanPC++'!A1420= "", "", ('From SvanPC++'!A1420))</f>
        <v/>
      </c>
      <c r="C1420" s="47" t="s">
        <v>10</v>
      </c>
      <c r="G1420" s="38" t="str">
        <f t="shared" si="111"/>
        <v/>
      </c>
      <c r="H1420" s="36" t="str">
        <f t="shared" si="110"/>
        <v/>
      </c>
      <c r="J1420" s="141" t="str">
        <f t="shared" si="112"/>
        <v/>
      </c>
      <c r="K1420" s="141" t="str">
        <f t="shared" si="113"/>
        <v/>
      </c>
      <c r="L1420" s="141" t="str">
        <f t="shared" si="114"/>
        <v/>
      </c>
    </row>
    <row r="1421" spans="1:12" x14ac:dyDescent="0.3">
      <c r="A1421" s="36" t="str">
        <f xml:space="preserve"> IF( 'From SvanPC++'!A1421= "", "", ('From SvanPC++'!A1421))</f>
        <v/>
      </c>
      <c r="C1421" s="47" t="s">
        <v>10</v>
      </c>
      <c r="G1421" s="38" t="str">
        <f t="shared" si="111"/>
        <v/>
      </c>
      <c r="H1421" s="36" t="str">
        <f t="shared" si="110"/>
        <v/>
      </c>
      <c r="J1421" s="141" t="str">
        <f t="shared" si="112"/>
        <v/>
      </c>
      <c r="K1421" s="141" t="str">
        <f t="shared" si="113"/>
        <v/>
      </c>
      <c r="L1421" s="141" t="str">
        <f t="shared" si="114"/>
        <v/>
      </c>
    </row>
    <row r="1422" spans="1:12" x14ac:dyDescent="0.3">
      <c r="A1422" s="36" t="str">
        <f xml:space="preserve"> IF( 'From SvanPC++'!A1422= "", "", ('From SvanPC++'!A1422))</f>
        <v/>
      </c>
      <c r="C1422" s="47" t="s">
        <v>10</v>
      </c>
      <c r="G1422" s="38" t="str">
        <f t="shared" si="111"/>
        <v/>
      </c>
      <c r="H1422" s="36" t="str">
        <f t="shared" si="110"/>
        <v/>
      </c>
      <c r="J1422" s="141" t="str">
        <f t="shared" si="112"/>
        <v/>
      </c>
      <c r="K1422" s="141" t="str">
        <f t="shared" si="113"/>
        <v/>
      </c>
      <c r="L1422" s="141" t="str">
        <f t="shared" si="114"/>
        <v/>
      </c>
    </row>
    <row r="1423" spans="1:12" x14ac:dyDescent="0.3">
      <c r="A1423" s="36" t="str">
        <f xml:space="preserve"> IF( 'From SvanPC++'!A1423= "", "", ('From SvanPC++'!A1423))</f>
        <v/>
      </c>
      <c r="C1423" s="47" t="s">
        <v>10</v>
      </c>
      <c r="G1423" s="38" t="str">
        <f t="shared" si="111"/>
        <v/>
      </c>
      <c r="H1423" s="36" t="str">
        <f t="shared" si="110"/>
        <v/>
      </c>
      <c r="J1423" s="141" t="str">
        <f t="shared" si="112"/>
        <v/>
      </c>
      <c r="K1423" s="141" t="str">
        <f t="shared" si="113"/>
        <v/>
      </c>
      <c r="L1423" s="141" t="str">
        <f t="shared" si="114"/>
        <v/>
      </c>
    </row>
    <row r="1424" spans="1:12" x14ac:dyDescent="0.3">
      <c r="A1424" s="36" t="str">
        <f xml:space="preserve"> IF( 'From SvanPC++'!A1424= "", "", ('From SvanPC++'!A1424))</f>
        <v/>
      </c>
      <c r="C1424" s="47" t="s">
        <v>10</v>
      </c>
      <c r="G1424" s="38" t="str">
        <f t="shared" si="111"/>
        <v/>
      </c>
      <c r="H1424" s="36" t="str">
        <f t="shared" si="110"/>
        <v/>
      </c>
      <c r="J1424" s="141" t="str">
        <f t="shared" si="112"/>
        <v/>
      </c>
      <c r="K1424" s="141" t="str">
        <f t="shared" si="113"/>
        <v/>
      </c>
      <c r="L1424" s="141" t="str">
        <f t="shared" si="114"/>
        <v/>
      </c>
    </row>
    <row r="1425" spans="1:12" x14ac:dyDescent="0.3">
      <c r="A1425" s="36" t="str">
        <f xml:space="preserve"> IF( 'From SvanPC++'!A1425= "", "", ('From SvanPC++'!A1425))</f>
        <v/>
      </c>
      <c r="C1425" s="47" t="s">
        <v>10</v>
      </c>
      <c r="G1425" s="38" t="str">
        <f t="shared" si="111"/>
        <v/>
      </c>
      <c r="H1425" s="36" t="str">
        <f t="shared" si="110"/>
        <v/>
      </c>
      <c r="J1425" s="141" t="str">
        <f t="shared" si="112"/>
        <v/>
      </c>
      <c r="K1425" s="141" t="str">
        <f t="shared" si="113"/>
        <v/>
      </c>
      <c r="L1425" s="141" t="str">
        <f t="shared" si="114"/>
        <v/>
      </c>
    </row>
    <row r="1426" spans="1:12" x14ac:dyDescent="0.3">
      <c r="A1426" s="36" t="str">
        <f xml:space="preserve"> IF( 'From SvanPC++'!A1426= "", "", ('From SvanPC++'!A1426))</f>
        <v/>
      </c>
      <c r="C1426" s="47" t="s">
        <v>10</v>
      </c>
      <c r="G1426" s="38" t="str">
        <f t="shared" si="111"/>
        <v/>
      </c>
      <c r="H1426" s="36" t="str">
        <f t="shared" si="110"/>
        <v/>
      </c>
      <c r="J1426" s="141" t="str">
        <f t="shared" si="112"/>
        <v/>
      </c>
      <c r="K1426" s="141" t="str">
        <f t="shared" si="113"/>
        <v/>
      </c>
      <c r="L1426" s="141" t="str">
        <f t="shared" si="114"/>
        <v/>
      </c>
    </row>
    <row r="1427" spans="1:12" x14ac:dyDescent="0.3">
      <c r="A1427" s="36" t="str">
        <f xml:space="preserve"> IF( 'From SvanPC++'!A1427= "", "", ('From SvanPC++'!A1427))</f>
        <v/>
      </c>
      <c r="C1427" s="47" t="s">
        <v>10</v>
      </c>
      <c r="G1427" s="38" t="str">
        <f t="shared" si="111"/>
        <v/>
      </c>
      <c r="H1427" s="36" t="str">
        <f t="shared" si="110"/>
        <v/>
      </c>
      <c r="J1427" s="141" t="str">
        <f t="shared" si="112"/>
        <v/>
      </c>
      <c r="K1427" s="141" t="str">
        <f t="shared" si="113"/>
        <v/>
      </c>
      <c r="L1427" s="141" t="str">
        <f t="shared" si="114"/>
        <v/>
      </c>
    </row>
    <row r="1428" spans="1:12" x14ac:dyDescent="0.3">
      <c r="A1428" s="36" t="str">
        <f xml:space="preserve"> IF( 'From SvanPC++'!A1428= "", "", ('From SvanPC++'!A1428))</f>
        <v/>
      </c>
      <c r="C1428" s="47" t="s">
        <v>10</v>
      </c>
      <c r="G1428" s="38" t="str">
        <f t="shared" si="111"/>
        <v/>
      </c>
      <c r="H1428" s="36" t="str">
        <f t="shared" si="110"/>
        <v/>
      </c>
      <c r="J1428" s="141" t="str">
        <f t="shared" si="112"/>
        <v/>
      </c>
      <c r="K1428" s="141" t="str">
        <f t="shared" si="113"/>
        <v/>
      </c>
      <c r="L1428" s="141" t="str">
        <f t="shared" si="114"/>
        <v/>
      </c>
    </row>
    <row r="1429" spans="1:12" x14ac:dyDescent="0.3">
      <c r="A1429" s="36" t="str">
        <f xml:space="preserve"> IF( 'From SvanPC++'!A1429= "", "", ('From SvanPC++'!A1429))</f>
        <v/>
      </c>
      <c r="C1429" s="47" t="s">
        <v>10</v>
      </c>
      <c r="G1429" s="38" t="str">
        <f t="shared" si="111"/>
        <v/>
      </c>
      <c r="H1429" s="36" t="str">
        <f t="shared" si="110"/>
        <v/>
      </c>
      <c r="J1429" s="141" t="str">
        <f t="shared" si="112"/>
        <v/>
      </c>
      <c r="K1429" s="141" t="str">
        <f t="shared" si="113"/>
        <v/>
      </c>
      <c r="L1429" s="141" t="str">
        <f t="shared" si="114"/>
        <v/>
      </c>
    </row>
    <row r="1430" spans="1:12" x14ac:dyDescent="0.3">
      <c r="A1430" s="36" t="str">
        <f xml:space="preserve"> IF( 'From SvanPC++'!A1430= "", "", ('From SvanPC++'!A1430))</f>
        <v/>
      </c>
      <c r="C1430" s="47" t="s">
        <v>10</v>
      </c>
      <c r="G1430" s="38" t="str">
        <f t="shared" si="111"/>
        <v/>
      </c>
      <c r="H1430" s="36" t="str">
        <f t="shared" si="110"/>
        <v/>
      </c>
      <c r="J1430" s="141" t="str">
        <f t="shared" si="112"/>
        <v/>
      </c>
      <c r="K1430" s="141" t="str">
        <f t="shared" si="113"/>
        <v/>
      </c>
      <c r="L1430" s="141" t="str">
        <f t="shared" si="114"/>
        <v/>
      </c>
    </row>
    <row r="1431" spans="1:12" x14ac:dyDescent="0.3">
      <c r="A1431" s="36" t="str">
        <f xml:space="preserve"> IF( 'From SvanPC++'!A1431= "", "", ('From SvanPC++'!A1431))</f>
        <v/>
      </c>
      <c r="C1431" s="47" t="s">
        <v>10</v>
      </c>
      <c r="G1431" s="38" t="str">
        <f t="shared" si="111"/>
        <v/>
      </c>
      <c r="H1431" s="36" t="str">
        <f t="shared" ref="H1431:H1494" si="115" xml:space="preserve"> IF( D1431= "", "", ( IF( AND( D1431 &gt;= TIMEVALUE( "07:00:01" ), D1431 &lt;= TIMEVALUE( "13:00:00" ), WEEKDAY( C1431) =(7+N("Lines 2-17 = saturday day period")) ) = TRUE, "Day",
IF( AND( D1431 &gt;= TIMEVALUE( "07:00:01" ), D1431 &lt;= TIMEVALUE( "18:00:00" ), WEEKDAY( C1431,1+N("Lines 19-38 = weekday day period")) &gt;=2, ( WEEKDAY( C1431,1) &lt;=6) ) = TRUE, "Day",
IF( AND( D1431 &gt;= TIMEVALUE( "13:00:01" ), D1431 &lt;= TIMEVALUE( "22:00:00" ), WEEKDAY( C1431) =(7+N("Lines 40-56 = saturday evening period")) ) = TRUE, "Evening",
IF( AND( D1431 &gt;= TIMEVALUE( "18:00:01" ), D1431 &lt;= TIMEVALUE( "22:00:00" ), WEEKDAY( C1431,1+N("Lines 57-77 = weekday evening period")) &gt;=2, ( WEEKDAY( C1431,1) &lt;=6) ) = TRUE, "Evening",
IF( AND( D1431 &gt;= TIMEVALUE( "07:00:01" ), D1431 &lt;= TIMEVALUE( "22:00:00" ), WEEKDAY( C1431) =(1+N("Lines 78-94 = sunday evening period")) ) = TRUE, "Evening",
IF( AND( D1431 &gt;= TIMEVALUE( "22:00:01" ), D1431 &lt;= TIMEVALUE( "23:59:59" ), WEEKDAY( C1431) =(7+N("Lines 95-111 = saturday night1 period")) ) = TRUE, "Night",
IF( AND( D1431 &gt;= TIMEVALUE( "00:00:00" ), D1431 &lt;= TIMEVALUE( "07:00:00" ), WEEKDAY( C1431) =(7+N("Lines 112-128 = saturday night2 period")) ) = TRUE, "Night",
IF( AND( D1431 &gt;= TIMEVALUE( "22:00:01" ), D1431 &lt;= TIMEVALUE( "23:59:59" ), WEEKDAY( C1431,1+N("Lines 129-149 = weekday night1 period")) &gt;=2, ( WEEKDAY( C1431,1) &lt;=6) ) = TRUE, "Night",
IF( AND( D1431 &gt;= TIMEVALUE( "00:00:00" ), D1431 &lt;= TIMEVALUE( "07:00:00" ), WEEKDAY( C1431,1+N("Lines 150-170 = weekday night2 period")) &gt;=2, ( WEEKDAY( C1431,1) &lt;=6) ) = TRUE, "Night",
IF( AND( D1431 &gt;= TIMEVALUE( "20:00:01" ), D1431 &lt;= TIMEVALUE( "23:59:59" ), WEEKDAY( C1431) =(1+N("Lines 171-187 = sunday night1 period")) ) = TRUE, "Night",
IF( AND( D1431 &gt;= TIMEVALUE( "00:00:00" ), D1431 &lt;= TIMEVALUE( "07:00:00" ), WEEKDAY( C1431) =(1+N("Lines 188-204 = sunday night2 period")) ) = TRUE, "Night", )))))))))))))</f>
        <v/>
      </c>
      <c r="J1431" s="141" t="str">
        <f t="shared" si="112"/>
        <v/>
      </c>
      <c r="K1431" s="141" t="str">
        <f t="shared" si="113"/>
        <v/>
      </c>
      <c r="L1431" s="141" t="str">
        <f t="shared" si="114"/>
        <v/>
      </c>
    </row>
    <row r="1432" spans="1:12" x14ac:dyDescent="0.3">
      <c r="A1432" s="36" t="str">
        <f xml:space="preserve"> IF( 'From SvanPC++'!A1432= "", "", ('From SvanPC++'!A1432))</f>
        <v/>
      </c>
      <c r="C1432" s="47" t="s">
        <v>10</v>
      </c>
      <c r="G1432" s="38" t="str">
        <f t="shared" si="111"/>
        <v/>
      </c>
      <c r="H1432" s="36" t="str">
        <f t="shared" si="115"/>
        <v/>
      </c>
      <c r="J1432" s="141" t="str">
        <f t="shared" si="112"/>
        <v/>
      </c>
      <c r="K1432" s="141" t="str">
        <f t="shared" si="113"/>
        <v/>
      </c>
      <c r="L1432" s="141" t="str">
        <f t="shared" si="114"/>
        <v/>
      </c>
    </row>
    <row r="1433" spans="1:12" x14ac:dyDescent="0.3">
      <c r="A1433" s="36" t="str">
        <f xml:space="preserve"> IF( 'From SvanPC++'!A1433= "", "", ('From SvanPC++'!A1433))</f>
        <v/>
      </c>
      <c r="C1433" s="47" t="s">
        <v>10</v>
      </c>
      <c r="G1433" s="38" t="str">
        <f t="shared" si="111"/>
        <v/>
      </c>
      <c r="H1433" s="36" t="str">
        <f t="shared" si="115"/>
        <v/>
      </c>
      <c r="J1433" s="141" t="str">
        <f t="shared" si="112"/>
        <v/>
      </c>
      <c r="K1433" s="141" t="str">
        <f t="shared" si="113"/>
        <v/>
      </c>
      <c r="L1433" s="141" t="str">
        <f t="shared" si="114"/>
        <v/>
      </c>
    </row>
    <row r="1434" spans="1:12" x14ac:dyDescent="0.3">
      <c r="A1434" s="36" t="str">
        <f xml:space="preserve"> IF( 'From SvanPC++'!A1434= "", "", ('From SvanPC++'!A1434))</f>
        <v/>
      </c>
      <c r="C1434" s="47" t="s">
        <v>10</v>
      </c>
      <c r="G1434" s="38" t="str">
        <f t="shared" si="111"/>
        <v/>
      </c>
      <c r="H1434" s="36" t="str">
        <f t="shared" si="115"/>
        <v/>
      </c>
      <c r="J1434" s="141" t="str">
        <f t="shared" si="112"/>
        <v/>
      </c>
      <c r="K1434" s="141" t="str">
        <f t="shared" si="113"/>
        <v/>
      </c>
      <c r="L1434" s="141" t="str">
        <f t="shared" si="114"/>
        <v/>
      </c>
    </row>
    <row r="1435" spans="1:12" x14ac:dyDescent="0.3">
      <c r="A1435" s="36" t="str">
        <f xml:space="preserve"> IF( 'From SvanPC++'!A1435= "", "", ('From SvanPC++'!A1435))</f>
        <v/>
      </c>
      <c r="C1435" s="47" t="s">
        <v>10</v>
      </c>
      <c r="G1435" s="38" t="str">
        <f t="shared" si="111"/>
        <v/>
      </c>
      <c r="H1435" s="36" t="str">
        <f t="shared" si="115"/>
        <v/>
      </c>
      <c r="J1435" s="141" t="str">
        <f t="shared" si="112"/>
        <v/>
      </c>
      <c r="K1435" s="141" t="str">
        <f t="shared" si="113"/>
        <v/>
      </c>
      <c r="L1435" s="141" t="str">
        <f t="shared" si="114"/>
        <v/>
      </c>
    </row>
    <row r="1436" spans="1:12" x14ac:dyDescent="0.3">
      <c r="A1436" s="36" t="str">
        <f xml:space="preserve"> IF( 'From SvanPC++'!A1436= "", "", ('From SvanPC++'!A1436))</f>
        <v/>
      </c>
      <c r="C1436" s="47" t="s">
        <v>10</v>
      </c>
      <c r="G1436" s="38" t="str">
        <f t="shared" si="111"/>
        <v/>
      </c>
      <c r="H1436" s="36" t="str">
        <f t="shared" si="115"/>
        <v/>
      </c>
      <c r="J1436" s="141" t="str">
        <f t="shared" si="112"/>
        <v/>
      </c>
      <c r="K1436" s="141" t="str">
        <f t="shared" si="113"/>
        <v/>
      </c>
      <c r="L1436" s="141" t="str">
        <f t="shared" si="114"/>
        <v/>
      </c>
    </row>
    <row r="1437" spans="1:12" x14ac:dyDescent="0.3">
      <c r="A1437" s="36" t="str">
        <f xml:space="preserve"> IF( 'From SvanPC++'!A1437= "", "", ('From SvanPC++'!A1437))</f>
        <v/>
      </c>
      <c r="C1437" s="47" t="s">
        <v>10</v>
      </c>
      <c r="G1437" s="38" t="str">
        <f t="shared" si="111"/>
        <v/>
      </c>
      <c r="H1437" s="36" t="str">
        <f t="shared" si="115"/>
        <v/>
      </c>
      <c r="J1437" s="141" t="str">
        <f t="shared" si="112"/>
        <v/>
      </c>
      <c r="K1437" s="141" t="str">
        <f t="shared" si="113"/>
        <v/>
      </c>
      <c r="L1437" s="141" t="str">
        <f t="shared" si="114"/>
        <v/>
      </c>
    </row>
    <row r="1438" spans="1:12" x14ac:dyDescent="0.3">
      <c r="A1438" s="36" t="str">
        <f xml:space="preserve"> IF( 'From SvanPC++'!A1438= "", "", ('From SvanPC++'!A1438))</f>
        <v/>
      </c>
      <c r="C1438" s="47" t="s">
        <v>10</v>
      </c>
      <c r="G1438" s="38" t="str">
        <f t="shared" si="111"/>
        <v/>
      </c>
      <c r="H1438" s="36" t="str">
        <f t="shared" si="115"/>
        <v/>
      </c>
      <c r="J1438" s="141" t="str">
        <f t="shared" si="112"/>
        <v/>
      </c>
      <c r="K1438" s="141" t="str">
        <f t="shared" si="113"/>
        <v/>
      </c>
      <c r="L1438" s="141" t="str">
        <f t="shared" si="114"/>
        <v/>
      </c>
    </row>
    <row r="1439" spans="1:12" x14ac:dyDescent="0.3">
      <c r="A1439" s="36" t="str">
        <f xml:space="preserve"> IF( 'From SvanPC++'!A1439= "", "", ('From SvanPC++'!A1439))</f>
        <v/>
      </c>
      <c r="C1439" s="47" t="s">
        <v>10</v>
      </c>
      <c r="G1439" s="38" t="str">
        <f t="shared" si="111"/>
        <v/>
      </c>
      <c r="H1439" s="36" t="str">
        <f t="shared" si="115"/>
        <v/>
      </c>
      <c r="J1439" s="141" t="str">
        <f t="shared" si="112"/>
        <v/>
      </c>
      <c r="K1439" s="141" t="str">
        <f t="shared" si="113"/>
        <v/>
      </c>
      <c r="L1439" s="141" t="str">
        <f t="shared" si="114"/>
        <v/>
      </c>
    </row>
    <row r="1440" spans="1:12" x14ac:dyDescent="0.3">
      <c r="A1440" s="36" t="str">
        <f xml:space="preserve"> IF( 'From SvanPC++'!A1440= "", "", ('From SvanPC++'!A1440))</f>
        <v/>
      </c>
      <c r="C1440" s="47" t="s">
        <v>10</v>
      </c>
      <c r="G1440" s="38" t="str">
        <f t="shared" si="111"/>
        <v/>
      </c>
      <c r="H1440" s="36" t="str">
        <f t="shared" si="115"/>
        <v/>
      </c>
      <c r="J1440" s="141" t="str">
        <f t="shared" si="112"/>
        <v/>
      </c>
      <c r="K1440" s="141" t="str">
        <f t="shared" si="113"/>
        <v/>
      </c>
      <c r="L1440" s="141" t="str">
        <f t="shared" si="114"/>
        <v/>
      </c>
    </row>
    <row r="1441" spans="1:12" x14ac:dyDescent="0.3">
      <c r="A1441" s="36" t="str">
        <f xml:space="preserve"> IF( 'From SvanPC++'!A1441= "", "", ('From SvanPC++'!A1441))</f>
        <v/>
      </c>
      <c r="C1441" s="47" t="s">
        <v>10</v>
      </c>
      <c r="G1441" s="38" t="str">
        <f t="shared" si="111"/>
        <v/>
      </c>
      <c r="H1441" s="36" t="str">
        <f t="shared" si="115"/>
        <v/>
      </c>
      <c r="J1441" s="141" t="str">
        <f t="shared" si="112"/>
        <v/>
      </c>
      <c r="K1441" s="141" t="str">
        <f t="shared" si="113"/>
        <v/>
      </c>
      <c r="L1441" s="141" t="str">
        <f t="shared" si="114"/>
        <v/>
      </c>
    </row>
    <row r="1442" spans="1:12" x14ac:dyDescent="0.3">
      <c r="A1442" s="36" t="str">
        <f xml:space="preserve"> IF( 'From SvanPC++'!A1442= "", "", ('From SvanPC++'!A1442))</f>
        <v/>
      </c>
      <c r="C1442" s="47" t="s">
        <v>10</v>
      </c>
      <c r="G1442" s="38" t="str">
        <f t="shared" si="111"/>
        <v/>
      </c>
      <c r="H1442" s="36" t="str">
        <f t="shared" si="115"/>
        <v/>
      </c>
      <c r="J1442" s="141" t="str">
        <f t="shared" si="112"/>
        <v/>
      </c>
      <c r="K1442" s="141" t="str">
        <f t="shared" si="113"/>
        <v/>
      </c>
      <c r="L1442" s="141" t="str">
        <f t="shared" si="114"/>
        <v/>
      </c>
    </row>
    <row r="1443" spans="1:12" x14ac:dyDescent="0.3">
      <c r="A1443" s="36" t="str">
        <f xml:space="preserve"> IF( 'From SvanPC++'!A1443= "", "", ('From SvanPC++'!A1443))</f>
        <v/>
      </c>
      <c r="C1443" s="47" t="s">
        <v>10</v>
      </c>
      <c r="G1443" s="38" t="str">
        <f t="shared" si="111"/>
        <v/>
      </c>
      <c r="H1443" s="36" t="str">
        <f t="shared" si="115"/>
        <v/>
      </c>
      <c r="J1443" s="141" t="str">
        <f t="shared" si="112"/>
        <v/>
      </c>
      <c r="K1443" s="141" t="str">
        <f t="shared" si="113"/>
        <v/>
      </c>
      <c r="L1443" s="141" t="str">
        <f t="shared" si="114"/>
        <v/>
      </c>
    </row>
    <row r="1444" spans="1:12" x14ac:dyDescent="0.3">
      <c r="A1444" s="36" t="str">
        <f xml:space="preserve"> IF( 'From SvanPC++'!A1444= "", "", ('From SvanPC++'!A1444))</f>
        <v/>
      </c>
      <c r="C1444" s="47" t="s">
        <v>10</v>
      </c>
      <c r="G1444" s="38" t="str">
        <f t="shared" si="111"/>
        <v/>
      </c>
      <c r="H1444" s="36" t="str">
        <f t="shared" si="115"/>
        <v/>
      </c>
      <c r="J1444" s="141" t="str">
        <f t="shared" si="112"/>
        <v/>
      </c>
      <c r="K1444" s="141" t="str">
        <f t="shared" si="113"/>
        <v/>
      </c>
      <c r="L1444" s="141" t="str">
        <f t="shared" si="114"/>
        <v/>
      </c>
    </row>
    <row r="1445" spans="1:12" x14ac:dyDescent="0.3">
      <c r="A1445" s="36" t="str">
        <f xml:space="preserve"> IF( 'From SvanPC++'!A1445= "", "", ('From SvanPC++'!A1445))</f>
        <v/>
      </c>
      <c r="C1445" s="47" t="s">
        <v>10</v>
      </c>
      <c r="G1445" s="38" t="str">
        <f t="shared" si="111"/>
        <v/>
      </c>
      <c r="H1445" s="36" t="str">
        <f t="shared" si="115"/>
        <v/>
      </c>
      <c r="J1445" s="141" t="str">
        <f t="shared" si="112"/>
        <v/>
      </c>
      <c r="K1445" s="141" t="str">
        <f t="shared" si="113"/>
        <v/>
      </c>
      <c r="L1445" s="141" t="str">
        <f t="shared" si="114"/>
        <v/>
      </c>
    </row>
    <row r="1446" spans="1:12" x14ac:dyDescent="0.3">
      <c r="A1446" s="36" t="str">
        <f xml:space="preserve"> IF( 'From SvanPC++'!A1446= "", "", ('From SvanPC++'!A1446))</f>
        <v/>
      </c>
      <c r="C1446" s="47" t="s">
        <v>10</v>
      </c>
      <c r="G1446" s="38" t="str">
        <f t="shared" si="111"/>
        <v/>
      </c>
      <c r="H1446" s="36" t="str">
        <f t="shared" si="115"/>
        <v/>
      </c>
      <c r="J1446" s="141" t="str">
        <f t="shared" si="112"/>
        <v/>
      </c>
      <c r="K1446" s="141" t="str">
        <f t="shared" si="113"/>
        <v/>
      </c>
      <c r="L1446" s="141" t="str">
        <f t="shared" si="114"/>
        <v/>
      </c>
    </row>
    <row r="1447" spans="1:12" x14ac:dyDescent="0.3">
      <c r="A1447" s="36" t="str">
        <f xml:space="preserve"> IF( 'From SvanPC++'!A1447= "", "", ('From SvanPC++'!A1447))</f>
        <v/>
      </c>
      <c r="C1447" s="47" t="s">
        <v>10</v>
      </c>
      <c r="G1447" s="38" t="str">
        <f t="shared" si="111"/>
        <v/>
      </c>
      <c r="H1447" s="36" t="str">
        <f t="shared" si="115"/>
        <v/>
      </c>
      <c r="J1447" s="141" t="str">
        <f t="shared" si="112"/>
        <v/>
      </c>
      <c r="K1447" s="141" t="str">
        <f t="shared" si="113"/>
        <v/>
      </c>
      <c r="L1447" s="141" t="str">
        <f t="shared" si="114"/>
        <v/>
      </c>
    </row>
    <row r="1448" spans="1:12" x14ac:dyDescent="0.3">
      <c r="A1448" s="36" t="str">
        <f xml:space="preserve"> IF( 'From SvanPC++'!A1448= "", "", ('From SvanPC++'!A1448))</f>
        <v/>
      </c>
      <c r="C1448" s="47" t="s">
        <v>10</v>
      </c>
      <c r="G1448" s="38" t="str">
        <f t="shared" si="111"/>
        <v/>
      </c>
      <c r="H1448" s="36" t="str">
        <f t="shared" si="115"/>
        <v/>
      </c>
      <c r="J1448" s="141" t="str">
        <f t="shared" si="112"/>
        <v/>
      </c>
      <c r="K1448" s="141" t="str">
        <f t="shared" si="113"/>
        <v/>
      </c>
      <c r="L1448" s="141" t="str">
        <f t="shared" si="114"/>
        <v/>
      </c>
    </row>
    <row r="1449" spans="1:12" x14ac:dyDescent="0.3">
      <c r="A1449" s="36" t="str">
        <f xml:space="preserve"> IF( 'From SvanPC++'!A1449= "", "", ('From SvanPC++'!A1449))</f>
        <v/>
      </c>
      <c r="C1449" s="47" t="s">
        <v>10</v>
      </c>
      <c r="G1449" s="38" t="str">
        <f t="shared" si="111"/>
        <v/>
      </c>
      <c r="H1449" s="36" t="str">
        <f t="shared" si="115"/>
        <v/>
      </c>
      <c r="J1449" s="141" t="str">
        <f t="shared" si="112"/>
        <v/>
      </c>
      <c r="K1449" s="141" t="str">
        <f t="shared" si="113"/>
        <v/>
      </c>
      <c r="L1449" s="141" t="str">
        <f t="shared" si="114"/>
        <v/>
      </c>
    </row>
    <row r="1450" spans="1:12" x14ac:dyDescent="0.3">
      <c r="A1450" s="36" t="str">
        <f xml:space="preserve"> IF( 'From SvanPC++'!A1450= "", "", ('From SvanPC++'!A1450))</f>
        <v/>
      </c>
      <c r="C1450" s="47" t="s">
        <v>10</v>
      </c>
      <c r="G1450" s="38" t="str">
        <f t="shared" si="111"/>
        <v/>
      </c>
      <c r="H1450" s="36" t="str">
        <f t="shared" si="115"/>
        <v/>
      </c>
      <c r="J1450" s="141" t="str">
        <f t="shared" si="112"/>
        <v/>
      </c>
      <c r="K1450" s="141" t="str">
        <f t="shared" si="113"/>
        <v/>
      </c>
      <c r="L1450" s="141" t="str">
        <f t="shared" si="114"/>
        <v/>
      </c>
    </row>
    <row r="1451" spans="1:12" x14ac:dyDescent="0.3">
      <c r="A1451" s="36" t="str">
        <f xml:space="preserve"> IF( 'From SvanPC++'!A1451= "", "", ('From SvanPC++'!A1451))</f>
        <v/>
      </c>
      <c r="C1451" s="47" t="s">
        <v>10</v>
      </c>
      <c r="G1451" s="38" t="str">
        <f t="shared" si="111"/>
        <v/>
      </c>
      <c r="H1451" s="36" t="str">
        <f t="shared" si="115"/>
        <v/>
      </c>
      <c r="J1451" s="141" t="str">
        <f t="shared" si="112"/>
        <v/>
      </c>
      <c r="K1451" s="141" t="str">
        <f t="shared" si="113"/>
        <v/>
      </c>
      <c r="L1451" s="141" t="str">
        <f t="shared" si="114"/>
        <v/>
      </c>
    </row>
    <row r="1452" spans="1:12" x14ac:dyDescent="0.3">
      <c r="A1452" s="36" t="str">
        <f xml:space="preserve"> IF( 'From SvanPC++'!A1452= "", "", ('From SvanPC++'!A1452))</f>
        <v/>
      </c>
      <c r="C1452" s="47" t="s">
        <v>10</v>
      </c>
      <c r="G1452" s="38" t="str">
        <f t="shared" si="111"/>
        <v/>
      </c>
      <c r="H1452" s="36" t="str">
        <f t="shared" si="115"/>
        <v/>
      </c>
      <c r="J1452" s="141" t="str">
        <f t="shared" si="112"/>
        <v/>
      </c>
      <c r="K1452" s="141" t="str">
        <f t="shared" si="113"/>
        <v/>
      </c>
      <c r="L1452" s="141" t="str">
        <f t="shared" si="114"/>
        <v/>
      </c>
    </row>
    <row r="1453" spans="1:12" x14ac:dyDescent="0.3">
      <c r="A1453" s="36" t="str">
        <f xml:space="preserve"> IF( 'From SvanPC++'!A1453= "", "", ('From SvanPC++'!A1453))</f>
        <v/>
      </c>
      <c r="C1453" s="47" t="s">
        <v>10</v>
      </c>
      <c r="G1453" s="38" t="str">
        <f t="shared" si="111"/>
        <v/>
      </c>
      <c r="H1453" s="36" t="str">
        <f t="shared" si="115"/>
        <v/>
      </c>
      <c r="J1453" s="141" t="str">
        <f t="shared" si="112"/>
        <v/>
      </c>
      <c r="K1453" s="141" t="str">
        <f t="shared" si="113"/>
        <v/>
      </c>
      <c r="L1453" s="141" t="str">
        <f t="shared" si="114"/>
        <v/>
      </c>
    </row>
    <row r="1454" spans="1:12" x14ac:dyDescent="0.3">
      <c r="A1454" s="36" t="str">
        <f xml:space="preserve"> IF( 'From SvanPC++'!A1454= "", "", ('From SvanPC++'!A1454))</f>
        <v/>
      </c>
      <c r="C1454" s="47" t="s">
        <v>10</v>
      </c>
      <c r="G1454" s="38" t="str">
        <f t="shared" si="111"/>
        <v/>
      </c>
      <c r="H1454" s="36" t="str">
        <f t="shared" si="115"/>
        <v/>
      </c>
      <c r="J1454" s="141" t="str">
        <f t="shared" si="112"/>
        <v/>
      </c>
      <c r="K1454" s="141" t="str">
        <f t="shared" si="113"/>
        <v/>
      </c>
      <c r="L1454" s="141" t="str">
        <f t="shared" si="114"/>
        <v/>
      </c>
    </row>
    <row r="1455" spans="1:12" x14ac:dyDescent="0.3">
      <c r="A1455" s="36" t="str">
        <f xml:space="preserve"> IF( 'From SvanPC++'!A1455= "", "", ('From SvanPC++'!A1455))</f>
        <v/>
      </c>
      <c r="C1455" s="47" t="s">
        <v>10</v>
      </c>
      <c r="G1455" s="38" t="str">
        <f t="shared" si="111"/>
        <v/>
      </c>
      <c r="H1455" s="36" t="str">
        <f t="shared" si="115"/>
        <v/>
      </c>
      <c r="J1455" s="141" t="str">
        <f t="shared" si="112"/>
        <v/>
      </c>
      <c r="K1455" s="141" t="str">
        <f t="shared" si="113"/>
        <v/>
      </c>
      <c r="L1455" s="141" t="str">
        <f t="shared" si="114"/>
        <v/>
      </c>
    </row>
    <row r="1456" spans="1:12" x14ac:dyDescent="0.3">
      <c r="A1456" s="36" t="str">
        <f xml:space="preserve"> IF( 'From SvanPC++'!A1456= "", "", ('From SvanPC++'!A1456))</f>
        <v/>
      </c>
      <c r="C1456" s="47" t="s">
        <v>10</v>
      </c>
      <c r="G1456" s="38" t="str">
        <f t="shared" si="111"/>
        <v/>
      </c>
      <c r="H1456" s="36" t="str">
        <f t="shared" si="115"/>
        <v/>
      </c>
      <c r="J1456" s="141" t="str">
        <f t="shared" si="112"/>
        <v/>
      </c>
      <c r="K1456" s="141" t="str">
        <f t="shared" si="113"/>
        <v/>
      </c>
      <c r="L1456" s="141" t="str">
        <f t="shared" si="114"/>
        <v/>
      </c>
    </row>
    <row r="1457" spans="1:12" x14ac:dyDescent="0.3">
      <c r="A1457" s="36" t="str">
        <f xml:space="preserve"> IF( 'From SvanPC++'!A1457= "", "", ('From SvanPC++'!A1457))</f>
        <v/>
      </c>
      <c r="C1457" s="47" t="s">
        <v>10</v>
      </c>
      <c r="G1457" s="38" t="str">
        <f t="shared" si="111"/>
        <v/>
      </c>
      <c r="H1457" s="36" t="str">
        <f t="shared" si="115"/>
        <v/>
      </c>
      <c r="J1457" s="141" t="str">
        <f t="shared" si="112"/>
        <v/>
      </c>
      <c r="K1457" s="141" t="str">
        <f t="shared" si="113"/>
        <v/>
      </c>
      <c r="L1457" s="141" t="str">
        <f t="shared" si="114"/>
        <v/>
      </c>
    </row>
    <row r="1458" spans="1:12" x14ac:dyDescent="0.3">
      <c r="A1458" s="36" t="str">
        <f xml:space="preserve"> IF( 'From SvanPC++'!A1458= "", "", ('From SvanPC++'!A1458))</f>
        <v/>
      </c>
      <c r="C1458" s="47" t="s">
        <v>10</v>
      </c>
      <c r="G1458" s="38" t="str">
        <f t="shared" si="111"/>
        <v/>
      </c>
      <c r="H1458" s="36" t="str">
        <f t="shared" si="115"/>
        <v/>
      </c>
      <c r="J1458" s="141" t="str">
        <f t="shared" si="112"/>
        <v/>
      </c>
      <c r="K1458" s="141" t="str">
        <f t="shared" si="113"/>
        <v/>
      </c>
      <c r="L1458" s="141" t="str">
        <f t="shared" si="114"/>
        <v/>
      </c>
    </row>
    <row r="1459" spans="1:12" x14ac:dyDescent="0.3">
      <c r="A1459" s="36" t="str">
        <f xml:space="preserve"> IF( 'From SvanPC++'!A1459= "", "", ('From SvanPC++'!A1459))</f>
        <v/>
      </c>
      <c r="C1459" s="47" t="s">
        <v>10</v>
      </c>
      <c r="G1459" s="38" t="str">
        <f t="shared" si="111"/>
        <v/>
      </c>
      <c r="H1459" s="36" t="str">
        <f t="shared" si="115"/>
        <v/>
      </c>
      <c r="J1459" s="141" t="str">
        <f t="shared" si="112"/>
        <v/>
      </c>
      <c r="K1459" s="141" t="str">
        <f t="shared" si="113"/>
        <v/>
      </c>
      <c r="L1459" s="141" t="str">
        <f t="shared" si="114"/>
        <v/>
      </c>
    </row>
    <row r="1460" spans="1:12" x14ac:dyDescent="0.3">
      <c r="A1460" s="36" t="str">
        <f xml:space="preserve"> IF( 'From SvanPC++'!A1460= "", "", ('From SvanPC++'!A1460))</f>
        <v/>
      </c>
      <c r="C1460" s="47" t="s">
        <v>10</v>
      </c>
      <c r="G1460" s="38" t="str">
        <f t="shared" si="111"/>
        <v/>
      </c>
      <c r="H1460" s="36" t="str">
        <f t="shared" si="115"/>
        <v/>
      </c>
      <c r="J1460" s="141" t="str">
        <f t="shared" si="112"/>
        <v/>
      </c>
      <c r="K1460" s="141" t="str">
        <f t="shared" si="113"/>
        <v/>
      </c>
      <c r="L1460" s="141" t="str">
        <f t="shared" si="114"/>
        <v/>
      </c>
    </row>
    <row r="1461" spans="1:12" x14ac:dyDescent="0.3">
      <c r="A1461" s="36" t="str">
        <f xml:space="preserve"> IF( 'From SvanPC++'!A1461= "", "", ('From SvanPC++'!A1461))</f>
        <v/>
      </c>
      <c r="C1461" s="47" t="s">
        <v>10</v>
      </c>
      <c r="G1461" s="38" t="str">
        <f t="shared" si="111"/>
        <v/>
      </c>
      <c r="H1461" s="36" t="str">
        <f t="shared" si="115"/>
        <v/>
      </c>
      <c r="J1461" s="141" t="str">
        <f t="shared" si="112"/>
        <v/>
      </c>
      <c r="K1461" s="141" t="str">
        <f t="shared" si="113"/>
        <v/>
      </c>
      <c r="L1461" s="141" t="str">
        <f t="shared" si="114"/>
        <v/>
      </c>
    </row>
    <row r="1462" spans="1:12" x14ac:dyDescent="0.3">
      <c r="A1462" s="36" t="str">
        <f xml:space="preserve"> IF( 'From SvanPC++'!A1462= "", "", ('From SvanPC++'!A1462))</f>
        <v/>
      </c>
      <c r="C1462" s="47" t="s">
        <v>10</v>
      </c>
      <c r="G1462" s="38" t="str">
        <f t="shared" si="111"/>
        <v/>
      </c>
      <c r="H1462" s="36" t="str">
        <f t="shared" si="115"/>
        <v/>
      </c>
      <c r="J1462" s="141" t="str">
        <f t="shared" si="112"/>
        <v/>
      </c>
      <c r="K1462" s="141" t="str">
        <f t="shared" si="113"/>
        <v/>
      </c>
      <c r="L1462" s="141" t="str">
        <f t="shared" si="114"/>
        <v/>
      </c>
    </row>
    <row r="1463" spans="1:12" x14ac:dyDescent="0.3">
      <c r="A1463" s="36" t="str">
        <f xml:space="preserve"> IF( 'From SvanPC++'!A1463= "", "", ('From SvanPC++'!A1463))</f>
        <v/>
      </c>
      <c r="C1463" s="47" t="s">
        <v>10</v>
      </c>
      <c r="G1463" s="38" t="str">
        <f t="shared" si="111"/>
        <v/>
      </c>
      <c r="H1463" s="36" t="str">
        <f t="shared" si="115"/>
        <v/>
      </c>
      <c r="J1463" s="141" t="str">
        <f t="shared" si="112"/>
        <v/>
      </c>
      <c r="K1463" s="141" t="str">
        <f t="shared" si="113"/>
        <v/>
      </c>
      <c r="L1463" s="141" t="str">
        <f t="shared" si="114"/>
        <v/>
      </c>
    </row>
    <row r="1464" spans="1:12" x14ac:dyDescent="0.3">
      <c r="A1464" s="36" t="str">
        <f xml:space="preserve"> IF( 'From SvanPC++'!A1464= "", "", ('From SvanPC++'!A1464))</f>
        <v/>
      </c>
      <c r="C1464" s="47" t="s">
        <v>10</v>
      </c>
      <c r="G1464" s="38" t="str">
        <f t="shared" si="111"/>
        <v/>
      </c>
      <c r="H1464" s="36" t="str">
        <f t="shared" si="115"/>
        <v/>
      </c>
      <c r="J1464" s="141" t="str">
        <f t="shared" si="112"/>
        <v/>
      </c>
      <c r="K1464" s="141" t="str">
        <f t="shared" si="113"/>
        <v/>
      </c>
      <c r="L1464" s="141" t="str">
        <f t="shared" si="114"/>
        <v/>
      </c>
    </row>
    <row r="1465" spans="1:12" x14ac:dyDescent="0.3">
      <c r="A1465" s="36" t="str">
        <f xml:space="preserve"> IF( 'From SvanPC++'!A1465= "", "", ('From SvanPC++'!A1465))</f>
        <v/>
      </c>
      <c r="C1465" s="47" t="s">
        <v>10</v>
      </c>
      <c r="G1465" s="38" t="str">
        <f t="shared" si="111"/>
        <v/>
      </c>
      <c r="H1465" s="36" t="str">
        <f t="shared" si="115"/>
        <v/>
      </c>
      <c r="J1465" s="141" t="str">
        <f t="shared" si="112"/>
        <v/>
      </c>
      <c r="K1465" s="141" t="str">
        <f t="shared" si="113"/>
        <v/>
      </c>
      <c r="L1465" s="141" t="str">
        <f t="shared" si="114"/>
        <v/>
      </c>
    </row>
    <row r="1466" spans="1:12" x14ac:dyDescent="0.3">
      <c r="A1466" s="36" t="str">
        <f xml:space="preserve"> IF( 'From SvanPC++'!A1466= "", "", ('From SvanPC++'!A1466))</f>
        <v/>
      </c>
      <c r="C1466" s="47" t="s">
        <v>10</v>
      </c>
      <c r="G1466" s="38" t="str">
        <f t="shared" si="111"/>
        <v/>
      </c>
      <c r="H1466" s="36" t="str">
        <f t="shared" si="115"/>
        <v/>
      </c>
      <c r="J1466" s="141" t="str">
        <f t="shared" si="112"/>
        <v/>
      </c>
      <c r="K1466" s="141" t="str">
        <f t="shared" si="113"/>
        <v/>
      </c>
      <c r="L1466" s="141" t="str">
        <f t="shared" si="114"/>
        <v/>
      </c>
    </row>
    <row r="1467" spans="1:12" x14ac:dyDescent="0.3">
      <c r="A1467" s="36" t="str">
        <f xml:space="preserve"> IF( 'From SvanPC++'!A1467= "", "", ('From SvanPC++'!A1467))</f>
        <v/>
      </c>
      <c r="C1467" s="47" t="s">
        <v>10</v>
      </c>
      <c r="G1467" s="38" t="str">
        <f t="shared" si="111"/>
        <v/>
      </c>
      <c r="H1467" s="36" t="str">
        <f t="shared" si="115"/>
        <v/>
      </c>
      <c r="J1467" s="141" t="str">
        <f t="shared" si="112"/>
        <v/>
      </c>
      <c r="K1467" s="141" t="str">
        <f t="shared" si="113"/>
        <v/>
      </c>
      <c r="L1467" s="141" t="str">
        <f t="shared" si="114"/>
        <v/>
      </c>
    </row>
    <row r="1468" spans="1:12" x14ac:dyDescent="0.3">
      <c r="A1468" s="36" t="str">
        <f xml:space="preserve"> IF( 'From SvanPC++'!A1468= "", "", ('From SvanPC++'!A1468))</f>
        <v/>
      </c>
      <c r="C1468" s="47" t="s">
        <v>10</v>
      </c>
      <c r="G1468" s="38" t="str">
        <f t="shared" si="111"/>
        <v/>
      </c>
      <c r="H1468" s="36" t="str">
        <f t="shared" si="115"/>
        <v/>
      </c>
      <c r="J1468" s="141" t="str">
        <f t="shared" si="112"/>
        <v/>
      </c>
      <c r="K1468" s="141" t="str">
        <f t="shared" si="113"/>
        <v/>
      </c>
      <c r="L1468" s="141" t="str">
        <f t="shared" si="114"/>
        <v/>
      </c>
    </row>
    <row r="1469" spans="1:12" x14ac:dyDescent="0.3">
      <c r="A1469" s="36" t="str">
        <f xml:space="preserve"> IF( 'From SvanPC++'!A1469= "", "", ('From SvanPC++'!A1469))</f>
        <v/>
      </c>
      <c r="C1469" s="47" t="s">
        <v>10</v>
      </c>
      <c r="G1469" s="38" t="str">
        <f t="shared" si="111"/>
        <v/>
      </c>
      <c r="H1469" s="36" t="str">
        <f t="shared" si="115"/>
        <v/>
      </c>
      <c r="J1469" s="141" t="str">
        <f t="shared" si="112"/>
        <v/>
      </c>
      <c r="K1469" s="141" t="str">
        <f t="shared" si="113"/>
        <v/>
      </c>
      <c r="L1469" s="141" t="str">
        <f t="shared" si="114"/>
        <v/>
      </c>
    </row>
    <row r="1470" spans="1:12" x14ac:dyDescent="0.3">
      <c r="A1470" s="36" t="str">
        <f xml:space="preserve"> IF( 'From SvanPC++'!A1470= "", "", ('From SvanPC++'!A1470))</f>
        <v/>
      </c>
      <c r="C1470" s="47" t="s">
        <v>10</v>
      </c>
      <c r="G1470" s="38" t="str">
        <f t="shared" si="111"/>
        <v/>
      </c>
      <c r="H1470" s="36" t="str">
        <f t="shared" si="115"/>
        <v/>
      </c>
      <c r="J1470" s="141" t="str">
        <f t="shared" si="112"/>
        <v/>
      </c>
      <c r="K1470" s="141" t="str">
        <f t="shared" si="113"/>
        <v/>
      </c>
      <c r="L1470" s="141" t="str">
        <f t="shared" si="114"/>
        <v/>
      </c>
    </row>
    <row r="1471" spans="1:12" x14ac:dyDescent="0.3">
      <c r="A1471" s="36" t="str">
        <f xml:space="preserve"> IF( 'From SvanPC++'!A1471= "", "", ('From SvanPC++'!A1471))</f>
        <v/>
      </c>
      <c r="C1471" s="47" t="s">
        <v>10</v>
      </c>
      <c r="G1471" s="38" t="str">
        <f t="shared" si="111"/>
        <v/>
      </c>
      <c r="H1471" s="36" t="str">
        <f t="shared" si="115"/>
        <v/>
      </c>
      <c r="J1471" s="141" t="str">
        <f t="shared" si="112"/>
        <v/>
      </c>
      <c r="K1471" s="141" t="str">
        <f t="shared" si="113"/>
        <v/>
      </c>
      <c r="L1471" s="141" t="str">
        <f t="shared" si="114"/>
        <v/>
      </c>
    </row>
    <row r="1472" spans="1:12" x14ac:dyDescent="0.3">
      <c r="A1472" s="36" t="str">
        <f xml:space="preserve"> IF( 'From SvanPC++'!A1472= "", "", ('From SvanPC++'!A1472))</f>
        <v/>
      </c>
      <c r="C1472" s="47" t="s">
        <v>10</v>
      </c>
      <c r="G1472" s="38" t="str">
        <f t="shared" si="111"/>
        <v/>
      </c>
      <c r="H1472" s="36" t="str">
        <f t="shared" si="115"/>
        <v/>
      </c>
      <c r="J1472" s="141" t="str">
        <f t="shared" si="112"/>
        <v/>
      </c>
      <c r="K1472" s="141" t="str">
        <f t="shared" si="113"/>
        <v/>
      </c>
      <c r="L1472" s="141" t="str">
        <f t="shared" si="114"/>
        <v/>
      </c>
    </row>
    <row r="1473" spans="1:12" x14ac:dyDescent="0.3">
      <c r="A1473" s="36" t="str">
        <f xml:space="preserve"> IF( 'From SvanPC++'!A1473= "", "", ('From SvanPC++'!A1473))</f>
        <v/>
      </c>
      <c r="C1473" s="47" t="s">
        <v>10</v>
      </c>
      <c r="G1473" s="38" t="str">
        <f t="shared" si="111"/>
        <v/>
      </c>
      <c r="H1473" s="36" t="str">
        <f t="shared" si="115"/>
        <v/>
      </c>
      <c r="J1473" s="141" t="str">
        <f t="shared" si="112"/>
        <v/>
      </c>
      <c r="K1473" s="141" t="str">
        <f t="shared" si="113"/>
        <v/>
      </c>
      <c r="L1473" s="141" t="str">
        <f t="shared" si="114"/>
        <v/>
      </c>
    </row>
    <row r="1474" spans="1:12" x14ac:dyDescent="0.3">
      <c r="A1474" s="36" t="str">
        <f xml:space="preserve"> IF( 'From SvanPC++'!A1474= "", "", ('From SvanPC++'!A1474))</f>
        <v/>
      </c>
      <c r="C1474" s="47" t="s">
        <v>10</v>
      </c>
      <c r="G1474" s="38" t="str">
        <f t="shared" si="111"/>
        <v/>
      </c>
      <c r="H1474" s="36" t="str">
        <f t="shared" si="115"/>
        <v/>
      </c>
      <c r="J1474" s="141" t="str">
        <f t="shared" si="112"/>
        <v/>
      </c>
      <c r="K1474" s="141" t="str">
        <f t="shared" si="113"/>
        <v/>
      </c>
      <c r="L1474" s="141" t="str">
        <f t="shared" si="114"/>
        <v/>
      </c>
    </row>
    <row r="1475" spans="1:12" x14ac:dyDescent="0.3">
      <c r="A1475" s="36" t="str">
        <f xml:space="preserve"> IF( 'From SvanPC++'!A1475= "", "", ('From SvanPC++'!A1475))</f>
        <v/>
      </c>
      <c r="C1475" s="47" t="s">
        <v>10</v>
      </c>
      <c r="G1475" s="38" t="str">
        <f t="shared" si="111"/>
        <v/>
      </c>
      <c r="H1475" s="36" t="str">
        <f t="shared" si="115"/>
        <v/>
      </c>
      <c r="J1475" s="141" t="str">
        <f t="shared" si="112"/>
        <v/>
      </c>
      <c r="K1475" s="141" t="str">
        <f t="shared" si="113"/>
        <v/>
      </c>
      <c r="L1475" s="141" t="str">
        <f t="shared" si="114"/>
        <v/>
      </c>
    </row>
    <row r="1476" spans="1:12" x14ac:dyDescent="0.3">
      <c r="A1476" s="36" t="str">
        <f xml:space="preserve"> IF( 'From SvanPC++'!A1476= "", "", ('From SvanPC++'!A1476))</f>
        <v/>
      </c>
      <c r="C1476" s="47" t="s">
        <v>10</v>
      </c>
      <c r="G1476" s="38" t="str">
        <f t="shared" si="111"/>
        <v/>
      </c>
      <c r="H1476" s="36" t="str">
        <f t="shared" si="115"/>
        <v/>
      </c>
      <c r="J1476" s="141" t="str">
        <f t="shared" si="112"/>
        <v/>
      </c>
      <c r="K1476" s="141" t="str">
        <f t="shared" si="113"/>
        <v/>
      </c>
      <c r="L1476" s="141" t="str">
        <f t="shared" si="114"/>
        <v/>
      </c>
    </row>
    <row r="1477" spans="1:12" x14ac:dyDescent="0.3">
      <c r="A1477" s="36" t="str">
        <f xml:space="preserve"> IF( 'From SvanPC++'!A1477= "", "", ('From SvanPC++'!A1477))</f>
        <v/>
      </c>
      <c r="C1477" s="47" t="s">
        <v>10</v>
      </c>
      <c r="G1477" s="38" t="str">
        <f t="shared" si="111"/>
        <v/>
      </c>
      <c r="H1477" s="36" t="str">
        <f t="shared" si="115"/>
        <v/>
      </c>
      <c r="J1477" s="141" t="str">
        <f t="shared" si="112"/>
        <v/>
      </c>
      <c r="K1477" s="141" t="str">
        <f t="shared" si="113"/>
        <v/>
      </c>
      <c r="L1477" s="141" t="str">
        <f t="shared" si="114"/>
        <v/>
      </c>
    </row>
    <row r="1478" spans="1:12" x14ac:dyDescent="0.3">
      <c r="A1478" s="36" t="str">
        <f xml:space="preserve"> IF( 'From SvanPC++'!A1478= "", "", ('From SvanPC++'!A1478))</f>
        <v/>
      </c>
      <c r="C1478" s="47" t="s">
        <v>10</v>
      </c>
      <c r="G1478" s="38" t="str">
        <f t="shared" si="111"/>
        <v/>
      </c>
      <c r="H1478" s="36" t="str">
        <f t="shared" si="115"/>
        <v/>
      </c>
      <c r="J1478" s="141" t="str">
        <f t="shared" si="112"/>
        <v/>
      </c>
      <c r="K1478" s="141" t="str">
        <f t="shared" si="113"/>
        <v/>
      </c>
      <c r="L1478" s="141" t="str">
        <f t="shared" si="114"/>
        <v/>
      </c>
    </row>
    <row r="1479" spans="1:12" x14ac:dyDescent="0.3">
      <c r="A1479" s="36" t="str">
        <f xml:space="preserve"> IF( 'From SvanPC++'!A1479= "", "", ('From SvanPC++'!A1479))</f>
        <v/>
      </c>
      <c r="C1479" s="47" t="s">
        <v>10</v>
      </c>
      <c r="G1479" s="38" t="str">
        <f t="shared" ref="G1479:G1500" si="116" xml:space="preserve"> IF( D1479= "", "", ( IF( AND( D1479 &gt;= TIMEVALUE( "07:00:01" ), D1479 &lt; TIMEVALUE( "08:00:01" ) ) = TRUE, (G1478+1), (G1478+0) )))</f>
        <v/>
      </c>
      <c r="H1479" s="36" t="str">
        <f t="shared" si="115"/>
        <v/>
      </c>
      <c r="J1479" s="141" t="str">
        <f t="shared" si="112"/>
        <v/>
      </c>
      <c r="K1479" s="141" t="str">
        <f t="shared" si="113"/>
        <v/>
      </c>
      <c r="L1479" s="141" t="str">
        <f t="shared" si="114"/>
        <v/>
      </c>
    </row>
    <row r="1480" spans="1:12" x14ac:dyDescent="0.3">
      <c r="A1480" s="36" t="str">
        <f xml:space="preserve"> IF( 'From SvanPC++'!A1480= "", "", ('From SvanPC++'!A1480))</f>
        <v/>
      </c>
      <c r="C1480" s="47" t="s">
        <v>10</v>
      </c>
      <c r="G1480" s="38" t="str">
        <f t="shared" si="116"/>
        <v/>
      </c>
      <c r="H1480" s="36" t="str">
        <f t="shared" si="115"/>
        <v/>
      </c>
      <c r="J1480" s="141" t="str">
        <f t="shared" ref="J1480:J1500" si="117" xml:space="preserve"> IF( ISERROR( IF( D1480= "", "", ( IF( G1480= (G1479+1), ( AVERAGEIFS( E1480:E1624, G1480:G1624, G1480, H1480:H1624, "Day" )), "" )))), "",( IF( D1480= "", "", ( IF( G1480= (G1479+1), ( AVERAGEIFS( E1480:E1624, G1480:G1624, G1480, H1480:H1624, "Day" )), "" )))))</f>
        <v/>
      </c>
      <c r="K1480" s="141" t="str">
        <f t="shared" ref="K1480:K1500" si="118" xml:space="preserve"> IF( ISERROR( IF( D1480= "", "", ( IF( G1480= (G1479+1), ( AVERAGEIFS( E1480:E1624, G1480:G1624, G1480, H1480:H1624, "Evening" )), "" )))), "",( IF( D1480= "", "", ( IF( G1480= (G1479+1), ( AVERAGEIFS( E1480:E1624, G1480:G1624, G1480, H1480:H1624, "Evening" )), "" )))))</f>
        <v/>
      </c>
      <c r="L1480" s="141" t="str">
        <f t="shared" ref="L1480:L1500" si="119" xml:space="preserve"> IF( ISERROR( IF( D1480= "", "", ( IF( G1480= (G1479+1), ( AVERAGEIFS( E1480:E1624, G1480:G1624, G1480, H1480:H1624, "Night" )), "" )))), "",( IF( D1480= "", "", ( IF( G1480= (G1479+1), ( AVERAGEIFS( E1480:E1624, G1480:G1624, G1480, H1480:H1624, "Night" )), "" )))))</f>
        <v/>
      </c>
    </row>
    <row r="1481" spans="1:12" x14ac:dyDescent="0.3">
      <c r="A1481" s="36" t="str">
        <f xml:space="preserve"> IF( 'From SvanPC++'!A1481= "", "", ('From SvanPC++'!A1481))</f>
        <v/>
      </c>
      <c r="C1481" s="47" t="s">
        <v>10</v>
      </c>
      <c r="G1481" s="38" t="str">
        <f t="shared" si="116"/>
        <v/>
      </c>
      <c r="H1481" s="36" t="str">
        <f t="shared" si="115"/>
        <v/>
      </c>
      <c r="J1481" s="141" t="str">
        <f t="shared" si="117"/>
        <v/>
      </c>
      <c r="K1481" s="141" t="str">
        <f t="shared" si="118"/>
        <v/>
      </c>
      <c r="L1481" s="141" t="str">
        <f t="shared" si="119"/>
        <v/>
      </c>
    </row>
    <row r="1482" spans="1:12" x14ac:dyDescent="0.3">
      <c r="A1482" s="36" t="str">
        <f xml:space="preserve"> IF( 'From SvanPC++'!A1482= "", "", ('From SvanPC++'!A1482))</f>
        <v/>
      </c>
      <c r="C1482" s="47" t="s">
        <v>10</v>
      </c>
      <c r="G1482" s="38" t="str">
        <f t="shared" si="116"/>
        <v/>
      </c>
      <c r="H1482" s="36" t="str">
        <f t="shared" si="115"/>
        <v/>
      </c>
      <c r="J1482" s="141" t="str">
        <f t="shared" si="117"/>
        <v/>
      </c>
      <c r="K1482" s="141" t="str">
        <f t="shared" si="118"/>
        <v/>
      </c>
      <c r="L1482" s="141" t="str">
        <f t="shared" si="119"/>
        <v/>
      </c>
    </row>
    <row r="1483" spans="1:12" x14ac:dyDescent="0.3">
      <c r="A1483" s="36" t="str">
        <f xml:space="preserve"> IF( 'From SvanPC++'!A1483= "", "", ('From SvanPC++'!A1483))</f>
        <v/>
      </c>
      <c r="C1483" s="47" t="s">
        <v>10</v>
      </c>
      <c r="G1483" s="38" t="str">
        <f t="shared" si="116"/>
        <v/>
      </c>
      <c r="H1483" s="36" t="str">
        <f t="shared" si="115"/>
        <v/>
      </c>
      <c r="J1483" s="141" t="str">
        <f t="shared" si="117"/>
        <v/>
      </c>
      <c r="K1483" s="141" t="str">
        <f t="shared" si="118"/>
        <v/>
      </c>
      <c r="L1483" s="141" t="str">
        <f t="shared" si="119"/>
        <v/>
      </c>
    </row>
    <row r="1484" spans="1:12" x14ac:dyDescent="0.3">
      <c r="A1484" s="36" t="str">
        <f xml:space="preserve"> IF( 'From SvanPC++'!A1484= "", "", ('From SvanPC++'!A1484))</f>
        <v/>
      </c>
      <c r="C1484" s="47" t="s">
        <v>10</v>
      </c>
      <c r="G1484" s="38" t="str">
        <f t="shared" si="116"/>
        <v/>
      </c>
      <c r="H1484" s="36" t="str">
        <f t="shared" si="115"/>
        <v/>
      </c>
      <c r="J1484" s="141" t="str">
        <f t="shared" si="117"/>
        <v/>
      </c>
      <c r="K1484" s="141" t="str">
        <f t="shared" si="118"/>
        <v/>
      </c>
      <c r="L1484" s="141" t="str">
        <f t="shared" si="119"/>
        <v/>
      </c>
    </row>
    <row r="1485" spans="1:12" x14ac:dyDescent="0.3">
      <c r="A1485" s="36" t="str">
        <f xml:space="preserve"> IF( 'From SvanPC++'!A1485= "", "", ('From SvanPC++'!A1485))</f>
        <v/>
      </c>
      <c r="C1485" s="47" t="s">
        <v>10</v>
      </c>
      <c r="G1485" s="38" t="str">
        <f t="shared" si="116"/>
        <v/>
      </c>
      <c r="H1485" s="36" t="str">
        <f t="shared" si="115"/>
        <v/>
      </c>
      <c r="J1485" s="141" t="str">
        <f t="shared" si="117"/>
        <v/>
      </c>
      <c r="K1485" s="141" t="str">
        <f t="shared" si="118"/>
        <v/>
      </c>
      <c r="L1485" s="141" t="str">
        <f t="shared" si="119"/>
        <v/>
      </c>
    </row>
    <row r="1486" spans="1:12" x14ac:dyDescent="0.3">
      <c r="A1486" s="36" t="str">
        <f xml:space="preserve"> IF( 'From SvanPC++'!A1486= "", "", ('From SvanPC++'!A1486))</f>
        <v/>
      </c>
      <c r="C1486" s="47" t="s">
        <v>10</v>
      </c>
      <c r="G1486" s="38" t="str">
        <f t="shared" si="116"/>
        <v/>
      </c>
      <c r="H1486" s="36" t="str">
        <f t="shared" si="115"/>
        <v/>
      </c>
      <c r="J1486" s="141" t="str">
        <f t="shared" si="117"/>
        <v/>
      </c>
      <c r="K1486" s="141" t="str">
        <f t="shared" si="118"/>
        <v/>
      </c>
      <c r="L1486" s="141" t="str">
        <f t="shared" si="119"/>
        <v/>
      </c>
    </row>
    <row r="1487" spans="1:12" x14ac:dyDescent="0.3">
      <c r="A1487" s="36" t="str">
        <f xml:space="preserve"> IF( 'From SvanPC++'!A1487= "", "", ('From SvanPC++'!A1487))</f>
        <v/>
      </c>
      <c r="C1487" s="47" t="s">
        <v>10</v>
      </c>
      <c r="G1487" s="38" t="str">
        <f t="shared" si="116"/>
        <v/>
      </c>
      <c r="H1487" s="36" t="str">
        <f t="shared" si="115"/>
        <v/>
      </c>
      <c r="J1487" s="141" t="str">
        <f t="shared" si="117"/>
        <v/>
      </c>
      <c r="K1487" s="141" t="str">
        <f t="shared" si="118"/>
        <v/>
      </c>
      <c r="L1487" s="141" t="str">
        <f t="shared" si="119"/>
        <v/>
      </c>
    </row>
    <row r="1488" spans="1:12" x14ac:dyDescent="0.3">
      <c r="A1488" s="36" t="str">
        <f xml:space="preserve"> IF( 'From SvanPC++'!A1488= "", "", ('From SvanPC++'!A1488))</f>
        <v/>
      </c>
      <c r="C1488" s="47" t="s">
        <v>10</v>
      </c>
      <c r="G1488" s="38" t="str">
        <f t="shared" si="116"/>
        <v/>
      </c>
      <c r="H1488" s="36" t="str">
        <f t="shared" si="115"/>
        <v/>
      </c>
      <c r="J1488" s="141" t="str">
        <f t="shared" si="117"/>
        <v/>
      </c>
      <c r="K1488" s="141" t="str">
        <f t="shared" si="118"/>
        <v/>
      </c>
      <c r="L1488" s="141" t="str">
        <f t="shared" si="119"/>
        <v/>
      </c>
    </row>
    <row r="1489" spans="1:12" x14ac:dyDescent="0.3">
      <c r="A1489" s="36" t="str">
        <f xml:space="preserve"> IF( 'From SvanPC++'!A1489= "", "", ('From SvanPC++'!A1489))</f>
        <v/>
      </c>
      <c r="C1489" s="47" t="s">
        <v>10</v>
      </c>
      <c r="G1489" s="38" t="str">
        <f t="shared" si="116"/>
        <v/>
      </c>
      <c r="H1489" s="36" t="str">
        <f t="shared" si="115"/>
        <v/>
      </c>
      <c r="J1489" s="141" t="str">
        <f t="shared" si="117"/>
        <v/>
      </c>
      <c r="K1489" s="141" t="str">
        <f t="shared" si="118"/>
        <v/>
      </c>
      <c r="L1489" s="141" t="str">
        <f t="shared" si="119"/>
        <v/>
      </c>
    </row>
    <row r="1490" spans="1:12" x14ac:dyDescent="0.3">
      <c r="A1490" s="36" t="str">
        <f xml:space="preserve"> IF( 'From SvanPC++'!A1490= "", "", ('From SvanPC++'!A1490))</f>
        <v/>
      </c>
      <c r="C1490" s="47" t="s">
        <v>10</v>
      </c>
      <c r="G1490" s="38" t="str">
        <f t="shared" si="116"/>
        <v/>
      </c>
      <c r="H1490" s="36" t="str">
        <f t="shared" si="115"/>
        <v/>
      </c>
      <c r="J1490" s="141" t="str">
        <f t="shared" si="117"/>
        <v/>
      </c>
      <c r="K1490" s="141" t="str">
        <f t="shared" si="118"/>
        <v/>
      </c>
      <c r="L1490" s="141" t="str">
        <f t="shared" si="119"/>
        <v/>
      </c>
    </row>
    <row r="1491" spans="1:12" x14ac:dyDescent="0.3">
      <c r="A1491" s="36" t="str">
        <f xml:space="preserve"> IF( 'From SvanPC++'!A1491= "", "", ('From SvanPC++'!A1491))</f>
        <v/>
      </c>
      <c r="C1491" s="47" t="s">
        <v>10</v>
      </c>
      <c r="G1491" s="38" t="str">
        <f t="shared" si="116"/>
        <v/>
      </c>
      <c r="H1491" s="36" t="str">
        <f t="shared" si="115"/>
        <v/>
      </c>
      <c r="J1491" s="141" t="str">
        <f t="shared" si="117"/>
        <v/>
      </c>
      <c r="K1491" s="141" t="str">
        <f t="shared" si="118"/>
        <v/>
      </c>
      <c r="L1491" s="141" t="str">
        <f t="shared" si="119"/>
        <v/>
      </c>
    </row>
    <row r="1492" spans="1:12" x14ac:dyDescent="0.3">
      <c r="A1492" s="36" t="str">
        <f xml:space="preserve"> IF( 'From SvanPC++'!A1492= "", "", ('From SvanPC++'!A1492))</f>
        <v/>
      </c>
      <c r="C1492" s="47" t="s">
        <v>10</v>
      </c>
      <c r="G1492" s="38" t="str">
        <f t="shared" si="116"/>
        <v/>
      </c>
      <c r="H1492" s="36" t="str">
        <f t="shared" si="115"/>
        <v/>
      </c>
      <c r="J1492" s="141" t="str">
        <f t="shared" si="117"/>
        <v/>
      </c>
      <c r="K1492" s="141" t="str">
        <f t="shared" si="118"/>
        <v/>
      </c>
      <c r="L1492" s="141" t="str">
        <f t="shared" si="119"/>
        <v/>
      </c>
    </row>
    <row r="1493" spans="1:12" x14ac:dyDescent="0.3">
      <c r="A1493" s="36" t="str">
        <f xml:space="preserve"> IF( 'From SvanPC++'!A1493= "", "", ('From SvanPC++'!A1493))</f>
        <v/>
      </c>
      <c r="C1493" s="47" t="s">
        <v>10</v>
      </c>
      <c r="G1493" s="38" t="str">
        <f t="shared" si="116"/>
        <v/>
      </c>
      <c r="H1493" s="36" t="str">
        <f t="shared" si="115"/>
        <v/>
      </c>
      <c r="J1493" s="141" t="str">
        <f t="shared" si="117"/>
        <v/>
      </c>
      <c r="K1493" s="141" t="str">
        <f t="shared" si="118"/>
        <v/>
      </c>
      <c r="L1493" s="141" t="str">
        <f t="shared" si="119"/>
        <v/>
      </c>
    </row>
    <row r="1494" spans="1:12" x14ac:dyDescent="0.3">
      <c r="A1494" s="36" t="str">
        <f xml:space="preserve"> IF( 'From SvanPC++'!A1494= "", "", ('From SvanPC++'!A1494))</f>
        <v/>
      </c>
      <c r="C1494" s="47" t="s">
        <v>10</v>
      </c>
      <c r="G1494" s="38" t="str">
        <f t="shared" si="116"/>
        <v/>
      </c>
      <c r="H1494" s="36" t="str">
        <f t="shared" si="115"/>
        <v/>
      </c>
      <c r="J1494" s="141" t="str">
        <f t="shared" si="117"/>
        <v/>
      </c>
      <c r="K1494" s="141" t="str">
        <f t="shared" si="118"/>
        <v/>
      </c>
      <c r="L1494" s="141" t="str">
        <f t="shared" si="119"/>
        <v/>
      </c>
    </row>
    <row r="1495" spans="1:12" x14ac:dyDescent="0.3">
      <c r="A1495" s="36" t="str">
        <f xml:space="preserve"> IF( 'From SvanPC++'!A1495= "", "", ('From SvanPC++'!A1495))</f>
        <v/>
      </c>
      <c r="C1495" s="47" t="s">
        <v>10</v>
      </c>
      <c r="G1495" s="38" t="str">
        <f t="shared" si="116"/>
        <v/>
      </c>
      <c r="H1495" s="36" t="str">
        <f t="shared" ref="H1495:H1500" si="120" xml:space="preserve"> IF( D1495= "", "", ( IF( AND( D1495 &gt;= TIMEVALUE( "07:00:01" ), D1495 &lt;= TIMEVALUE( "13:00:00" ), WEEKDAY( C1495) =(7+N("Lines 2-17 = saturday day period")) ) = TRUE, "Day",
IF( AND( D1495 &gt;= TIMEVALUE( "07:00:01" ), D1495 &lt;= TIMEVALUE( "18:00:00" ), WEEKDAY( C1495,1+N("Lines 19-38 = weekday day period")) &gt;=2, ( WEEKDAY( C1495,1) &lt;=6) ) = TRUE, "Day",
IF( AND( D1495 &gt;= TIMEVALUE( "13:00:01" ), D1495 &lt;= TIMEVALUE( "22:00:00" ), WEEKDAY( C1495) =(7+N("Lines 40-56 = saturday evening period")) ) = TRUE, "Evening",
IF( AND( D1495 &gt;= TIMEVALUE( "18:00:01" ), D1495 &lt;= TIMEVALUE( "22:00:00" ), WEEKDAY( C1495,1+N("Lines 57-77 = weekday evening period")) &gt;=2, ( WEEKDAY( C1495,1) &lt;=6) ) = TRUE, "Evening",
IF( AND( D1495 &gt;= TIMEVALUE( "07:00:01" ), D1495 &lt;= TIMEVALUE( "22:00:00" ), WEEKDAY( C1495) =(1+N("Lines 78-94 = sunday evening period")) ) = TRUE, "Evening",
IF( AND( D1495 &gt;= TIMEVALUE( "22:00:01" ), D1495 &lt;= TIMEVALUE( "23:59:59" ), WEEKDAY( C1495) =(7+N("Lines 95-111 = saturday night1 period")) ) = TRUE, "Night",
IF( AND( D1495 &gt;= TIMEVALUE( "00:00:00" ), D1495 &lt;= TIMEVALUE( "07:00:00" ), WEEKDAY( C1495) =(7+N("Lines 112-128 = saturday night2 period")) ) = TRUE, "Night",
IF( AND( D1495 &gt;= TIMEVALUE( "22:00:01" ), D1495 &lt;= TIMEVALUE( "23:59:59" ), WEEKDAY( C1495,1+N("Lines 129-149 = weekday night1 period")) &gt;=2, ( WEEKDAY( C1495,1) &lt;=6) ) = TRUE, "Night",
IF( AND( D1495 &gt;= TIMEVALUE( "00:00:00" ), D1495 &lt;= TIMEVALUE( "07:00:00" ), WEEKDAY( C1495,1+N("Lines 150-170 = weekday night2 period")) &gt;=2, ( WEEKDAY( C1495,1) &lt;=6) ) = TRUE, "Night",
IF( AND( D1495 &gt;= TIMEVALUE( "20:00:01" ), D1495 &lt;= TIMEVALUE( "23:59:59" ), WEEKDAY( C1495) =(1+N("Lines 171-187 = sunday night1 period")) ) = TRUE, "Night",
IF( AND( D1495 &gt;= TIMEVALUE( "00:00:00" ), D1495 &lt;= TIMEVALUE( "07:00:00" ), WEEKDAY( C1495) =(1+N("Lines 188-204 = sunday night2 period")) ) = TRUE, "Night", )))))))))))))</f>
        <v/>
      </c>
      <c r="J1495" s="141" t="str">
        <f t="shared" si="117"/>
        <v/>
      </c>
      <c r="K1495" s="141" t="str">
        <f t="shared" si="118"/>
        <v/>
      </c>
      <c r="L1495" s="141" t="str">
        <f t="shared" si="119"/>
        <v/>
      </c>
    </row>
    <row r="1496" spans="1:12" x14ac:dyDescent="0.3">
      <c r="A1496" s="36" t="str">
        <f xml:space="preserve"> IF( 'From SvanPC++'!A1496= "", "", ('From SvanPC++'!A1496))</f>
        <v/>
      </c>
      <c r="C1496" s="47" t="s">
        <v>10</v>
      </c>
      <c r="G1496" s="38" t="str">
        <f t="shared" si="116"/>
        <v/>
      </c>
      <c r="H1496" s="36" t="str">
        <f t="shared" si="120"/>
        <v/>
      </c>
      <c r="J1496" s="141" t="str">
        <f t="shared" si="117"/>
        <v/>
      </c>
      <c r="K1496" s="141" t="str">
        <f t="shared" si="118"/>
        <v/>
      </c>
      <c r="L1496" s="141" t="str">
        <f t="shared" si="119"/>
        <v/>
      </c>
    </row>
    <row r="1497" spans="1:12" x14ac:dyDescent="0.3">
      <c r="A1497" s="36" t="str">
        <f xml:space="preserve"> IF( 'From SvanPC++'!A1497= "", "", ('From SvanPC++'!A1497))</f>
        <v/>
      </c>
      <c r="C1497" s="47" t="s">
        <v>10</v>
      </c>
      <c r="G1497" s="38" t="str">
        <f t="shared" si="116"/>
        <v/>
      </c>
      <c r="H1497" s="36" t="str">
        <f t="shared" si="120"/>
        <v/>
      </c>
      <c r="J1497" s="141" t="str">
        <f t="shared" si="117"/>
        <v/>
      </c>
      <c r="K1497" s="141" t="str">
        <f t="shared" si="118"/>
        <v/>
      </c>
      <c r="L1497" s="141" t="str">
        <f t="shared" si="119"/>
        <v/>
      </c>
    </row>
    <row r="1498" spans="1:12" x14ac:dyDescent="0.3">
      <c r="A1498" s="36" t="str">
        <f xml:space="preserve"> IF( 'From SvanPC++'!A1498= "", "", ('From SvanPC++'!A1498))</f>
        <v/>
      </c>
      <c r="C1498" s="47" t="s">
        <v>10</v>
      </c>
      <c r="G1498" s="38" t="str">
        <f t="shared" si="116"/>
        <v/>
      </c>
      <c r="H1498" s="36" t="str">
        <f t="shared" si="120"/>
        <v/>
      </c>
      <c r="J1498" s="141" t="str">
        <f t="shared" si="117"/>
        <v/>
      </c>
      <c r="K1498" s="141" t="str">
        <f t="shared" si="118"/>
        <v/>
      </c>
      <c r="L1498" s="141" t="str">
        <f t="shared" si="119"/>
        <v/>
      </c>
    </row>
    <row r="1499" spans="1:12" x14ac:dyDescent="0.3">
      <c r="A1499" s="36" t="str">
        <f xml:space="preserve"> IF( 'From SvanPC++'!A1499= "", "", ('From SvanPC++'!A1499))</f>
        <v/>
      </c>
      <c r="C1499" s="47" t="s">
        <v>10</v>
      </c>
      <c r="G1499" s="38" t="str">
        <f t="shared" si="116"/>
        <v/>
      </c>
      <c r="H1499" s="36" t="str">
        <f t="shared" si="120"/>
        <v/>
      </c>
      <c r="J1499" s="141" t="str">
        <f t="shared" si="117"/>
        <v/>
      </c>
      <c r="K1499" s="141" t="str">
        <f t="shared" si="118"/>
        <v/>
      </c>
      <c r="L1499" s="141" t="str">
        <f t="shared" si="119"/>
        <v/>
      </c>
    </row>
    <row r="1500" spans="1:12" x14ac:dyDescent="0.3">
      <c r="A1500" s="36" t="str">
        <f xml:space="preserve"> IF( 'From SvanPC++'!A1500= "", "", ('From SvanPC++'!A1500))</f>
        <v/>
      </c>
      <c r="C1500" s="47" t="s">
        <v>10</v>
      </c>
      <c r="G1500" s="38" t="str">
        <f t="shared" si="116"/>
        <v/>
      </c>
      <c r="H1500" s="36" t="str">
        <f t="shared" si="120"/>
        <v/>
      </c>
      <c r="J1500" s="141" t="str">
        <f t="shared" si="117"/>
        <v/>
      </c>
      <c r="K1500" s="141" t="str">
        <f t="shared" si="118"/>
        <v/>
      </c>
      <c r="L1500" s="141" t="str">
        <f t="shared" si="119"/>
        <v/>
      </c>
    </row>
  </sheetData>
  <sheetProtection sheet="1" objects="1" scenarios="1"/>
  <mergeCells count="3">
    <mergeCell ref="C4:D4"/>
    <mergeCell ref="G4:H4"/>
    <mergeCell ref="J4:L4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5BF44-9B19-412F-9631-BA19DFFE5E18}">
  <sheetPr codeName="Sheet4"/>
  <dimension ref="A7:B12"/>
  <sheetViews>
    <sheetView topLeftCell="A4" workbookViewId="0">
      <selection activeCell="B13" sqref="B13"/>
    </sheetView>
  </sheetViews>
  <sheetFormatPr defaultRowHeight="15" x14ac:dyDescent="0.25"/>
  <cols>
    <col min="1" max="1" width="23.42578125" style="7" bestFit="1" customWidth="1"/>
  </cols>
  <sheetData>
    <row r="7" spans="1:2" x14ac:dyDescent="0.25">
      <c r="A7" s="7">
        <v>44236</v>
      </c>
      <c r="B7" t="s">
        <v>940</v>
      </c>
    </row>
    <row r="8" spans="1:2" x14ac:dyDescent="0.25">
      <c r="A8" s="7">
        <v>44302</v>
      </c>
      <c r="B8" t="s">
        <v>11</v>
      </c>
    </row>
    <row r="9" spans="1:2" x14ac:dyDescent="0.25">
      <c r="A9" s="7">
        <v>44356</v>
      </c>
      <c r="B9" t="s">
        <v>12</v>
      </c>
    </row>
    <row r="10" spans="1:2" x14ac:dyDescent="0.25">
      <c r="A10" s="7">
        <v>44356</v>
      </c>
      <c r="B10" t="s">
        <v>941</v>
      </c>
    </row>
    <row r="12" spans="1:2" x14ac:dyDescent="0.25">
      <c r="A12" s="7" t="s">
        <v>948</v>
      </c>
      <c r="B12" t="s">
        <v>949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From SvanPC++</vt:lpstr>
      <vt:lpstr>Data Manipulation</vt:lpstr>
      <vt:lpstr>Operation Results</vt:lpstr>
      <vt:lpstr>Example 1</vt:lpstr>
      <vt:lpstr>Example 2</vt:lpstr>
      <vt:lpstr>Example 3</vt:lpstr>
      <vt:lpstr>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</dc:creator>
  <cp:lastModifiedBy>Stuart</cp:lastModifiedBy>
  <dcterms:created xsi:type="dcterms:W3CDTF">2020-03-25T21:17:58Z</dcterms:created>
  <dcterms:modified xsi:type="dcterms:W3CDTF">2022-02-14T13:11:53Z</dcterms:modified>
</cp:coreProperties>
</file>